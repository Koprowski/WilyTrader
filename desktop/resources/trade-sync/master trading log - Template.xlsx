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\WilyTrader Captures\"/>
    </mc:Choice>
  </mc:AlternateContent>
  <xr:revisionPtr revIDLastSave="0" documentId="13_ncr:1_{1553DF13-3421-4810-9267-2412C71E5F1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harts" sheetId="3" r:id="rId1"/>
    <sheet name="Analysis" sheetId="2" r:id="rId2"/>
    <sheet name="Master Trading Log" sheetId="1" r:id="rId3"/>
    <sheet name="defs" sheetId="4" r:id="rId4"/>
  </sheets>
  <definedNames>
    <definedName name="_xlnm._FilterDatabase" localSheetId="1" hidden="1">Analysis!$AQ$1:$AT$504</definedName>
    <definedName name="_xlnm._FilterDatabase" localSheetId="2" hidden="1">'Master Trading Log'!$A$1:$CA$3</definedName>
    <definedName name="DailyClose">OFFSET(Analysis!$AA$2,0,0,COUNTA(Analysis!$R$2:$R$504),1)</definedName>
    <definedName name="DailyClosePct">OFFSET(Analysis!$AF$2,0,0,COUNTA(Analysis!$R$2:$R$504),1)</definedName>
    <definedName name="DailyDate">OFFSET(Analysis!$Q$2,0,0,COUNTA(Analysis!$R$2:$R$504),1)</definedName>
    <definedName name="DailyDownVol">OFFSET(Analysis!$AI$2,0,0,COUNTA(Analysis!$R$2:$R$504),1)</definedName>
    <definedName name="DailyHigh">OFFSET(Analysis!$Y$2,0,0,COUNTA(Analysis!$R$2:$R$504),1)</definedName>
    <definedName name="DailyHighPct">OFFSET(Analysis!$AD$2,0,0,COUNTA(Analysis!$R$2:$R$504),1)</definedName>
    <definedName name="DailyLow">OFFSET(Analysis!$Z$2,0,0,COUNTA(Analysis!$R$2:$R$504),1)</definedName>
    <definedName name="DailyLowPct">OFFSET(Analysis!$AE$2,0,0,COUNTA(Analysis!$R$2:$R$504),1)</definedName>
    <definedName name="DailyOpen">OFFSET(Analysis!$X$2,0,0,COUNTA(Analysis!$R$2:$R$504),1)</definedName>
    <definedName name="DailyUpVol">OFFSET(Analysis!$AH$2,0,0,COUNTA(Analysis!$R$2:$R$504),1)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" i="2" l="1" a="1"/>
  <c r="AS4" i="2"/>
  <c r="AS5" i="2" a="1"/>
  <c r="AS5" i="2"/>
  <c r="AS6" i="2" a="1"/>
  <c r="AS6" i="2"/>
  <c r="AS7" i="2" a="1"/>
  <c r="AS7" i="2"/>
  <c r="AS8" i="2" a="1"/>
  <c r="AS8" i="2"/>
  <c r="AS9" i="2" a="1"/>
  <c r="AS9" i="2"/>
  <c r="AS10" i="2" a="1"/>
  <c r="AS10" i="2"/>
  <c r="AS11" i="2" a="1"/>
  <c r="AS11" i="2"/>
  <c r="AS12" i="2" a="1"/>
  <c r="AS12" i="2"/>
  <c r="AS13" i="2" a="1"/>
  <c r="AS13" i="2"/>
  <c r="AS14" i="2" a="1"/>
  <c r="AS14" i="2"/>
  <c r="AS15" i="2" a="1"/>
  <c r="AS15" i="2"/>
  <c r="AS16" i="2" a="1"/>
  <c r="AS16" i="2"/>
  <c r="AS17" i="2" a="1"/>
  <c r="AS17" i="2"/>
  <c r="AS18" i="2" a="1"/>
  <c r="AS18" i="2"/>
  <c r="AS19" i="2" a="1"/>
  <c r="AS19" i="2"/>
  <c r="AS20" i="2" a="1"/>
  <c r="AS20" i="2"/>
  <c r="AS21" i="2" a="1"/>
  <c r="AS21" i="2"/>
  <c r="AS22" i="2" a="1"/>
  <c r="AS22" i="2"/>
  <c r="AS23" i="2" a="1"/>
  <c r="AS23" i="2"/>
  <c r="AS24" i="2" a="1"/>
  <c r="AS24" i="2"/>
  <c r="AS25" i="2" a="1"/>
  <c r="AS25" i="2"/>
  <c r="AS26" i="2" a="1"/>
  <c r="AS26" i="2"/>
  <c r="AS27" i="2" a="1"/>
  <c r="AS27" i="2"/>
  <c r="AS28" i="2" a="1"/>
  <c r="AS28" i="2"/>
  <c r="AS29" i="2" a="1"/>
  <c r="AS29" i="2"/>
  <c r="AS30" i="2" a="1"/>
  <c r="AS30" i="2"/>
  <c r="AS31" i="2" a="1"/>
  <c r="AS31" i="2"/>
  <c r="AS32" i="2" a="1"/>
  <c r="AS32" i="2"/>
  <c r="AS33" i="2" a="1"/>
  <c r="AS33" i="2"/>
  <c r="AS34" i="2" a="1"/>
  <c r="AS34" i="2"/>
  <c r="AS35" i="2" a="1"/>
  <c r="AS35" i="2"/>
  <c r="AS36" i="2" a="1"/>
  <c r="AS36" i="2"/>
  <c r="AS37" i="2" a="1"/>
  <c r="AS37" i="2"/>
  <c r="AS38" i="2" a="1"/>
  <c r="AS38" i="2"/>
  <c r="AS39" i="2" a="1"/>
  <c r="AS39" i="2"/>
  <c r="AS40" i="2" a="1"/>
  <c r="AS40" i="2"/>
  <c r="AS41" i="2" a="1"/>
  <c r="AS41" i="2"/>
  <c r="AS42" i="2" a="1"/>
  <c r="AS42" i="2"/>
  <c r="AS43" i="2" a="1"/>
  <c r="AS43" i="2"/>
  <c r="AS44" i="2" a="1"/>
  <c r="AS44" i="2"/>
  <c r="AS45" i="2" a="1"/>
  <c r="AS45" i="2"/>
  <c r="AS46" i="2" a="1"/>
  <c r="AS46" i="2"/>
  <c r="AS47" i="2" a="1"/>
  <c r="AS47" i="2"/>
  <c r="AS48" i="2" a="1"/>
  <c r="AS48" i="2"/>
  <c r="AS49" i="2" a="1"/>
  <c r="AS49" i="2"/>
  <c r="AS50" i="2" a="1"/>
  <c r="AS50" i="2"/>
  <c r="AS51" i="2" a="1"/>
  <c r="AS51" i="2"/>
  <c r="AS52" i="2" a="1"/>
  <c r="AS52" i="2"/>
  <c r="AS53" i="2" a="1"/>
  <c r="AS53" i="2"/>
  <c r="AS54" i="2" a="1"/>
  <c r="AS54" i="2"/>
  <c r="AS55" i="2" a="1"/>
  <c r="AS55" i="2"/>
  <c r="AS56" i="2" a="1"/>
  <c r="AS56" i="2"/>
  <c r="AS57" i="2" a="1"/>
  <c r="AS57" i="2"/>
  <c r="AS58" i="2" a="1"/>
  <c r="AS58" i="2"/>
  <c r="AS59" i="2" a="1"/>
  <c r="AS59" i="2"/>
  <c r="AS60" i="2" a="1"/>
  <c r="AS60" i="2"/>
  <c r="AS61" i="2" a="1"/>
  <c r="AS61" i="2"/>
  <c r="AS62" i="2" a="1"/>
  <c r="AS62" i="2"/>
  <c r="AS63" i="2" a="1"/>
  <c r="AS63" i="2"/>
  <c r="AS64" i="2" a="1"/>
  <c r="AS64" i="2"/>
  <c r="AS65" i="2" a="1"/>
  <c r="AS65" i="2"/>
  <c r="AS66" i="2" a="1"/>
  <c r="AS66" i="2"/>
  <c r="AS67" i="2" a="1"/>
  <c r="AS67" i="2"/>
  <c r="AS68" i="2" a="1"/>
  <c r="AS68" i="2"/>
  <c r="AS69" i="2" a="1"/>
  <c r="AS69" i="2"/>
  <c r="AS70" i="2" a="1"/>
  <c r="AS70" i="2"/>
  <c r="AS71" i="2" a="1"/>
  <c r="AS71" i="2"/>
  <c r="AS72" i="2" a="1"/>
  <c r="AS72" i="2"/>
  <c r="AS73" i="2" a="1"/>
  <c r="AS73" i="2"/>
  <c r="AS74" i="2" a="1"/>
  <c r="AS74" i="2"/>
  <c r="AS75" i="2" a="1"/>
  <c r="AS75" i="2"/>
  <c r="AS76" i="2" a="1"/>
  <c r="AS76" i="2"/>
  <c r="AS77" i="2" a="1"/>
  <c r="AS77" i="2"/>
  <c r="AS78" i="2" a="1"/>
  <c r="AS78" i="2"/>
  <c r="AS79" i="2" a="1"/>
  <c r="AS79" i="2"/>
  <c r="AS80" i="2" a="1"/>
  <c r="AS80" i="2"/>
  <c r="AS81" i="2" a="1"/>
  <c r="AS81" i="2"/>
  <c r="AS82" i="2" a="1"/>
  <c r="AS82" i="2"/>
  <c r="AS83" i="2" a="1"/>
  <c r="AS83" i="2"/>
  <c r="AS84" i="2" a="1"/>
  <c r="AS84" i="2"/>
  <c r="AS85" i="2" a="1"/>
  <c r="AS85" i="2"/>
  <c r="AS86" i="2" a="1"/>
  <c r="AS86" i="2"/>
  <c r="AS87" i="2" a="1"/>
  <c r="AS87" i="2"/>
  <c r="AS88" i="2" a="1"/>
  <c r="AS88" i="2"/>
  <c r="AS89" i="2" a="1"/>
  <c r="AS89" i="2"/>
  <c r="AS90" i="2" a="1"/>
  <c r="AS90" i="2"/>
  <c r="AS91" i="2" a="1"/>
  <c r="AS91" i="2"/>
  <c r="AS92" i="2" a="1"/>
  <c r="AS92" i="2"/>
  <c r="AS93" i="2" a="1"/>
  <c r="AS93" i="2"/>
  <c r="AS94" i="2" a="1"/>
  <c r="AS94" i="2"/>
  <c r="AS95" i="2" a="1"/>
  <c r="AS95" i="2"/>
  <c r="AS96" i="2" a="1"/>
  <c r="AS96" i="2"/>
  <c r="AS97" i="2" a="1"/>
  <c r="AS97" i="2"/>
  <c r="AS98" i="2" a="1"/>
  <c r="AS98" i="2"/>
  <c r="AS99" i="2" a="1"/>
  <c r="AS99" i="2"/>
  <c r="AS100" i="2" a="1"/>
  <c r="AS100" i="2"/>
  <c r="AS101" i="2" a="1"/>
  <c r="AS101" i="2"/>
  <c r="AS102" i="2" a="1"/>
  <c r="AS102" i="2"/>
  <c r="AS103" i="2" a="1"/>
  <c r="AS103" i="2"/>
  <c r="AS104" i="2" a="1"/>
  <c r="AS104" i="2"/>
  <c r="AS105" i="2" a="1"/>
  <c r="AS105" i="2"/>
  <c r="AS106" i="2" a="1"/>
  <c r="AS106" i="2"/>
  <c r="AS107" i="2" a="1"/>
  <c r="AS107" i="2"/>
  <c r="AS108" i="2" a="1"/>
  <c r="AS108" i="2"/>
  <c r="AS109" i="2" a="1"/>
  <c r="AS109" i="2"/>
  <c r="AS110" i="2" a="1"/>
  <c r="AS110" i="2"/>
  <c r="AS111" i="2" a="1"/>
  <c r="AS111" i="2"/>
  <c r="AS112" i="2" a="1"/>
  <c r="AS112" i="2"/>
  <c r="AS113" i="2" a="1"/>
  <c r="AS113" i="2"/>
  <c r="AS114" i="2" a="1"/>
  <c r="AS114" i="2"/>
  <c r="AS115" i="2" a="1"/>
  <c r="AS115" i="2"/>
  <c r="AS116" i="2" a="1"/>
  <c r="AS116" i="2"/>
  <c r="AS117" i="2" a="1"/>
  <c r="AS117" i="2"/>
  <c r="AS118" i="2" a="1"/>
  <c r="AS118" i="2"/>
  <c r="AS119" i="2" a="1"/>
  <c r="AS119" i="2"/>
  <c r="AS120" i="2" a="1"/>
  <c r="AS120" i="2"/>
  <c r="AS121" i="2" a="1"/>
  <c r="AS121" i="2"/>
  <c r="AS122" i="2" a="1"/>
  <c r="AS122" i="2"/>
  <c r="AS123" i="2" a="1"/>
  <c r="AS123" i="2"/>
  <c r="AS124" i="2" a="1"/>
  <c r="AS124" i="2"/>
  <c r="AS125" i="2" a="1"/>
  <c r="AS125" i="2"/>
  <c r="AS126" i="2" a="1"/>
  <c r="AS126" i="2"/>
  <c r="AS127" i="2" a="1"/>
  <c r="AS127" i="2"/>
  <c r="AS128" i="2" a="1"/>
  <c r="AS128" i="2"/>
  <c r="AS129" i="2" a="1"/>
  <c r="AS129" i="2"/>
  <c r="AS130" i="2" a="1"/>
  <c r="AS130" i="2"/>
  <c r="AS131" i="2" a="1"/>
  <c r="AS131" i="2"/>
  <c r="AS132" i="2" a="1"/>
  <c r="AS132" i="2"/>
  <c r="AS133" i="2" a="1"/>
  <c r="AS133" i="2"/>
  <c r="AS134" i="2" a="1"/>
  <c r="AS134" i="2"/>
  <c r="AS135" i="2" a="1"/>
  <c r="AS135" i="2"/>
  <c r="AS136" i="2" a="1"/>
  <c r="AS136" i="2"/>
  <c r="AS137" i="2" a="1"/>
  <c r="AS137" i="2"/>
  <c r="AS138" i="2" a="1"/>
  <c r="AS138" i="2"/>
  <c r="AS139" i="2" a="1"/>
  <c r="AS139" i="2"/>
  <c r="AS140" i="2" a="1"/>
  <c r="AS140" i="2"/>
  <c r="AS141" i="2" a="1"/>
  <c r="AS141" i="2"/>
  <c r="AS142" i="2" a="1"/>
  <c r="AS142" i="2"/>
  <c r="AS143" i="2" a="1"/>
  <c r="AS143" i="2"/>
  <c r="AS144" i="2" a="1"/>
  <c r="AS144" i="2"/>
  <c r="AS145" i="2" a="1"/>
  <c r="AS145" i="2"/>
  <c r="AS146" i="2" a="1"/>
  <c r="AS146" i="2"/>
  <c r="AS147" i="2" a="1"/>
  <c r="AS147" i="2"/>
  <c r="AS148" i="2" a="1"/>
  <c r="AS148" i="2"/>
  <c r="AS149" i="2" a="1"/>
  <c r="AS149" i="2"/>
  <c r="AS150" i="2" a="1"/>
  <c r="AS150" i="2"/>
  <c r="AS151" i="2" a="1"/>
  <c r="AS151" i="2"/>
  <c r="AS152" i="2" a="1"/>
  <c r="AS152" i="2"/>
  <c r="AS153" i="2" a="1"/>
  <c r="AS153" i="2"/>
  <c r="AS154" i="2" a="1"/>
  <c r="AS154" i="2"/>
  <c r="AS155" i="2" a="1"/>
  <c r="AS155" i="2"/>
  <c r="AS156" i="2" a="1"/>
  <c r="AS156" i="2"/>
  <c r="AS157" i="2" a="1"/>
  <c r="AS157" i="2"/>
  <c r="AS158" i="2" a="1"/>
  <c r="AS158" i="2"/>
  <c r="AS159" i="2" a="1"/>
  <c r="AS159" i="2"/>
  <c r="AS160" i="2" a="1"/>
  <c r="AS160" i="2"/>
  <c r="AS161" i="2" a="1"/>
  <c r="AS161" i="2"/>
  <c r="AS162" i="2" a="1"/>
  <c r="AS162" i="2"/>
  <c r="AS163" i="2" a="1"/>
  <c r="AS163" i="2"/>
  <c r="AS164" i="2" a="1"/>
  <c r="AS164" i="2"/>
  <c r="AS165" i="2" a="1"/>
  <c r="AS165" i="2"/>
  <c r="AS166" i="2" a="1"/>
  <c r="AS166" i="2"/>
  <c r="AS167" i="2" a="1"/>
  <c r="AS167" i="2"/>
  <c r="AS168" i="2" a="1"/>
  <c r="AS168" i="2"/>
  <c r="AS169" i="2" a="1"/>
  <c r="AS169" i="2"/>
  <c r="AS170" i="2" a="1"/>
  <c r="AS170" i="2"/>
  <c r="AS171" i="2" a="1"/>
  <c r="AS171" i="2"/>
  <c r="AS172" i="2" a="1"/>
  <c r="AS172" i="2"/>
  <c r="AS173" i="2" a="1"/>
  <c r="AS173" i="2"/>
  <c r="AS174" i="2" a="1"/>
  <c r="AS174" i="2"/>
  <c r="AS175" i="2" a="1"/>
  <c r="AS175" i="2"/>
  <c r="AS176" i="2" a="1"/>
  <c r="AS176" i="2"/>
  <c r="AS177" i="2" a="1"/>
  <c r="AS177" i="2"/>
  <c r="AS178" i="2" a="1"/>
  <c r="AS178" i="2"/>
  <c r="AS179" i="2" a="1"/>
  <c r="AS179" i="2"/>
  <c r="AS180" i="2" a="1"/>
  <c r="AS180" i="2"/>
  <c r="AS181" i="2" a="1"/>
  <c r="AS181" i="2"/>
  <c r="AS182" i="2" a="1"/>
  <c r="AS182" i="2"/>
  <c r="AS183" i="2" a="1"/>
  <c r="AS183" i="2"/>
  <c r="AS184" i="2" a="1"/>
  <c r="AS184" i="2"/>
  <c r="AS185" i="2" a="1"/>
  <c r="AS185" i="2"/>
  <c r="AS186" i="2" a="1"/>
  <c r="AS186" i="2"/>
  <c r="AS187" i="2" a="1"/>
  <c r="AS187" i="2"/>
  <c r="AS188" i="2" a="1"/>
  <c r="AS188" i="2"/>
  <c r="AS189" i="2" a="1"/>
  <c r="AS189" i="2"/>
  <c r="AS190" i="2" a="1"/>
  <c r="AS190" i="2"/>
  <c r="AS191" i="2" a="1"/>
  <c r="AS191" i="2"/>
  <c r="AS192" i="2" a="1"/>
  <c r="AS192" i="2"/>
  <c r="AS193" i="2" a="1"/>
  <c r="AS193" i="2"/>
  <c r="AS194" i="2" a="1"/>
  <c r="AS194" i="2"/>
  <c r="AS195" i="2" a="1"/>
  <c r="AS195" i="2"/>
  <c r="AS196" i="2" a="1"/>
  <c r="AS196" i="2"/>
  <c r="AS197" i="2" a="1"/>
  <c r="AS197" i="2"/>
  <c r="AS198" i="2" a="1"/>
  <c r="AS198" i="2"/>
  <c r="AS199" i="2" a="1"/>
  <c r="AS199" i="2"/>
  <c r="AS200" i="2" a="1"/>
  <c r="AS200" i="2"/>
  <c r="AS201" i="2" a="1"/>
  <c r="AS201" i="2"/>
  <c r="AS202" i="2" a="1"/>
  <c r="AS202" i="2"/>
  <c r="AS203" i="2" a="1"/>
  <c r="AS203" i="2"/>
  <c r="AS204" i="2" a="1"/>
  <c r="AS204" i="2"/>
  <c r="AS205" i="2" a="1"/>
  <c r="AS205" i="2"/>
  <c r="AS206" i="2" a="1"/>
  <c r="AS206" i="2"/>
  <c r="AS207" i="2" a="1"/>
  <c r="AS207" i="2"/>
  <c r="AS208" i="2" a="1"/>
  <c r="AS208" i="2"/>
  <c r="AS209" i="2" a="1"/>
  <c r="AS209" i="2"/>
  <c r="AS210" i="2" a="1"/>
  <c r="AS210" i="2"/>
  <c r="AS211" i="2" a="1"/>
  <c r="AS211" i="2"/>
  <c r="AS212" i="2" a="1"/>
  <c r="AS212" i="2"/>
  <c r="AS213" i="2" a="1"/>
  <c r="AS213" i="2"/>
  <c r="AS214" i="2" a="1"/>
  <c r="AS214" i="2"/>
  <c r="AS215" i="2" a="1"/>
  <c r="AS215" i="2"/>
  <c r="AS216" i="2" a="1"/>
  <c r="AS216" i="2"/>
  <c r="AS217" i="2" a="1"/>
  <c r="AS217" i="2"/>
  <c r="AS218" i="2" a="1"/>
  <c r="AS218" i="2"/>
  <c r="AS219" i="2" a="1"/>
  <c r="AS219" i="2"/>
  <c r="AS220" i="2" a="1"/>
  <c r="AS220" i="2"/>
  <c r="AS221" i="2" a="1"/>
  <c r="AS221" i="2"/>
  <c r="AS222" i="2" a="1"/>
  <c r="AS222" i="2"/>
  <c r="AS223" i="2" a="1"/>
  <c r="AS223" i="2"/>
  <c r="AS224" i="2" a="1"/>
  <c r="AS224" i="2"/>
  <c r="AS225" i="2" a="1"/>
  <c r="AS225" i="2"/>
  <c r="AS226" i="2" a="1"/>
  <c r="AS226" i="2"/>
  <c r="AS227" i="2" a="1"/>
  <c r="AS227" i="2"/>
  <c r="AS228" i="2" a="1"/>
  <c r="AS228" i="2"/>
  <c r="AS229" i="2" a="1"/>
  <c r="AS229" i="2"/>
  <c r="AS230" i="2" a="1"/>
  <c r="AS230" i="2"/>
  <c r="AS231" i="2" a="1"/>
  <c r="AS231" i="2"/>
  <c r="AS232" i="2" a="1"/>
  <c r="AS232" i="2"/>
  <c r="AS233" i="2" a="1"/>
  <c r="AS233" i="2"/>
  <c r="AS234" i="2" a="1"/>
  <c r="AS234" i="2"/>
  <c r="AS235" i="2" a="1"/>
  <c r="AS235" i="2"/>
  <c r="AS236" i="2" a="1"/>
  <c r="AS236" i="2"/>
  <c r="AS237" i="2" a="1"/>
  <c r="AS237" i="2"/>
  <c r="AS238" i="2" a="1"/>
  <c r="AS238" i="2"/>
  <c r="AS239" i="2" a="1"/>
  <c r="AS239" i="2"/>
  <c r="AS240" i="2" a="1"/>
  <c r="AS240" i="2"/>
  <c r="AS241" i="2" a="1"/>
  <c r="AS241" i="2"/>
  <c r="AS242" i="2" a="1"/>
  <c r="AS242" i="2"/>
  <c r="AS243" i="2" a="1"/>
  <c r="AS243" i="2"/>
  <c r="AS244" i="2" a="1"/>
  <c r="AS244" i="2"/>
  <c r="AS245" i="2" a="1"/>
  <c r="AS245" i="2"/>
  <c r="AS246" i="2" a="1"/>
  <c r="AS246" i="2"/>
  <c r="AS247" i="2" a="1"/>
  <c r="AS247" i="2"/>
  <c r="AS248" i="2" a="1"/>
  <c r="AS248" i="2"/>
  <c r="AS249" i="2" a="1"/>
  <c r="AS249" i="2"/>
  <c r="AS250" i="2" a="1"/>
  <c r="AS250" i="2"/>
  <c r="AS251" i="2" a="1"/>
  <c r="AS251" i="2"/>
  <c r="AS252" i="2" a="1"/>
  <c r="AS252" i="2"/>
  <c r="AS253" i="2" a="1"/>
  <c r="AS253" i="2"/>
  <c r="AS254" i="2" a="1"/>
  <c r="AS254" i="2"/>
  <c r="AS255" i="2" a="1"/>
  <c r="AS255" i="2"/>
  <c r="AS256" i="2" a="1"/>
  <c r="AS256" i="2"/>
  <c r="AS257" i="2" a="1"/>
  <c r="AS257" i="2"/>
  <c r="AS258" i="2" a="1"/>
  <c r="AS258" i="2"/>
  <c r="AS259" i="2" a="1"/>
  <c r="AS259" i="2"/>
  <c r="AS260" i="2" a="1"/>
  <c r="AS260" i="2"/>
  <c r="AS261" i="2" a="1"/>
  <c r="AS261" i="2"/>
  <c r="AS262" i="2" a="1"/>
  <c r="AS262" i="2"/>
  <c r="AS263" i="2" a="1"/>
  <c r="AS263" i="2"/>
  <c r="AS264" i="2" a="1"/>
  <c r="AS264" i="2"/>
  <c r="AS265" i="2" a="1"/>
  <c r="AS265" i="2"/>
  <c r="AS266" i="2" a="1"/>
  <c r="AS266" i="2"/>
  <c r="AS267" i="2" a="1"/>
  <c r="AS267" i="2"/>
  <c r="AS268" i="2" a="1"/>
  <c r="AS268" i="2"/>
  <c r="AS269" i="2" a="1"/>
  <c r="AS269" i="2"/>
  <c r="AS270" i="2" a="1"/>
  <c r="AS270" i="2"/>
  <c r="AS271" i="2" a="1"/>
  <c r="AS271" i="2"/>
  <c r="AS272" i="2" a="1"/>
  <c r="AS272" i="2"/>
  <c r="AS273" i="2" a="1"/>
  <c r="AS273" i="2"/>
  <c r="AS274" i="2" a="1"/>
  <c r="AS274" i="2"/>
  <c r="AS275" i="2" a="1"/>
  <c r="AS275" i="2"/>
  <c r="AS276" i="2" a="1"/>
  <c r="AS276" i="2"/>
  <c r="AS277" i="2" a="1"/>
  <c r="AS277" i="2"/>
  <c r="AS278" i="2" a="1"/>
  <c r="AS278" i="2"/>
  <c r="AS279" i="2" a="1"/>
  <c r="AS279" i="2"/>
  <c r="AS280" i="2" a="1"/>
  <c r="AS280" i="2"/>
  <c r="AS281" i="2" a="1"/>
  <c r="AS281" i="2"/>
  <c r="AS282" i="2" a="1"/>
  <c r="AS282" i="2"/>
  <c r="AS283" i="2" a="1"/>
  <c r="AS283" i="2"/>
  <c r="AS284" i="2" a="1"/>
  <c r="AS284" i="2"/>
  <c r="AS285" i="2" a="1"/>
  <c r="AS285" i="2"/>
  <c r="AS286" i="2" a="1"/>
  <c r="AS286" i="2"/>
  <c r="AS287" i="2" a="1"/>
  <c r="AS287" i="2"/>
  <c r="AS288" i="2" a="1"/>
  <c r="AS288" i="2"/>
  <c r="AS289" i="2" a="1"/>
  <c r="AS289" i="2"/>
  <c r="AS290" i="2" a="1"/>
  <c r="AS290" i="2"/>
  <c r="AS291" i="2" a="1"/>
  <c r="AS291" i="2"/>
  <c r="AS292" i="2" a="1"/>
  <c r="AS292" i="2"/>
  <c r="AS293" i="2" a="1"/>
  <c r="AS293" i="2"/>
  <c r="AS294" i="2" a="1"/>
  <c r="AS294" i="2"/>
  <c r="AS295" i="2" a="1"/>
  <c r="AS295" i="2"/>
  <c r="AS296" i="2" a="1"/>
  <c r="AS296" i="2"/>
  <c r="AS297" i="2" a="1"/>
  <c r="AS297" i="2"/>
  <c r="AS298" i="2" a="1"/>
  <c r="AS298" i="2"/>
  <c r="AS299" i="2" a="1"/>
  <c r="AS299" i="2"/>
  <c r="AS300" i="2" a="1"/>
  <c r="AS300" i="2"/>
  <c r="AS301" i="2" a="1"/>
  <c r="AS301" i="2"/>
  <c r="AS302" i="2" a="1"/>
  <c r="AS302" i="2"/>
  <c r="AS303" i="2" a="1"/>
  <c r="AS303" i="2"/>
  <c r="AS304" i="2" a="1"/>
  <c r="AS304" i="2"/>
  <c r="AS305" i="2" a="1"/>
  <c r="AS305" i="2"/>
  <c r="AS306" i="2" a="1"/>
  <c r="AS306" i="2"/>
  <c r="AS307" i="2" a="1"/>
  <c r="AS307" i="2"/>
  <c r="AS308" i="2" a="1"/>
  <c r="AS308" i="2"/>
  <c r="AS309" i="2" a="1"/>
  <c r="AS309" i="2"/>
  <c r="AS310" i="2" a="1"/>
  <c r="AS310" i="2"/>
  <c r="AS311" i="2" a="1"/>
  <c r="AS311" i="2"/>
  <c r="AS312" i="2" a="1"/>
  <c r="AS312" i="2"/>
  <c r="AS313" i="2" a="1"/>
  <c r="AS313" i="2"/>
  <c r="AS314" i="2" a="1"/>
  <c r="AS314" i="2"/>
  <c r="AS315" i="2" a="1"/>
  <c r="AS315" i="2"/>
  <c r="AS316" i="2" a="1"/>
  <c r="AS316" i="2"/>
  <c r="AS317" i="2" a="1"/>
  <c r="AS317" i="2"/>
  <c r="AS318" i="2" a="1"/>
  <c r="AS318" i="2"/>
  <c r="AS319" i="2" a="1"/>
  <c r="AS319" i="2"/>
  <c r="AS320" i="2" a="1"/>
  <c r="AS320" i="2"/>
  <c r="AS321" i="2" a="1"/>
  <c r="AS321" i="2"/>
  <c r="AS322" i="2" a="1"/>
  <c r="AS322" i="2"/>
  <c r="AS323" i="2" a="1"/>
  <c r="AS323" i="2"/>
  <c r="AS324" i="2" a="1"/>
  <c r="AS324" i="2"/>
  <c r="AS325" i="2" a="1"/>
  <c r="AS325" i="2"/>
  <c r="AS326" i="2" a="1"/>
  <c r="AS326" i="2"/>
  <c r="AS327" i="2" a="1"/>
  <c r="AS327" i="2"/>
  <c r="AS328" i="2" a="1"/>
  <c r="AS328" i="2"/>
  <c r="AS329" i="2" a="1"/>
  <c r="AS329" i="2"/>
  <c r="AS330" i="2" a="1"/>
  <c r="AS330" i="2"/>
  <c r="AS331" i="2" a="1"/>
  <c r="AS331" i="2"/>
  <c r="AS332" i="2" a="1"/>
  <c r="AS332" i="2"/>
  <c r="AS333" i="2" a="1"/>
  <c r="AS333" i="2"/>
  <c r="AS334" i="2" a="1"/>
  <c r="AS334" i="2"/>
  <c r="AS335" i="2" a="1"/>
  <c r="AS335" i="2"/>
  <c r="AS336" i="2" a="1"/>
  <c r="AS336" i="2"/>
  <c r="AS337" i="2" a="1"/>
  <c r="AS337" i="2"/>
  <c r="AS338" i="2" a="1"/>
  <c r="AS338" i="2"/>
  <c r="AS339" i="2" a="1"/>
  <c r="AS339" i="2"/>
  <c r="AS340" i="2" a="1"/>
  <c r="AS340" i="2"/>
  <c r="AS341" i="2" a="1"/>
  <c r="AS341" i="2"/>
  <c r="AS342" i="2" a="1"/>
  <c r="AS342" i="2"/>
  <c r="AS343" i="2" a="1"/>
  <c r="AS343" i="2"/>
  <c r="AS344" i="2" a="1"/>
  <c r="AS344" i="2"/>
  <c r="AS345" i="2" a="1"/>
  <c r="AS345" i="2"/>
  <c r="AS346" i="2" a="1"/>
  <c r="AS346" i="2"/>
  <c r="AS347" i="2" a="1"/>
  <c r="AS347" i="2"/>
  <c r="AS348" i="2" a="1"/>
  <c r="AS348" i="2"/>
  <c r="AS349" i="2" a="1"/>
  <c r="AS349" i="2"/>
  <c r="AS350" i="2" a="1"/>
  <c r="AS350" i="2"/>
  <c r="AS351" i="2" a="1"/>
  <c r="AS351" i="2"/>
  <c r="AS352" i="2" a="1"/>
  <c r="AS352" i="2"/>
  <c r="AS353" i="2" a="1"/>
  <c r="AS353" i="2"/>
  <c r="AS354" i="2" a="1"/>
  <c r="AS354" i="2"/>
  <c r="AS355" i="2" a="1"/>
  <c r="AS355" i="2"/>
  <c r="AS356" i="2" a="1"/>
  <c r="AS356" i="2"/>
  <c r="AS357" i="2" a="1"/>
  <c r="AS357" i="2"/>
  <c r="AS358" i="2" a="1"/>
  <c r="AS358" i="2"/>
  <c r="AS359" i="2" a="1"/>
  <c r="AS359" i="2"/>
  <c r="AS360" i="2" a="1"/>
  <c r="AS360" i="2"/>
  <c r="AS361" i="2" a="1"/>
  <c r="AS361" i="2"/>
  <c r="AS362" i="2" a="1"/>
  <c r="AS362" i="2"/>
  <c r="AS363" i="2" a="1"/>
  <c r="AS363" i="2"/>
  <c r="AS364" i="2" a="1"/>
  <c r="AS364" i="2"/>
  <c r="AS365" i="2" a="1"/>
  <c r="AS365" i="2"/>
  <c r="AS366" i="2" a="1"/>
  <c r="AS366" i="2"/>
  <c r="AS367" i="2" a="1"/>
  <c r="AS367" i="2"/>
  <c r="AS368" i="2" a="1"/>
  <c r="AS368" i="2"/>
  <c r="AS369" i="2" a="1"/>
  <c r="AS369" i="2"/>
  <c r="AS370" i="2" a="1"/>
  <c r="AS370" i="2"/>
  <c r="AS371" i="2" a="1"/>
  <c r="AS371" i="2"/>
  <c r="AS372" i="2" a="1"/>
  <c r="AS372" i="2"/>
  <c r="AS373" i="2" a="1"/>
  <c r="AS373" i="2"/>
  <c r="AS374" i="2" a="1"/>
  <c r="AS374" i="2"/>
  <c r="AS375" i="2" a="1"/>
  <c r="AS375" i="2"/>
  <c r="AS376" i="2" a="1"/>
  <c r="AS376" i="2"/>
  <c r="AS377" i="2" a="1"/>
  <c r="AS377" i="2"/>
  <c r="AS378" i="2" a="1"/>
  <c r="AS378" i="2"/>
  <c r="AS379" i="2" a="1"/>
  <c r="AS379" i="2"/>
  <c r="AS380" i="2" a="1"/>
  <c r="AS380" i="2"/>
  <c r="AS381" i="2" a="1"/>
  <c r="AS381" i="2"/>
  <c r="AS382" i="2" a="1"/>
  <c r="AS382" i="2"/>
  <c r="AS383" i="2" a="1"/>
  <c r="AS383" i="2"/>
  <c r="AS384" i="2" a="1"/>
  <c r="AS384" i="2"/>
  <c r="AS385" i="2" a="1"/>
  <c r="AS385" i="2"/>
  <c r="AS386" i="2" a="1"/>
  <c r="AS386" i="2"/>
  <c r="AS387" i="2" a="1"/>
  <c r="AS387" i="2"/>
  <c r="AS388" i="2" a="1"/>
  <c r="AS388" i="2"/>
  <c r="AS389" i="2" a="1"/>
  <c r="AS389" i="2"/>
  <c r="AS390" i="2" a="1"/>
  <c r="AS390" i="2"/>
  <c r="AS391" i="2" a="1"/>
  <c r="AS391" i="2"/>
  <c r="AS392" i="2" a="1"/>
  <c r="AS392" i="2"/>
  <c r="AS393" i="2" a="1"/>
  <c r="AS393" i="2"/>
  <c r="AS394" i="2" a="1"/>
  <c r="AS394" i="2"/>
  <c r="AS395" i="2" a="1"/>
  <c r="AS395" i="2"/>
  <c r="AS396" i="2" a="1"/>
  <c r="AS396" i="2"/>
  <c r="AS397" i="2" a="1"/>
  <c r="AS397" i="2"/>
  <c r="AS398" i="2" a="1"/>
  <c r="AS398" i="2"/>
  <c r="AS399" i="2" a="1"/>
  <c r="AS399" i="2"/>
  <c r="AS400" i="2" a="1"/>
  <c r="AS400" i="2"/>
  <c r="AS401" i="2" a="1"/>
  <c r="AS401" i="2"/>
  <c r="AS402" i="2" a="1"/>
  <c r="AS402" i="2"/>
  <c r="AS403" i="2" a="1"/>
  <c r="AS403" i="2"/>
  <c r="AS404" i="2" a="1"/>
  <c r="AS404" i="2"/>
  <c r="AS405" i="2" a="1"/>
  <c r="AS405" i="2"/>
  <c r="AS406" i="2" a="1"/>
  <c r="AS406" i="2"/>
  <c r="AS407" i="2" a="1"/>
  <c r="AS407" i="2"/>
  <c r="AS408" i="2" a="1"/>
  <c r="AS408" i="2"/>
  <c r="AS409" i="2" a="1"/>
  <c r="AS409" i="2"/>
  <c r="AS410" i="2" a="1"/>
  <c r="AS410" i="2"/>
  <c r="AS411" i="2" a="1"/>
  <c r="AS411" i="2"/>
  <c r="AS412" i="2" a="1"/>
  <c r="AS412" i="2"/>
  <c r="AS413" i="2" a="1"/>
  <c r="AS413" i="2"/>
  <c r="AS414" i="2" a="1"/>
  <c r="AS414" i="2"/>
  <c r="AS415" i="2" a="1"/>
  <c r="AS415" i="2"/>
  <c r="AS416" i="2" a="1"/>
  <c r="AS416" i="2"/>
  <c r="AS417" i="2" a="1"/>
  <c r="AS417" i="2"/>
  <c r="AS418" i="2" a="1"/>
  <c r="AS418" i="2"/>
  <c r="AS419" i="2" a="1"/>
  <c r="AS419" i="2"/>
  <c r="AS420" i="2" a="1"/>
  <c r="AS420" i="2"/>
  <c r="AS421" i="2" a="1"/>
  <c r="AS421" i="2"/>
  <c r="AS422" i="2" a="1"/>
  <c r="AS422" i="2"/>
  <c r="AS423" i="2" a="1"/>
  <c r="AS423" i="2"/>
  <c r="AS424" i="2" a="1"/>
  <c r="AS424" i="2"/>
  <c r="AS425" i="2" a="1"/>
  <c r="AS425" i="2"/>
  <c r="AS426" i="2" a="1"/>
  <c r="AS426" i="2"/>
  <c r="AS427" i="2" a="1"/>
  <c r="AS427" i="2"/>
  <c r="AS428" i="2" a="1"/>
  <c r="AS428" i="2"/>
  <c r="AS429" i="2" a="1"/>
  <c r="AS429" i="2"/>
  <c r="AS430" i="2" a="1"/>
  <c r="AS430" i="2"/>
  <c r="AS431" i="2" a="1"/>
  <c r="AS431" i="2"/>
  <c r="AS432" i="2" a="1"/>
  <c r="AS432" i="2"/>
  <c r="AS433" i="2" a="1"/>
  <c r="AS433" i="2"/>
  <c r="AS434" i="2" a="1"/>
  <c r="AS434" i="2"/>
  <c r="AS435" i="2" a="1"/>
  <c r="AS435" i="2"/>
  <c r="AS436" i="2" a="1"/>
  <c r="AS436" i="2"/>
  <c r="AS437" i="2" a="1"/>
  <c r="AS437" i="2"/>
  <c r="AS438" i="2" a="1"/>
  <c r="AS438" i="2"/>
  <c r="AS439" i="2" a="1"/>
  <c r="AS439" i="2"/>
  <c r="AS440" i="2" a="1"/>
  <c r="AS440" i="2"/>
  <c r="AS441" i="2" a="1"/>
  <c r="AS441" i="2"/>
  <c r="AS442" i="2" a="1"/>
  <c r="AS442" i="2"/>
  <c r="AS443" i="2" a="1"/>
  <c r="AS443" i="2"/>
  <c r="AS444" i="2" a="1"/>
  <c r="AS444" i="2"/>
  <c r="AS445" i="2" a="1"/>
  <c r="AS445" i="2"/>
  <c r="AS446" i="2" a="1"/>
  <c r="AS446" i="2"/>
  <c r="AS447" i="2" a="1"/>
  <c r="AS447" i="2"/>
  <c r="AS448" i="2" a="1"/>
  <c r="AS448" i="2"/>
  <c r="AS449" i="2" a="1"/>
  <c r="AS449" i="2"/>
  <c r="AS450" i="2" a="1"/>
  <c r="AS450" i="2"/>
  <c r="AS451" i="2" a="1"/>
  <c r="AS451" i="2"/>
  <c r="AS452" i="2" a="1"/>
  <c r="AS452" i="2"/>
  <c r="AS453" i="2" a="1"/>
  <c r="AS453" i="2"/>
  <c r="AS454" i="2" a="1"/>
  <c r="AS454" i="2"/>
  <c r="AS455" i="2" a="1"/>
  <c r="AS455" i="2"/>
  <c r="AS456" i="2" a="1"/>
  <c r="AS456" i="2"/>
  <c r="AS457" i="2" a="1"/>
  <c r="AS457" i="2"/>
  <c r="AS458" i="2" a="1"/>
  <c r="AS458" i="2"/>
  <c r="AS459" i="2" a="1"/>
  <c r="AS459" i="2"/>
  <c r="AS460" i="2" a="1"/>
  <c r="AS460" i="2"/>
  <c r="AS461" i="2" a="1"/>
  <c r="AS461" i="2"/>
  <c r="AS462" i="2" a="1"/>
  <c r="AS462" i="2"/>
  <c r="AS463" i="2" a="1"/>
  <c r="AS463" i="2"/>
  <c r="AS464" i="2" a="1"/>
  <c r="AS464" i="2"/>
  <c r="AS465" i="2" a="1"/>
  <c r="AS465" i="2"/>
  <c r="AS466" i="2" a="1"/>
  <c r="AS466" i="2"/>
  <c r="AS467" i="2" a="1"/>
  <c r="AS467" i="2"/>
  <c r="AS468" i="2" a="1"/>
  <c r="AS468" i="2"/>
  <c r="AS469" i="2" a="1"/>
  <c r="AS469" i="2"/>
  <c r="AS470" i="2" a="1"/>
  <c r="AS470" i="2"/>
  <c r="AS471" i="2" a="1"/>
  <c r="AS471" i="2"/>
  <c r="AS472" i="2" a="1"/>
  <c r="AS472" i="2"/>
  <c r="AS473" i="2" a="1"/>
  <c r="AS473" i="2"/>
  <c r="AS474" i="2" a="1"/>
  <c r="AS474" i="2"/>
  <c r="AS475" i="2" a="1"/>
  <c r="AS475" i="2"/>
  <c r="AS476" i="2" a="1"/>
  <c r="AS476" i="2"/>
  <c r="AS477" i="2" a="1"/>
  <c r="AS477" i="2"/>
  <c r="AS478" i="2" a="1"/>
  <c r="AS478" i="2"/>
  <c r="AS479" i="2" a="1"/>
  <c r="AS479" i="2"/>
  <c r="AS480" i="2" a="1"/>
  <c r="AS480" i="2"/>
  <c r="AS481" i="2" a="1"/>
  <c r="AS481" i="2"/>
  <c r="AS482" i="2" a="1"/>
  <c r="AS482" i="2"/>
  <c r="AS483" i="2" a="1"/>
  <c r="AS483" i="2"/>
  <c r="AS484" i="2" a="1"/>
  <c r="AS484" i="2"/>
  <c r="AS485" i="2" a="1"/>
  <c r="AS485" i="2"/>
  <c r="AS486" i="2" a="1"/>
  <c r="AS486" i="2"/>
  <c r="AS487" i="2" a="1"/>
  <c r="AS487" i="2"/>
  <c r="AS488" i="2" a="1"/>
  <c r="AS488" i="2"/>
  <c r="AS489" i="2" a="1"/>
  <c r="AS489" i="2"/>
  <c r="AS490" i="2" a="1"/>
  <c r="AS490" i="2"/>
  <c r="AS491" i="2" a="1"/>
  <c r="AS491" i="2"/>
  <c r="AS492" i="2" a="1"/>
  <c r="AS492" i="2"/>
  <c r="AS493" i="2" a="1"/>
  <c r="AS493" i="2"/>
  <c r="AS494" i="2" a="1"/>
  <c r="AS494" i="2"/>
  <c r="AS495" i="2" a="1"/>
  <c r="AS495" i="2"/>
  <c r="AS496" i="2" a="1"/>
  <c r="AS496" i="2"/>
  <c r="AS497" i="2" a="1"/>
  <c r="AS497" i="2"/>
  <c r="AS498" i="2" a="1"/>
  <c r="AS498" i="2"/>
  <c r="AS499" i="2" a="1"/>
  <c r="AS499" i="2"/>
  <c r="AS500" i="2" a="1"/>
  <c r="AS500" i="2"/>
  <c r="AR4" i="2" a="1"/>
  <c r="AR4" i="2"/>
  <c r="AR5" i="2" a="1"/>
  <c r="AR5" i="2"/>
  <c r="AR6" i="2" a="1"/>
  <c r="AR6" i="2"/>
  <c r="AR7" i="2" a="1"/>
  <c r="AR7" i="2"/>
  <c r="AR8" i="2" a="1"/>
  <c r="AR8" i="2"/>
  <c r="AR9" i="2" a="1"/>
  <c r="AR9" i="2"/>
  <c r="AR10" i="2" a="1"/>
  <c r="AR10" i="2"/>
  <c r="AR11" i="2" a="1"/>
  <c r="AR11" i="2"/>
  <c r="AR12" i="2" a="1"/>
  <c r="AR12" i="2"/>
  <c r="AR13" i="2" a="1"/>
  <c r="AR13" i="2"/>
  <c r="AR14" i="2" a="1"/>
  <c r="AR14" i="2"/>
  <c r="AR15" i="2" a="1"/>
  <c r="AR15" i="2"/>
  <c r="AR16" i="2" a="1"/>
  <c r="AR16" i="2"/>
  <c r="AR17" i="2" a="1"/>
  <c r="AR17" i="2"/>
  <c r="AR18" i="2" a="1"/>
  <c r="AR18" i="2"/>
  <c r="AR19" i="2" a="1"/>
  <c r="AR19" i="2"/>
  <c r="AR20" i="2" a="1"/>
  <c r="AR20" i="2"/>
  <c r="AR21" i="2" a="1"/>
  <c r="AR21" i="2"/>
  <c r="AR22" i="2" a="1"/>
  <c r="AR22" i="2"/>
  <c r="AR23" i="2" a="1"/>
  <c r="AR23" i="2"/>
  <c r="AR24" i="2" a="1"/>
  <c r="AR24" i="2"/>
  <c r="AR25" i="2" a="1"/>
  <c r="AR25" i="2"/>
  <c r="AR26" i="2" a="1"/>
  <c r="AR26" i="2"/>
  <c r="AR27" i="2" a="1"/>
  <c r="AR27" i="2"/>
  <c r="AR28" i="2" a="1"/>
  <c r="AR28" i="2"/>
  <c r="AR29" i="2" a="1"/>
  <c r="AR30" i="2" a="1"/>
  <c r="AR31" i="2" a="1"/>
  <c r="AR32" i="2" a="1"/>
  <c r="AR33" i="2" a="1"/>
  <c r="AR34" i="2" a="1"/>
  <c r="AR34" i="2"/>
  <c r="AR35" i="2" a="1"/>
  <c r="AR36" i="2" a="1"/>
  <c r="AR36" i="2"/>
  <c r="AR37" i="2" a="1"/>
  <c r="AR38" i="2" a="1"/>
  <c r="AR39" i="2" a="1"/>
  <c r="AR40" i="2" a="1"/>
  <c r="AR41" i="2" a="1"/>
  <c r="AR42" i="2" a="1"/>
  <c r="AR43" i="2" a="1"/>
  <c r="AR44" i="2" a="1"/>
  <c r="AR45" i="2" a="1"/>
  <c r="AR46" i="2" a="1"/>
  <c r="AR47" i="2" a="1"/>
  <c r="AR47" i="2"/>
  <c r="AR48" i="2" a="1"/>
  <c r="AR49" i="2" a="1"/>
  <c r="AR49" i="2"/>
  <c r="AR50" i="2" a="1"/>
  <c r="AR51" i="2" a="1"/>
  <c r="AR52" i="2" a="1"/>
  <c r="AR53" i="2" a="1"/>
  <c r="AR54" i="2" a="1"/>
  <c r="AR55" i="2" a="1"/>
  <c r="AR56" i="2" a="1"/>
  <c r="AR57" i="2" a="1"/>
  <c r="AR58" i="2" a="1"/>
  <c r="AR59" i="2" a="1"/>
  <c r="AR60" i="2" a="1"/>
  <c r="AR61" i="2" a="1"/>
  <c r="AR62" i="2" a="1"/>
  <c r="AR63" i="2" a="1"/>
  <c r="AR64" i="2" a="1"/>
  <c r="AR65" i="2" a="1"/>
  <c r="AR66" i="2" a="1"/>
  <c r="AR67" i="2" a="1"/>
  <c r="AR68" i="2" a="1"/>
  <c r="AR69" i="2" a="1"/>
  <c r="AR70" i="2" a="1"/>
  <c r="AR71" i="2" a="1"/>
  <c r="AR71" i="2"/>
  <c r="AR72" i="2" a="1"/>
  <c r="AR73" i="2" a="1"/>
  <c r="AR73" i="2"/>
  <c r="AR74" i="2" a="1"/>
  <c r="AR75" i="2" a="1"/>
  <c r="AR75" i="2"/>
  <c r="AR76" i="2" a="1"/>
  <c r="AR77" i="2" a="1"/>
  <c r="AR77" i="2"/>
  <c r="AR78" i="2" a="1"/>
  <c r="AR79" i="2" a="1"/>
  <c r="AR79" i="2"/>
  <c r="AR80" i="2" a="1"/>
  <c r="AR81" i="2" a="1"/>
  <c r="AR82" i="2" a="1"/>
  <c r="AR83" i="2" a="1"/>
  <c r="AR84" i="2" a="1"/>
  <c r="AR85" i="2" a="1"/>
  <c r="AR86" i="2" a="1"/>
  <c r="AR87" i="2" a="1"/>
  <c r="AR88" i="2" a="1"/>
  <c r="AR89" i="2" a="1"/>
  <c r="AR90" i="2" a="1"/>
  <c r="AR91" i="2" a="1"/>
  <c r="AR92" i="2" a="1"/>
  <c r="AR93" i="2" a="1"/>
  <c r="AR94" i="2" a="1"/>
  <c r="AR95" i="2" a="1"/>
  <c r="AR96" i="2" a="1"/>
  <c r="AR97" i="2" a="1"/>
  <c r="AR98" i="2" a="1"/>
  <c r="AR99" i="2" a="1"/>
  <c r="AR100" i="2" a="1"/>
  <c r="AR101" i="2" a="1"/>
  <c r="AR102" i="2" a="1"/>
  <c r="AR103" i="2" a="1"/>
  <c r="AR104" i="2" a="1"/>
  <c r="AR105" i="2" a="1"/>
  <c r="AR106" i="2" a="1"/>
  <c r="AR107" i="2" a="1"/>
  <c r="AR108" i="2" a="1"/>
  <c r="AR109" i="2" a="1"/>
  <c r="AR110" i="2" a="1"/>
  <c r="AR111" i="2" a="1"/>
  <c r="AR112" i="2" a="1"/>
  <c r="AR113" i="2" a="1"/>
  <c r="AR114" i="2" a="1"/>
  <c r="AR115" i="2" a="1"/>
  <c r="AR116" i="2" a="1"/>
  <c r="AR117" i="2" a="1"/>
  <c r="AR118" i="2" a="1"/>
  <c r="AR119" i="2" a="1"/>
  <c r="AR120" i="2" a="1"/>
  <c r="AR121" i="2" a="1"/>
  <c r="AR122" i="2" a="1"/>
  <c r="AR123" i="2" a="1"/>
  <c r="AR124" i="2" a="1"/>
  <c r="AR125" i="2" a="1"/>
  <c r="AR126" i="2" a="1"/>
  <c r="AR127" i="2" a="1"/>
  <c r="AR128" i="2" a="1"/>
  <c r="AR129" i="2" a="1"/>
  <c r="AR130" i="2" a="1"/>
  <c r="AR131" i="2" a="1"/>
  <c r="AR132" i="2" a="1"/>
  <c r="AR133" i="2" a="1"/>
  <c r="AR134" i="2" a="1"/>
  <c r="AR135" i="2" a="1"/>
  <c r="AR136" i="2" a="1"/>
  <c r="AR137" i="2" a="1"/>
  <c r="AR138" i="2" a="1"/>
  <c r="AR139" i="2" a="1"/>
  <c r="AR140" i="2" a="1"/>
  <c r="AR141" i="2" a="1"/>
  <c r="AR142" i="2" a="1"/>
  <c r="AR143" i="2" a="1"/>
  <c r="AR144" i="2" a="1"/>
  <c r="AR145" i="2" a="1"/>
  <c r="AR146" i="2" a="1"/>
  <c r="AR147" i="2" a="1"/>
  <c r="AR148" i="2" a="1"/>
  <c r="AR149" i="2" a="1"/>
  <c r="AR150" i="2" a="1"/>
  <c r="AR151" i="2" a="1"/>
  <c r="AR152" i="2" a="1"/>
  <c r="AR153" i="2" a="1"/>
  <c r="AR154" i="2" a="1"/>
  <c r="AR155" i="2" a="1"/>
  <c r="AR156" i="2" a="1"/>
  <c r="AR157" i="2" a="1"/>
  <c r="AR158" i="2" a="1"/>
  <c r="AR159" i="2" a="1"/>
  <c r="AR160" i="2" a="1"/>
  <c r="AR161" i="2" a="1"/>
  <c r="AR162" i="2" a="1"/>
  <c r="AR163" i="2" a="1"/>
  <c r="AR164" i="2" a="1"/>
  <c r="AR165" i="2" a="1"/>
  <c r="AR166" i="2" a="1"/>
  <c r="AR167" i="2" a="1"/>
  <c r="AR168" i="2" a="1"/>
  <c r="AR169" i="2" a="1"/>
  <c r="AR170" i="2" a="1"/>
  <c r="AR171" i="2" a="1"/>
  <c r="AR172" i="2" a="1"/>
  <c r="AR173" i="2" a="1"/>
  <c r="AR174" i="2" a="1"/>
  <c r="AR175" i="2" a="1"/>
  <c r="AR176" i="2" a="1"/>
  <c r="AR177" i="2" a="1"/>
  <c r="AR178" i="2" a="1"/>
  <c r="AR179" i="2" a="1"/>
  <c r="AR180" i="2" a="1"/>
  <c r="AR181" i="2" a="1"/>
  <c r="AR182" i="2" a="1"/>
  <c r="AR183" i="2" a="1"/>
  <c r="AR184" i="2" a="1"/>
  <c r="AR185" i="2" a="1"/>
  <c r="AR186" i="2" a="1"/>
  <c r="AR187" i="2" a="1"/>
  <c r="AR188" i="2" a="1"/>
  <c r="AR189" i="2" a="1"/>
  <c r="AR190" i="2" a="1"/>
  <c r="AR191" i="2" a="1"/>
  <c r="AR192" i="2" a="1"/>
  <c r="AR193" i="2" a="1"/>
  <c r="AR194" i="2" a="1"/>
  <c r="AR195" i="2" a="1"/>
  <c r="AR196" i="2" a="1"/>
  <c r="AR197" i="2" a="1"/>
  <c r="AR198" i="2" a="1"/>
  <c r="AR199" i="2" a="1"/>
  <c r="AR200" i="2" a="1"/>
  <c r="AR201" i="2" a="1"/>
  <c r="AR202" i="2" a="1"/>
  <c r="AR203" i="2" a="1"/>
  <c r="AR204" i="2" a="1"/>
  <c r="AR205" i="2" a="1"/>
  <c r="AR206" i="2" a="1"/>
  <c r="AR207" i="2" a="1"/>
  <c r="AR208" i="2" a="1"/>
  <c r="AR209" i="2" a="1"/>
  <c r="AR210" i="2" a="1"/>
  <c r="AR211" i="2" a="1"/>
  <c r="AR212" i="2" a="1"/>
  <c r="AR213" i="2" a="1"/>
  <c r="AR214" i="2" a="1"/>
  <c r="AR215" i="2" a="1"/>
  <c r="AR216" i="2" a="1"/>
  <c r="AR217" i="2" a="1"/>
  <c r="AR218" i="2" a="1"/>
  <c r="AR219" i="2" a="1"/>
  <c r="AR220" i="2" a="1"/>
  <c r="AR221" i="2" a="1"/>
  <c r="AR222" i="2" a="1"/>
  <c r="AR223" i="2" a="1"/>
  <c r="AR224" i="2" a="1"/>
  <c r="AR225" i="2" a="1"/>
  <c r="AR226" i="2" a="1"/>
  <c r="AR227" i="2" a="1"/>
  <c r="AR228" i="2" a="1"/>
  <c r="AR229" i="2" a="1"/>
  <c r="AR230" i="2" a="1"/>
  <c r="AR231" i="2" a="1"/>
  <c r="AR232" i="2" a="1"/>
  <c r="AR233" i="2" a="1"/>
  <c r="AR234" i="2" a="1"/>
  <c r="AR235" i="2" a="1"/>
  <c r="AR236" i="2" a="1"/>
  <c r="AR237" i="2" a="1"/>
  <c r="AR238" i="2" a="1"/>
  <c r="AR239" i="2" a="1"/>
  <c r="AR240" i="2" a="1"/>
  <c r="AR241" i="2" a="1"/>
  <c r="AR242" i="2" a="1"/>
  <c r="AR243" i="2" a="1"/>
  <c r="AR244" i="2" a="1"/>
  <c r="AR245" i="2" a="1"/>
  <c r="AR246" i="2" a="1"/>
  <c r="AR247" i="2" a="1"/>
  <c r="AR248" i="2" a="1"/>
  <c r="AR249" i="2" a="1"/>
  <c r="AR250" i="2" a="1"/>
  <c r="AR251" i="2" a="1"/>
  <c r="AR252" i="2" a="1"/>
  <c r="AR253" i="2" a="1"/>
  <c r="AR254" i="2" a="1"/>
  <c r="AR255" i="2" a="1"/>
  <c r="AR256" i="2" a="1"/>
  <c r="AR257" i="2" a="1"/>
  <c r="AR258" i="2" a="1"/>
  <c r="AR259" i="2" a="1"/>
  <c r="AR260" i="2" a="1"/>
  <c r="AR261" i="2" a="1"/>
  <c r="AR262" i="2" a="1"/>
  <c r="AR263" i="2" a="1"/>
  <c r="AR264" i="2" a="1"/>
  <c r="AR265" i="2" a="1"/>
  <c r="AR266" i="2" a="1"/>
  <c r="AR267" i="2" a="1"/>
  <c r="AR268" i="2" a="1"/>
  <c r="AR269" i="2" a="1"/>
  <c r="AR270" i="2" a="1"/>
  <c r="AR271" i="2" a="1"/>
  <c r="AR272" i="2" a="1"/>
  <c r="AR273" i="2" a="1"/>
  <c r="AR274" i="2" a="1"/>
  <c r="AR275" i="2" a="1"/>
  <c r="AR276" i="2" a="1"/>
  <c r="AR277" i="2" a="1"/>
  <c r="AR278" i="2" a="1"/>
  <c r="AR279" i="2" a="1"/>
  <c r="AR280" i="2" a="1"/>
  <c r="AR281" i="2" a="1"/>
  <c r="AR282" i="2" a="1"/>
  <c r="AR283" i="2" a="1"/>
  <c r="AR284" i="2" a="1"/>
  <c r="AR285" i="2" a="1"/>
  <c r="AR286" i="2" a="1"/>
  <c r="AR287" i="2" a="1"/>
  <c r="AR288" i="2" a="1"/>
  <c r="AR289" i="2" a="1"/>
  <c r="AR290" i="2" a="1"/>
  <c r="AR291" i="2" a="1"/>
  <c r="AR292" i="2" a="1"/>
  <c r="AR293" i="2" a="1"/>
  <c r="AR294" i="2" a="1"/>
  <c r="AR295" i="2" a="1"/>
  <c r="AR296" i="2" a="1"/>
  <c r="AR297" i="2" a="1"/>
  <c r="AR298" i="2" a="1"/>
  <c r="AR299" i="2" a="1"/>
  <c r="AR300" i="2" a="1"/>
  <c r="AR301" i="2" a="1"/>
  <c r="AR302" i="2" a="1"/>
  <c r="AR303" i="2" a="1"/>
  <c r="AR304" i="2" a="1"/>
  <c r="AR305" i="2" a="1"/>
  <c r="AR306" i="2" a="1"/>
  <c r="AR307" i="2" a="1"/>
  <c r="AR308" i="2" a="1"/>
  <c r="AR309" i="2" a="1"/>
  <c r="AR310" i="2" a="1"/>
  <c r="AR311" i="2" a="1"/>
  <c r="AR312" i="2" a="1"/>
  <c r="AR313" i="2" a="1"/>
  <c r="AR314" i="2" a="1"/>
  <c r="AR315" i="2" a="1"/>
  <c r="AR316" i="2" a="1"/>
  <c r="AR317" i="2" a="1"/>
  <c r="AR318" i="2" a="1"/>
  <c r="AR319" i="2" a="1"/>
  <c r="AR320" i="2" a="1"/>
  <c r="AR321" i="2" a="1"/>
  <c r="AR322" i="2" a="1"/>
  <c r="AR323" i="2" a="1"/>
  <c r="AR324" i="2" a="1"/>
  <c r="AR325" i="2" a="1"/>
  <c r="AR326" i="2" a="1"/>
  <c r="AR327" i="2" a="1"/>
  <c r="AR328" i="2" a="1"/>
  <c r="AR329" i="2" a="1"/>
  <c r="AR330" i="2" a="1"/>
  <c r="AR331" i="2" a="1"/>
  <c r="AR332" i="2" a="1"/>
  <c r="AR333" i="2" a="1"/>
  <c r="AR334" i="2" a="1"/>
  <c r="AR335" i="2" a="1"/>
  <c r="AR336" i="2" a="1"/>
  <c r="AR337" i="2" a="1"/>
  <c r="AR338" i="2" a="1"/>
  <c r="AR339" i="2" a="1"/>
  <c r="AR340" i="2" a="1"/>
  <c r="AR341" i="2" a="1"/>
  <c r="AR342" i="2" a="1"/>
  <c r="AR343" i="2" a="1"/>
  <c r="AR344" i="2" a="1"/>
  <c r="AR345" i="2" a="1"/>
  <c r="AR346" i="2" a="1"/>
  <c r="AR347" i="2" a="1"/>
  <c r="AR348" i="2" a="1"/>
  <c r="AR349" i="2" a="1"/>
  <c r="AR350" i="2" a="1"/>
  <c r="AR351" i="2" a="1"/>
  <c r="AR352" i="2" a="1"/>
  <c r="AR353" i="2" a="1"/>
  <c r="AR354" i="2" a="1"/>
  <c r="AR355" i="2" a="1"/>
  <c r="AR356" i="2" a="1"/>
  <c r="AR357" i="2" a="1"/>
  <c r="AR358" i="2" a="1"/>
  <c r="AR359" i="2" a="1"/>
  <c r="AR360" i="2" a="1"/>
  <c r="AR361" i="2" a="1"/>
  <c r="AR362" i="2" a="1"/>
  <c r="AR362" i="2"/>
  <c r="AR363" i="2" a="1"/>
  <c r="AR364" i="2" a="1"/>
  <c r="AR365" i="2" a="1"/>
  <c r="AR366" i="2" a="1"/>
  <c r="AR367" i="2" a="1"/>
  <c r="AR368" i="2" a="1"/>
  <c r="AR369" i="2" a="1"/>
  <c r="AR370" i="2" a="1"/>
  <c r="AR371" i="2" a="1"/>
  <c r="AR371" i="2"/>
  <c r="AR372" i="2" a="1"/>
  <c r="AR373" i="2" a="1"/>
  <c r="AR374" i="2" a="1"/>
  <c r="AR375" i="2" a="1"/>
  <c r="AR376" i="2" a="1"/>
  <c r="AR377" i="2" a="1"/>
  <c r="AR378" i="2" a="1"/>
  <c r="AR378" i="2"/>
  <c r="AR379" i="2" a="1"/>
  <c r="AR380" i="2" a="1"/>
  <c r="AR381" i="2" a="1"/>
  <c r="AR382" i="2" a="1"/>
  <c r="AR383" i="2" a="1"/>
  <c r="AR384" i="2" a="1"/>
  <c r="AR385" i="2" a="1"/>
  <c r="AR386" i="2" a="1"/>
  <c r="AR387" i="2" a="1"/>
  <c r="AR388" i="2" a="1"/>
  <c r="AR389" i="2" a="1"/>
  <c r="AR389" i="2"/>
  <c r="AR390" i="2" a="1"/>
  <c r="AR391" i="2" a="1"/>
  <c r="AR392" i="2" a="1"/>
  <c r="AR393" i="2" a="1"/>
  <c r="AR394" i="2" a="1"/>
  <c r="AR395" i="2" a="1"/>
  <c r="AR396" i="2" a="1"/>
  <c r="AR397" i="2" a="1"/>
  <c r="AR398" i="2" a="1"/>
  <c r="AR398" i="2"/>
  <c r="AR399" i="2" a="1"/>
  <c r="AR400" i="2" a="1"/>
  <c r="AR401" i="2" a="1"/>
  <c r="AR402" i="2" a="1"/>
  <c r="AR403" i="2" a="1"/>
  <c r="AR403" i="2"/>
  <c r="AR404" i="2" a="1"/>
  <c r="AR404" i="2"/>
  <c r="AR405" i="2" a="1"/>
  <c r="AR405" i="2"/>
  <c r="AR406" i="2" a="1"/>
  <c r="AR406" i="2"/>
  <c r="AR407" i="2" a="1"/>
  <c r="AR407" i="2"/>
  <c r="AR408" i="2" a="1"/>
  <c r="AR408" i="2"/>
  <c r="AR409" i="2" a="1"/>
  <c r="AR409" i="2"/>
  <c r="AR410" i="2" a="1"/>
  <c r="AR410" i="2"/>
  <c r="AR411" i="2" a="1"/>
  <c r="AR411" i="2"/>
  <c r="AR412" i="2" a="1"/>
  <c r="AR412" i="2"/>
  <c r="AR413" i="2" a="1"/>
  <c r="AR413" i="2"/>
  <c r="AR414" i="2" a="1"/>
  <c r="AR414" i="2"/>
  <c r="AR415" i="2" a="1"/>
  <c r="AR415" i="2"/>
  <c r="AR416" i="2" a="1"/>
  <c r="AR416" i="2"/>
  <c r="AR417" i="2" a="1"/>
  <c r="AR417" i="2"/>
  <c r="AR418" i="2" a="1"/>
  <c r="AR418" i="2"/>
  <c r="AR419" i="2" a="1"/>
  <c r="AR419" i="2"/>
  <c r="AR420" i="2" a="1"/>
  <c r="AR420" i="2"/>
  <c r="AR421" i="2" a="1"/>
  <c r="AR421" i="2"/>
  <c r="AR422" i="2" a="1"/>
  <c r="AR422" i="2"/>
  <c r="AR423" i="2" a="1"/>
  <c r="AR423" i="2"/>
  <c r="AR424" i="2" a="1"/>
  <c r="AR424" i="2"/>
  <c r="AR425" i="2" a="1"/>
  <c r="AR425" i="2"/>
  <c r="AR426" i="2" a="1"/>
  <c r="AR426" i="2"/>
  <c r="AR427" i="2" a="1"/>
  <c r="AR427" i="2"/>
  <c r="AR428" i="2" a="1"/>
  <c r="AR428" i="2"/>
  <c r="AR429" i="2" a="1"/>
  <c r="AR429" i="2"/>
  <c r="AR430" i="2" a="1"/>
  <c r="AR430" i="2"/>
  <c r="AR431" i="2" a="1"/>
  <c r="AR431" i="2"/>
  <c r="AR432" i="2" a="1"/>
  <c r="AR432" i="2"/>
  <c r="AR433" i="2" a="1"/>
  <c r="AR433" i="2"/>
  <c r="AR434" i="2" a="1"/>
  <c r="AR434" i="2"/>
  <c r="AR435" i="2" a="1"/>
  <c r="AR435" i="2"/>
  <c r="AR436" i="2" a="1"/>
  <c r="AR436" i="2"/>
  <c r="AR437" i="2" a="1"/>
  <c r="AR437" i="2"/>
  <c r="AR438" i="2" a="1"/>
  <c r="AR438" i="2"/>
  <c r="AR439" i="2" a="1"/>
  <c r="AR439" i="2"/>
  <c r="AR440" i="2" a="1"/>
  <c r="AR440" i="2"/>
  <c r="AR441" i="2" a="1"/>
  <c r="AR441" i="2"/>
  <c r="AR442" i="2" a="1"/>
  <c r="AR442" i="2"/>
  <c r="AR443" i="2" a="1"/>
  <c r="AR443" i="2"/>
  <c r="AR444" i="2" a="1"/>
  <c r="AR444" i="2"/>
  <c r="AR445" i="2" a="1"/>
  <c r="AR445" i="2"/>
  <c r="AR446" i="2" a="1"/>
  <c r="AR446" i="2"/>
  <c r="AR447" i="2" a="1"/>
  <c r="AR447" i="2"/>
  <c r="AR448" i="2" a="1"/>
  <c r="AR448" i="2"/>
  <c r="AR449" i="2" a="1"/>
  <c r="AR449" i="2"/>
  <c r="AR450" i="2" a="1"/>
  <c r="AR450" i="2"/>
  <c r="AR451" i="2" a="1"/>
  <c r="AR451" i="2"/>
  <c r="AR452" i="2" a="1"/>
  <c r="AR452" i="2"/>
  <c r="AR453" i="2" a="1"/>
  <c r="AR453" i="2"/>
  <c r="AR454" i="2" a="1"/>
  <c r="AR454" i="2"/>
  <c r="AR455" i="2" a="1"/>
  <c r="AR455" i="2"/>
  <c r="AR456" i="2" a="1"/>
  <c r="AR456" i="2"/>
  <c r="AR457" i="2" a="1"/>
  <c r="AR457" i="2"/>
  <c r="AR458" i="2" a="1"/>
  <c r="AR458" i="2"/>
  <c r="AR459" i="2" a="1"/>
  <c r="AR459" i="2"/>
  <c r="AR460" i="2" a="1"/>
  <c r="AR460" i="2"/>
  <c r="AR461" i="2" a="1"/>
  <c r="AR461" i="2"/>
  <c r="AR462" i="2" a="1"/>
  <c r="AR462" i="2"/>
  <c r="AR463" i="2" a="1"/>
  <c r="AR463" i="2"/>
  <c r="AR464" i="2" a="1"/>
  <c r="AR464" i="2"/>
  <c r="AR465" i="2" a="1"/>
  <c r="AR465" i="2"/>
  <c r="AR466" i="2" a="1"/>
  <c r="AR466" i="2"/>
  <c r="AR467" i="2" a="1"/>
  <c r="AR468" i="2" a="1"/>
  <c r="AR469" i="2" a="1"/>
  <c r="AR470" i="2" a="1"/>
  <c r="AR470" i="2"/>
  <c r="AR471" i="2" a="1"/>
  <c r="AR472" i="2" a="1"/>
  <c r="AR472" i="2"/>
  <c r="AR473" i="2" a="1"/>
  <c r="AR474" i="2" a="1"/>
  <c r="AR475" i="2" a="1"/>
  <c r="AR476" i="2" a="1"/>
  <c r="AR476" i="2"/>
  <c r="AR477" i="2" a="1"/>
  <c r="AR478" i="2" a="1"/>
  <c r="AR479" i="2" a="1"/>
  <c r="AR480" i="2" a="1"/>
  <c r="AR481" i="2" a="1"/>
  <c r="AR482" i="2" a="1"/>
  <c r="AR483" i="2" a="1"/>
  <c r="AR484" i="2" a="1"/>
  <c r="AR485" i="2" a="1"/>
  <c r="AR486" i="2" a="1"/>
  <c r="AR487" i="2" a="1"/>
  <c r="AR488" i="2" a="1"/>
  <c r="AR489" i="2" a="1"/>
  <c r="AR489" i="2"/>
  <c r="AR490" i="2" a="1"/>
  <c r="AR491" i="2" a="1"/>
  <c r="AR492" i="2" a="1"/>
  <c r="AR493" i="2" a="1"/>
  <c r="AR494" i="2" a="1"/>
  <c r="AR495" i="2" a="1"/>
  <c r="AR496" i="2" a="1"/>
  <c r="AR497" i="2" a="1"/>
  <c r="AR498" i="2" a="1"/>
  <c r="AR499" i="2" a="1"/>
  <c r="AR500" i="2" a="1"/>
  <c r="AR500" i="2"/>
  <c r="AQ4" i="2" a="1"/>
  <c r="AQ5" i="2" a="1"/>
  <c r="AQ6" i="2" a="1"/>
  <c r="AQ7" i="2" a="1"/>
  <c r="AQ8" i="2" a="1"/>
  <c r="AQ9" i="2" a="1"/>
  <c r="AQ10" i="2" a="1"/>
  <c r="AQ11" i="2" a="1"/>
  <c r="AQ12" i="2" a="1"/>
  <c r="AQ12" i="2"/>
  <c r="AQ13" i="2" a="1"/>
  <c r="AQ14" i="2" a="1"/>
  <c r="AQ15" i="2" a="1"/>
  <c r="AQ16" i="2" a="1"/>
  <c r="AQ17" i="2" a="1"/>
  <c r="AQ18" i="2" a="1"/>
  <c r="AQ19" i="2" a="1"/>
  <c r="AQ19" i="2"/>
  <c r="AQ20" i="2" a="1"/>
  <c r="AQ21" i="2" a="1"/>
  <c r="AQ22" i="2" a="1"/>
  <c r="AQ23" i="2" a="1"/>
  <c r="AQ24" i="2" a="1"/>
  <c r="AQ25" i="2" a="1"/>
  <c r="AQ26" i="2" a="1"/>
  <c r="AQ27" i="2" a="1"/>
  <c r="AQ28" i="2" a="1"/>
  <c r="AQ29" i="2" a="1"/>
  <c r="AQ30" i="2" a="1"/>
  <c r="AQ30" i="2"/>
  <c r="AQ31" i="2" a="1"/>
  <c r="AQ32" i="2" a="1"/>
  <c r="AQ33" i="2" a="1"/>
  <c r="AQ34" i="2" a="1"/>
  <c r="AQ35" i="2" a="1"/>
  <c r="AQ36" i="2" a="1"/>
  <c r="AQ37" i="2" a="1"/>
  <c r="AQ38" i="2" a="1"/>
  <c r="AQ39" i="2" a="1"/>
  <c r="AQ40" i="2" a="1"/>
  <c r="AQ41" i="2" a="1"/>
  <c r="AQ42" i="2" a="1"/>
  <c r="AQ43" i="2" a="1"/>
  <c r="AQ43" i="2"/>
  <c r="AQ44" i="2" a="1"/>
  <c r="AQ45" i="2" a="1"/>
  <c r="AQ46" i="2" a="1"/>
  <c r="AQ47" i="2" a="1"/>
  <c r="AQ47" i="2"/>
  <c r="AQ48" i="2" a="1"/>
  <c r="AQ49" i="2" a="1"/>
  <c r="AQ49" i="2"/>
  <c r="AQ50" i="2" a="1"/>
  <c r="AQ51" i="2" a="1"/>
  <c r="AQ52" i="2" a="1"/>
  <c r="AQ52" i="2"/>
  <c r="AQ53" i="2" a="1"/>
  <c r="AQ53" i="2"/>
  <c r="AQ54" i="2" a="1"/>
  <c r="AQ54" i="2"/>
  <c r="AQ55" i="2" a="1"/>
  <c r="AQ55" i="2"/>
  <c r="AQ56" i="2" a="1"/>
  <c r="AQ56" i="2"/>
  <c r="AQ57" i="2" a="1"/>
  <c r="AQ57" i="2"/>
  <c r="AQ58" i="2" a="1"/>
  <c r="AQ58" i="2"/>
  <c r="AQ59" i="2" a="1"/>
  <c r="AQ59" i="2"/>
  <c r="AQ60" i="2" a="1"/>
  <c r="AQ60" i="2"/>
  <c r="AQ61" i="2" a="1"/>
  <c r="AQ61" i="2"/>
  <c r="AQ62" i="2" a="1"/>
  <c r="AQ62" i="2"/>
  <c r="AQ63" i="2" a="1"/>
  <c r="AQ63" i="2"/>
  <c r="AQ64" i="2" a="1"/>
  <c r="AQ64" i="2"/>
  <c r="AQ65" i="2" a="1"/>
  <c r="AQ65" i="2"/>
  <c r="AQ66" i="2" a="1"/>
  <c r="AQ66" i="2"/>
  <c r="AQ67" i="2" a="1"/>
  <c r="AQ67" i="2"/>
  <c r="AQ68" i="2" a="1"/>
  <c r="AQ68" i="2"/>
  <c r="AQ69" i="2" a="1"/>
  <c r="AQ69" i="2"/>
  <c r="AQ70" i="2" a="1"/>
  <c r="AQ71" i="2" a="1"/>
  <c r="AQ72" i="2" a="1"/>
  <c r="AQ73" i="2" a="1"/>
  <c r="AQ74" i="2" a="1"/>
  <c r="AQ74" i="2"/>
  <c r="AQ75" i="2" a="1"/>
  <c r="AQ76" i="2" a="1"/>
  <c r="AQ76" i="2"/>
  <c r="AQ77" i="2" a="1"/>
  <c r="AQ78" i="2" a="1"/>
  <c r="AQ79" i="2" a="1"/>
  <c r="AQ80" i="2" a="1"/>
  <c r="AQ81" i="2" a="1"/>
  <c r="AQ82" i="2" a="1"/>
  <c r="AQ83" i="2" a="1"/>
  <c r="AQ84" i="2" a="1"/>
  <c r="AQ85" i="2" a="1"/>
  <c r="AQ85" i="2"/>
  <c r="AQ86" i="2" a="1"/>
  <c r="AQ86" i="2"/>
  <c r="AQ87" i="2" a="1"/>
  <c r="AQ87" i="2"/>
  <c r="AQ88" i="2" a="1"/>
  <c r="AQ88" i="2"/>
  <c r="AQ89" i="2" a="1"/>
  <c r="AQ89" i="2"/>
  <c r="AQ90" i="2" a="1"/>
  <c r="AQ90" i="2"/>
  <c r="AQ91" i="2" a="1"/>
  <c r="AQ91" i="2"/>
  <c r="AQ92" i="2" a="1"/>
  <c r="AQ92" i="2"/>
  <c r="AQ93" i="2" a="1"/>
  <c r="AQ93" i="2"/>
  <c r="AQ94" i="2" a="1"/>
  <c r="AQ94" i="2"/>
  <c r="AQ95" i="2" a="1"/>
  <c r="AQ95" i="2"/>
  <c r="AQ96" i="2" a="1"/>
  <c r="AQ96" i="2"/>
  <c r="AQ97" i="2" a="1"/>
  <c r="AQ97" i="2"/>
  <c r="AQ98" i="2" a="1"/>
  <c r="AQ98" i="2"/>
  <c r="AQ99" i="2" a="1"/>
  <c r="AQ99" i="2"/>
  <c r="AQ100" i="2" a="1"/>
  <c r="AQ100" i="2"/>
  <c r="AQ101" i="2" a="1"/>
  <c r="AQ101" i="2"/>
  <c r="AQ102" i="2" a="1"/>
  <c r="AQ102" i="2"/>
  <c r="AQ103" i="2" a="1"/>
  <c r="AQ103" i="2"/>
  <c r="AQ104" i="2" a="1"/>
  <c r="AQ104" i="2"/>
  <c r="AQ105" i="2" a="1"/>
  <c r="AQ105" i="2"/>
  <c r="AQ106" i="2" a="1"/>
  <c r="AQ106" i="2"/>
  <c r="AQ107" i="2" a="1"/>
  <c r="AQ107" i="2"/>
  <c r="AQ108" i="2" a="1"/>
  <c r="AQ109" i="2" a="1"/>
  <c r="AQ110" i="2" a="1"/>
  <c r="AQ110" i="2"/>
  <c r="AQ111" i="2" a="1"/>
  <c r="AQ112" i="2" a="1"/>
  <c r="AQ113" i="2" a="1"/>
  <c r="AQ114" i="2" a="1"/>
  <c r="AQ115" i="2" a="1"/>
  <c r="AQ116" i="2" a="1"/>
  <c r="AQ117" i="2" a="1"/>
  <c r="AQ117" i="2"/>
  <c r="AQ118" i="2" a="1"/>
  <c r="AQ119" i="2" a="1"/>
  <c r="AQ120" i="2" a="1"/>
  <c r="AQ121" i="2" a="1"/>
  <c r="AQ122" i="2" a="1"/>
  <c r="AQ123" i="2" a="1"/>
  <c r="AQ124" i="2" a="1"/>
  <c r="AQ124" i="2"/>
  <c r="AQ125" i="2" a="1"/>
  <c r="AQ126" i="2" a="1"/>
  <c r="AQ127" i="2" a="1"/>
  <c r="AQ128" i="2" a="1"/>
  <c r="AQ129" i="2" a="1"/>
  <c r="AQ130" i="2" a="1"/>
  <c r="AQ131" i="2" a="1"/>
  <c r="AQ131" i="2"/>
  <c r="AQ132" i="2" a="1"/>
  <c r="AQ133" i="2" a="1"/>
  <c r="AQ134" i="2" a="1"/>
  <c r="AQ135" i="2" a="1"/>
  <c r="AQ136" i="2" a="1"/>
  <c r="AQ136" i="2"/>
  <c r="AQ137" i="2" a="1"/>
  <c r="AQ138" i="2" a="1"/>
  <c r="AQ139" i="2" a="1"/>
  <c r="AQ140" i="2" a="1"/>
  <c r="AQ141" i="2" a="1"/>
  <c r="AQ142" i="2" a="1"/>
  <c r="AQ143" i="2" a="1"/>
  <c r="AQ143" i="2"/>
  <c r="AQ144" i="2" a="1"/>
  <c r="AQ145" i="2" a="1"/>
  <c r="AQ146" i="2" a="1"/>
  <c r="AQ147" i="2" a="1"/>
  <c r="AQ148" i="2" a="1"/>
  <c r="AQ149" i="2" a="1"/>
  <c r="AQ150" i="2" a="1"/>
  <c r="AQ150" i="2"/>
  <c r="AQ151" i="2" a="1"/>
  <c r="AQ152" i="2" a="1"/>
  <c r="AQ153" i="2" a="1"/>
  <c r="AQ154" i="2" a="1"/>
  <c r="AQ155" i="2" a="1"/>
  <c r="AQ156" i="2" a="1"/>
  <c r="AQ157" i="2" a="1"/>
  <c r="AQ158" i="2" a="1"/>
  <c r="AQ159" i="2" a="1"/>
  <c r="AQ160" i="2" a="1"/>
  <c r="AQ161" i="2" a="1"/>
  <c r="AQ161" i="2"/>
  <c r="AQ162" i="2" a="1"/>
  <c r="AQ163" i="2" a="1"/>
  <c r="AQ164" i="2" a="1"/>
  <c r="AQ165" i="2" a="1"/>
  <c r="AQ166" i="2" a="1"/>
  <c r="AQ167" i="2" a="1"/>
  <c r="AQ168" i="2" a="1"/>
  <c r="AQ169" i="2" a="1"/>
  <c r="AQ170" i="2" a="1"/>
  <c r="AQ171" i="2" a="1"/>
  <c r="AQ172" i="2" a="1"/>
  <c r="AQ173" i="2" a="1"/>
  <c r="AQ174" i="2" a="1"/>
  <c r="AQ174" i="2"/>
  <c r="AQ175" i="2" a="1"/>
  <c r="AQ176" i="2" a="1"/>
  <c r="AQ177" i="2" a="1"/>
  <c r="AQ178" i="2" a="1"/>
  <c r="AQ179" i="2" a="1"/>
  <c r="AQ179" i="2"/>
  <c r="AQ180" i="2" a="1"/>
  <c r="AQ181" i="2" a="1"/>
  <c r="AQ182" i="2" a="1"/>
  <c r="AQ183" i="2" a="1"/>
  <c r="AQ184" i="2" a="1"/>
  <c r="AQ185" i="2" a="1"/>
  <c r="AQ186" i="2" a="1"/>
  <c r="AQ187" i="2" a="1"/>
  <c r="AQ188" i="2" a="1"/>
  <c r="AQ188" i="2"/>
  <c r="AQ189" i="2" a="1"/>
  <c r="AQ190" i="2" a="1"/>
  <c r="AQ191" i="2" a="1"/>
  <c r="AQ192" i="2" a="1"/>
  <c r="AQ193" i="2" a="1"/>
  <c r="AQ194" i="2" a="1"/>
  <c r="AQ195" i="2" a="1"/>
  <c r="AQ195" i="2"/>
  <c r="AQ196" i="2" a="1"/>
  <c r="AQ197" i="2" a="1"/>
  <c r="AQ198" i="2" a="1"/>
  <c r="AQ199" i="2" a="1"/>
  <c r="AQ200" i="2" a="1"/>
  <c r="AQ201" i="2" a="1"/>
  <c r="AQ202" i="2" a="1"/>
  <c r="AQ203" i="2" a="1"/>
  <c r="AQ204" i="2" a="1"/>
  <c r="AQ205" i="2" a="1"/>
  <c r="AQ206" i="2" a="1"/>
  <c r="AQ207" i="2" a="1"/>
  <c r="AQ208" i="2" a="1"/>
  <c r="AQ208" i="2"/>
  <c r="AQ209" i="2" a="1"/>
  <c r="AQ209" i="2"/>
  <c r="AQ210" i="2" a="1"/>
  <c r="AQ211" i="2" a="1"/>
  <c r="AQ212" i="2" a="1"/>
  <c r="AQ213" i="2" a="1"/>
  <c r="AQ214" i="2" a="1"/>
  <c r="AQ215" i="2" a="1"/>
  <c r="AQ216" i="2" a="1"/>
  <c r="AQ217" i="2" a="1"/>
  <c r="AQ218" i="2" a="1"/>
  <c r="AQ219" i="2" a="1"/>
  <c r="AQ220" i="2" a="1"/>
  <c r="AQ221" i="2" a="1"/>
  <c r="AQ222" i="2" a="1"/>
  <c r="AQ223" i="2" a="1"/>
  <c r="AQ224" i="2" a="1"/>
  <c r="AQ225" i="2" a="1"/>
  <c r="AQ226" i="2" a="1"/>
  <c r="AQ227" i="2" a="1"/>
  <c r="AQ228" i="2" a="1"/>
  <c r="AQ228" i="2"/>
  <c r="AQ229" i="2" a="1"/>
  <c r="AQ230" i="2" a="1"/>
  <c r="AQ231" i="2" a="1"/>
  <c r="AQ232" i="2" a="1"/>
  <c r="AQ233" i="2" a="1"/>
  <c r="AQ234" i="2" a="1"/>
  <c r="AQ235" i="2" a="1"/>
  <c r="AQ236" i="2" a="1"/>
  <c r="AQ237" i="2" a="1"/>
  <c r="AQ237" i="2"/>
  <c r="AQ238" i="2" a="1"/>
  <c r="AQ239" i="2" a="1"/>
  <c r="AQ240" i="2" a="1"/>
  <c r="AQ241" i="2" a="1"/>
  <c r="AQ242" i="2" a="1"/>
  <c r="AQ243" i="2" a="1"/>
  <c r="AQ244" i="2" a="1"/>
  <c r="AQ245" i="2" a="1"/>
  <c r="AQ246" i="2" a="1"/>
  <c r="AQ247" i="2" a="1"/>
  <c r="AQ248" i="2" a="1"/>
  <c r="AQ249" i="2" a="1"/>
  <c r="AQ250" i="2" a="1"/>
  <c r="AQ251" i="2" a="1"/>
  <c r="AQ252" i="2" a="1"/>
  <c r="AQ253" i="2" a="1"/>
  <c r="AQ254" i="2" a="1"/>
  <c r="AQ254" i="2"/>
  <c r="AQ255" i="2" a="1"/>
  <c r="AQ256" i="2" a="1"/>
  <c r="AQ257" i="2" a="1"/>
  <c r="AQ258" i="2" a="1"/>
  <c r="AQ259" i="2" a="1"/>
  <c r="AQ259" i="2"/>
  <c r="AQ260" i="2" a="1"/>
  <c r="AQ261" i="2" a="1"/>
  <c r="AQ262" i="2" a="1"/>
  <c r="AQ263" i="2" a="1"/>
  <c r="AQ264" i="2" a="1"/>
  <c r="AQ264" i="2"/>
  <c r="AQ265" i="2" a="1"/>
  <c r="AQ265" i="2"/>
  <c r="AQ266" i="2" a="1"/>
  <c r="AQ266" i="2"/>
  <c r="AQ267" i="2" a="1"/>
  <c r="AQ267" i="2"/>
  <c r="AQ268" i="2" a="1"/>
  <c r="AQ268" i="2"/>
  <c r="AQ269" i="2" a="1"/>
  <c r="AQ269" i="2"/>
  <c r="AQ270" i="2" a="1"/>
  <c r="AQ270" i="2"/>
  <c r="AQ271" i="2" a="1"/>
  <c r="AQ271" i="2"/>
  <c r="AQ272" i="2" a="1"/>
  <c r="AQ272" i="2"/>
  <c r="AQ273" i="2" a="1"/>
  <c r="AQ273" i="2"/>
  <c r="AQ274" i="2" a="1"/>
  <c r="AQ274" i="2"/>
  <c r="AQ275" i="2" a="1"/>
  <c r="AQ275" i="2"/>
  <c r="AQ276" i="2" a="1"/>
  <c r="AQ276" i="2"/>
  <c r="AQ277" i="2" a="1"/>
  <c r="AQ277" i="2"/>
  <c r="AQ278" i="2" a="1"/>
  <c r="AQ278" i="2"/>
  <c r="AQ279" i="2" a="1"/>
  <c r="AQ279" i="2"/>
  <c r="AQ280" i="2" a="1"/>
  <c r="AQ280" i="2"/>
  <c r="AQ281" i="2" a="1"/>
  <c r="AQ281" i="2"/>
  <c r="AQ282" i="2" a="1"/>
  <c r="AQ282" i="2"/>
  <c r="AQ283" i="2" a="1"/>
  <c r="AQ283" i="2"/>
  <c r="AQ284" i="2" a="1"/>
  <c r="AQ284" i="2"/>
  <c r="AQ285" i="2" a="1"/>
  <c r="AQ285" i="2"/>
  <c r="AQ286" i="2" a="1"/>
  <c r="AQ286" i="2"/>
  <c r="AQ287" i="2" a="1"/>
  <c r="AQ288" i="2" a="1"/>
  <c r="AQ289" i="2" a="1"/>
  <c r="AQ289" i="2"/>
  <c r="AQ290" i="2" a="1"/>
  <c r="AQ291" i="2" a="1"/>
  <c r="AQ292" i="2" a="1"/>
  <c r="AQ293" i="2" a="1"/>
  <c r="AQ294" i="2" a="1"/>
  <c r="AQ295" i="2" a="1"/>
  <c r="AQ296" i="2" a="1"/>
  <c r="AQ297" i="2" a="1"/>
  <c r="AQ298" i="2" a="1"/>
  <c r="AQ298" i="2"/>
  <c r="AQ299" i="2" a="1"/>
  <c r="AQ300" i="2" a="1"/>
  <c r="AQ301" i="2" a="1"/>
  <c r="AQ302" i="2" a="1"/>
  <c r="AQ303" i="2" a="1"/>
  <c r="AQ304" i="2" a="1"/>
  <c r="AQ305" i="2" a="1"/>
  <c r="AQ305" i="2"/>
  <c r="AQ306" i="2" a="1"/>
  <c r="AQ307" i="2" a="1"/>
  <c r="AQ308" i="2" a="1"/>
  <c r="AQ309" i="2" a="1"/>
  <c r="AQ310" i="2" a="1"/>
  <c r="AQ311" i="2" a="1"/>
  <c r="AQ312" i="2" a="1"/>
  <c r="AQ312" i="2"/>
  <c r="AQ313" i="2" a="1"/>
  <c r="AQ314" i="2" a="1"/>
  <c r="AQ315" i="2" a="1"/>
  <c r="AQ316" i="2" a="1"/>
  <c r="AQ317" i="2" a="1"/>
  <c r="AQ318" i="2" a="1"/>
  <c r="AQ319" i="2" a="1"/>
  <c r="AQ320" i="2" a="1"/>
  <c r="AQ321" i="2" a="1"/>
  <c r="AQ322" i="2" a="1"/>
  <c r="AQ323" i="2" a="1"/>
  <c r="AQ324" i="2" a="1"/>
  <c r="AQ325" i="2" a="1"/>
  <c r="AQ326" i="2" a="1"/>
  <c r="AQ327" i="2" a="1"/>
  <c r="AQ327" i="2"/>
  <c r="AQ328" i="2" a="1"/>
  <c r="AQ329" i="2" a="1"/>
  <c r="AQ330" i="2" a="1"/>
  <c r="AQ331" i="2" a="1"/>
  <c r="AQ332" i="2" a="1"/>
  <c r="AQ333" i="2" a="1"/>
  <c r="AQ334" i="2" a="1"/>
  <c r="AQ335" i="2" a="1"/>
  <c r="AQ336" i="2" a="1"/>
  <c r="AQ337" i="2" a="1"/>
  <c r="AQ338" i="2" a="1"/>
  <c r="AQ339" i="2" a="1"/>
  <c r="AQ340" i="2" a="1"/>
  <c r="AQ341" i="2" a="1"/>
  <c r="AQ342" i="2" a="1"/>
  <c r="AQ343" i="2" a="1"/>
  <c r="AQ344" i="2" a="1"/>
  <c r="AQ345" i="2" a="1"/>
  <c r="AQ346" i="2" a="1"/>
  <c r="AQ347" i="2" a="1"/>
  <c r="AQ348" i="2" a="1"/>
  <c r="AQ349" i="2" a="1"/>
  <c r="AQ350" i="2" a="1"/>
  <c r="AQ351" i="2" a="1"/>
  <c r="AQ352" i="2" a="1"/>
  <c r="AQ353" i="2" a="1"/>
  <c r="AQ354" i="2" a="1"/>
  <c r="AQ355" i="2" a="1"/>
  <c r="AQ356" i="2" a="1"/>
  <c r="AQ356" i="2"/>
  <c r="AQ357" i="2" a="1"/>
  <c r="AQ358" i="2" a="1"/>
  <c r="AQ359" i="2" a="1"/>
  <c r="AQ360" i="2" a="1"/>
  <c r="AQ361" i="2" a="1"/>
  <c r="AQ362" i="2" a="1"/>
  <c r="AQ363" i="2" a="1"/>
  <c r="AQ364" i="2" a="1"/>
  <c r="AQ365" i="2" a="1"/>
  <c r="AQ366" i="2" a="1"/>
  <c r="AQ367" i="2" a="1"/>
  <c r="AQ367" i="2"/>
  <c r="AQ368" i="2" a="1"/>
  <c r="AQ369" i="2" a="1"/>
  <c r="AQ370" i="2" a="1"/>
  <c r="AQ371" i="2" a="1"/>
  <c r="AQ372" i="2" a="1"/>
  <c r="AQ373" i="2" a="1"/>
  <c r="AQ374" i="2" a="1"/>
  <c r="AQ375" i="2" a="1"/>
  <c r="AQ376" i="2" a="1"/>
  <c r="AQ376" i="2"/>
  <c r="AQ377" i="2" a="1"/>
  <c r="AQ378" i="2" a="1"/>
  <c r="AQ378" i="2"/>
  <c r="AQ379" i="2" a="1"/>
  <c r="AQ380" i="2" a="1"/>
  <c r="AQ380" i="2"/>
  <c r="AQ381" i="2" a="1"/>
  <c r="AQ382" i="2" a="1"/>
  <c r="AQ383" i="2" a="1"/>
  <c r="AQ384" i="2" a="1"/>
  <c r="AQ385" i="2" a="1"/>
  <c r="AQ386" i="2" a="1"/>
  <c r="AQ387" i="2" a="1"/>
  <c r="AQ388" i="2" a="1"/>
  <c r="AQ389" i="2" a="1"/>
  <c r="AQ389" i="2"/>
  <c r="AQ390" i="2" a="1"/>
  <c r="AQ391" i="2" a="1"/>
  <c r="AQ392" i="2" a="1"/>
  <c r="AQ393" i="2" a="1"/>
  <c r="AQ394" i="2" a="1"/>
  <c r="AQ395" i="2" a="1"/>
  <c r="AQ396" i="2" a="1"/>
  <c r="AQ397" i="2" a="1"/>
  <c r="AQ398" i="2" a="1"/>
  <c r="AQ398" i="2"/>
  <c r="AQ399" i="2" a="1"/>
  <c r="AQ400" i="2" a="1"/>
  <c r="AQ400" i="2"/>
  <c r="AQ401" i="2" a="1"/>
  <c r="AQ402" i="2" a="1"/>
  <c r="AQ402" i="2"/>
  <c r="AQ403" i="2" a="1"/>
  <c r="AQ404" i="2" a="1"/>
  <c r="AQ405" i="2" a="1"/>
  <c r="AQ406" i="2" a="1"/>
  <c r="AQ407" i="2" a="1"/>
  <c r="AQ408" i="2" a="1"/>
  <c r="AQ409" i="2" a="1"/>
  <c r="AQ410" i="2" a="1"/>
  <c r="AQ411" i="2" a="1"/>
  <c r="AQ412" i="2" a="1"/>
  <c r="AQ413" i="2" a="1"/>
  <c r="AQ414" i="2" a="1"/>
  <c r="AQ415" i="2" a="1"/>
  <c r="AQ416" i="2" a="1"/>
  <c r="AQ417" i="2" a="1"/>
  <c r="AQ418" i="2" a="1"/>
  <c r="AQ419" i="2" a="1"/>
  <c r="AQ420" i="2" a="1"/>
  <c r="AQ421" i="2" a="1"/>
  <c r="AQ422" i="2" a="1"/>
  <c r="AQ423" i="2" a="1"/>
  <c r="AQ424" i="2" a="1"/>
  <c r="AQ425" i="2" a="1"/>
  <c r="AQ426" i="2" a="1"/>
  <c r="AQ427" i="2" a="1"/>
  <c r="AQ428" i="2" a="1"/>
  <c r="AQ429" i="2" a="1"/>
  <c r="AQ430" i="2" a="1"/>
  <c r="AQ431" i="2" a="1"/>
  <c r="AQ432" i="2" a="1"/>
  <c r="AQ433" i="2" a="1"/>
  <c r="AQ434" i="2" a="1"/>
  <c r="AQ435" i="2" a="1"/>
  <c r="AQ436" i="2" a="1"/>
  <c r="AQ437" i="2" a="1"/>
  <c r="AQ438" i="2" a="1"/>
  <c r="AQ439" i="2" a="1"/>
  <c r="AQ440" i="2" a="1"/>
  <c r="AQ441" i="2" a="1"/>
  <c r="AQ442" i="2" a="1"/>
  <c r="AQ443" i="2" a="1"/>
  <c r="AQ444" i="2" a="1"/>
  <c r="AQ445" i="2" a="1"/>
  <c r="AQ446" i="2" a="1"/>
  <c r="AQ447" i="2" a="1"/>
  <c r="AQ448" i="2" a="1"/>
  <c r="AQ449" i="2" a="1"/>
  <c r="AQ450" i="2" a="1"/>
  <c r="AQ451" i="2" a="1"/>
  <c r="AQ452" i="2" a="1"/>
  <c r="AQ453" i="2" a="1"/>
  <c r="AQ454" i="2" a="1"/>
  <c r="AQ455" i="2" a="1"/>
  <c r="AQ456" i="2" a="1"/>
  <c r="AQ457" i="2" a="1"/>
  <c r="AQ458" i="2" a="1"/>
  <c r="AQ459" i="2" a="1"/>
  <c r="AQ460" i="2" a="1"/>
  <c r="AQ461" i="2" a="1"/>
  <c r="AQ462" i="2" a="1"/>
  <c r="AQ463" i="2" a="1"/>
  <c r="AQ464" i="2" a="1"/>
  <c r="AQ465" i="2" a="1"/>
  <c r="AQ466" i="2" a="1"/>
  <c r="AQ467" i="2" a="1"/>
  <c r="AQ468" i="2" a="1"/>
  <c r="AQ469" i="2" a="1"/>
  <c r="AQ470" i="2" a="1"/>
  <c r="AQ471" i="2" a="1"/>
  <c r="AQ472" i="2" a="1"/>
  <c r="AQ473" i="2" a="1"/>
  <c r="AQ474" i="2" a="1"/>
  <c r="AQ475" i="2" a="1"/>
  <c r="AQ476" i="2" a="1"/>
  <c r="AQ477" i="2" a="1"/>
  <c r="AQ478" i="2" a="1"/>
  <c r="AQ479" i="2" a="1"/>
  <c r="AQ480" i="2" a="1"/>
  <c r="AQ481" i="2" a="1"/>
  <c r="AQ482" i="2" a="1"/>
  <c r="AQ483" i="2" a="1"/>
  <c r="AQ484" i="2" a="1"/>
  <c r="AQ485" i="2" a="1"/>
  <c r="AQ486" i="2" a="1"/>
  <c r="AQ487" i="2" a="1"/>
  <c r="AQ488" i="2" a="1"/>
  <c r="AQ489" i="2" a="1"/>
  <c r="AQ490" i="2" a="1"/>
  <c r="AQ491" i="2" a="1"/>
  <c r="AQ492" i="2" a="1"/>
  <c r="AQ493" i="2" a="1"/>
  <c r="AQ494" i="2" a="1"/>
  <c r="AQ495" i="2" a="1"/>
  <c r="AQ496" i="2" a="1"/>
  <c r="AQ497" i="2" a="1"/>
  <c r="AQ498" i="2" a="1"/>
  <c r="AQ499" i="2" a="1"/>
  <c r="AQ500" i="2" a="1"/>
  <c r="AP4" i="2" a="1"/>
  <c r="AP5" i="2" a="1"/>
  <c r="AP6" i="2" a="1"/>
  <c r="AP7" i="2" a="1"/>
  <c r="AP8" i="2" a="1"/>
  <c r="AP9" i="2" a="1"/>
  <c r="AP10" i="2" a="1"/>
  <c r="AP11" i="2" a="1"/>
  <c r="AP12" i="2" a="1"/>
  <c r="AP13" i="2" a="1"/>
  <c r="AP14" i="2" a="1"/>
  <c r="AP15" i="2" a="1"/>
  <c r="AP16" i="2" a="1"/>
  <c r="AP17" i="2" a="1"/>
  <c r="AP18" i="2" a="1"/>
  <c r="AP19" i="2" a="1"/>
  <c r="AP20" i="2" a="1"/>
  <c r="AP21" i="2" a="1"/>
  <c r="AP22" i="2" a="1"/>
  <c r="AP23" i="2" a="1"/>
  <c r="AP24" i="2" a="1"/>
  <c r="AP25" i="2" a="1"/>
  <c r="AP26" i="2" a="1"/>
  <c r="AP27" i="2" a="1"/>
  <c r="AP28" i="2" a="1"/>
  <c r="AP29" i="2" a="1"/>
  <c r="AP30" i="2" a="1"/>
  <c r="AP31" i="2" a="1"/>
  <c r="AP32" i="2" a="1"/>
  <c r="AP33" i="2" a="1"/>
  <c r="AP34" i="2" a="1"/>
  <c r="AP35" i="2" a="1"/>
  <c r="AP36" i="2" a="1"/>
  <c r="AP37" i="2" a="1"/>
  <c r="AP38" i="2" a="1"/>
  <c r="AP39" i="2" a="1"/>
  <c r="AP40" i="2" a="1"/>
  <c r="AP41" i="2" a="1"/>
  <c r="AP42" i="2" a="1"/>
  <c r="AP43" i="2" a="1"/>
  <c r="AP44" i="2" a="1"/>
  <c r="AP45" i="2" a="1"/>
  <c r="AP46" i="2" a="1"/>
  <c r="AP47" i="2" a="1"/>
  <c r="AP48" i="2" a="1"/>
  <c r="AP49" i="2" a="1"/>
  <c r="AP50" i="2" a="1"/>
  <c r="AP51" i="2" a="1"/>
  <c r="AP52" i="2" a="1"/>
  <c r="AP53" i="2" a="1"/>
  <c r="AP54" i="2" a="1"/>
  <c r="AP55" i="2" a="1"/>
  <c r="AP56" i="2" a="1"/>
  <c r="AP57" i="2" a="1"/>
  <c r="AP58" i="2" a="1"/>
  <c r="AP59" i="2" a="1"/>
  <c r="AP60" i="2" a="1"/>
  <c r="AP61" i="2" a="1"/>
  <c r="AP62" i="2" a="1"/>
  <c r="AP63" i="2" a="1"/>
  <c r="AP64" i="2" a="1"/>
  <c r="AP65" i="2" a="1"/>
  <c r="AP66" i="2" a="1"/>
  <c r="AP67" i="2" a="1"/>
  <c r="AP68" i="2" a="1"/>
  <c r="AP69" i="2" a="1"/>
  <c r="AP70" i="2" a="1"/>
  <c r="AP71" i="2" a="1"/>
  <c r="AP72" i="2" a="1"/>
  <c r="AP73" i="2" a="1"/>
  <c r="AP74" i="2" a="1"/>
  <c r="AP75" i="2" a="1"/>
  <c r="AP76" i="2" a="1"/>
  <c r="AP77" i="2" a="1"/>
  <c r="AP78" i="2" a="1"/>
  <c r="AP79" i="2" a="1"/>
  <c r="AP80" i="2" a="1"/>
  <c r="AP81" i="2" a="1"/>
  <c r="AP82" i="2" a="1"/>
  <c r="AP83" i="2" a="1"/>
  <c r="AP84" i="2" a="1"/>
  <c r="AP85" i="2" a="1"/>
  <c r="AP86" i="2" a="1"/>
  <c r="AP87" i="2" a="1"/>
  <c r="AP88" i="2" a="1"/>
  <c r="AP89" i="2" a="1"/>
  <c r="AP90" i="2" a="1"/>
  <c r="AP91" i="2" a="1"/>
  <c r="AP92" i="2" a="1"/>
  <c r="AP93" i="2" a="1"/>
  <c r="AP94" i="2" a="1"/>
  <c r="AP95" i="2" a="1"/>
  <c r="AP96" i="2" a="1"/>
  <c r="AP97" i="2" a="1"/>
  <c r="AP98" i="2" a="1"/>
  <c r="AP99" i="2" a="1"/>
  <c r="AP100" i="2" a="1"/>
  <c r="AP101" i="2" a="1"/>
  <c r="AP102" i="2" a="1"/>
  <c r="AP103" i="2" a="1"/>
  <c r="AP104" i="2" a="1"/>
  <c r="AP105" i="2" a="1"/>
  <c r="AP106" i="2" a="1"/>
  <c r="AP107" i="2" a="1"/>
  <c r="AP108" i="2" a="1"/>
  <c r="AP109" i="2" a="1"/>
  <c r="AP110" i="2" a="1"/>
  <c r="AP111" i="2" a="1"/>
  <c r="AP112" i="2" a="1"/>
  <c r="AP113" i="2" a="1"/>
  <c r="AP114" i="2" a="1"/>
  <c r="AP115" i="2" a="1"/>
  <c r="AP116" i="2" a="1"/>
  <c r="AP117" i="2" a="1"/>
  <c r="AP118" i="2" a="1"/>
  <c r="AP119" i="2" a="1"/>
  <c r="AP120" i="2" a="1"/>
  <c r="AP121" i="2" a="1"/>
  <c r="AP122" i="2" a="1"/>
  <c r="AP123" i="2" a="1"/>
  <c r="AP124" i="2" a="1"/>
  <c r="AP125" i="2" a="1"/>
  <c r="AP126" i="2" a="1"/>
  <c r="AP127" i="2" a="1"/>
  <c r="AP128" i="2" a="1"/>
  <c r="AP129" i="2" a="1"/>
  <c r="AP130" i="2" a="1"/>
  <c r="AP131" i="2" a="1"/>
  <c r="AP132" i="2" a="1"/>
  <c r="AP133" i="2" a="1"/>
  <c r="AP134" i="2" a="1"/>
  <c r="AP135" i="2" a="1"/>
  <c r="AP136" i="2" a="1"/>
  <c r="AP137" i="2" a="1"/>
  <c r="AP138" i="2" a="1"/>
  <c r="AP139" i="2" a="1"/>
  <c r="AP140" i="2" a="1"/>
  <c r="AP141" i="2" a="1"/>
  <c r="AP142" i="2" a="1"/>
  <c r="AP143" i="2" a="1"/>
  <c r="AP144" i="2" a="1"/>
  <c r="AP145" i="2" a="1"/>
  <c r="AP146" i="2" a="1"/>
  <c r="AP147" i="2" a="1"/>
  <c r="AP148" i="2" a="1"/>
  <c r="AP149" i="2" a="1"/>
  <c r="AP150" i="2" a="1"/>
  <c r="AP151" i="2" a="1"/>
  <c r="AP152" i="2" a="1"/>
  <c r="AP153" i="2" a="1"/>
  <c r="AP154" i="2" a="1"/>
  <c r="AP155" i="2" a="1"/>
  <c r="AP156" i="2" a="1"/>
  <c r="AP157" i="2" a="1"/>
  <c r="AP158" i="2" a="1"/>
  <c r="AP159" i="2" a="1"/>
  <c r="AP160" i="2" a="1"/>
  <c r="AP161" i="2" a="1"/>
  <c r="AP162" i="2" a="1"/>
  <c r="AP163" i="2" a="1"/>
  <c r="AP164" i="2" a="1"/>
  <c r="AP165" i="2" a="1"/>
  <c r="AP166" i="2" a="1"/>
  <c r="AP167" i="2" a="1"/>
  <c r="AP168" i="2" a="1"/>
  <c r="AP169" i="2" a="1"/>
  <c r="AP170" i="2" a="1"/>
  <c r="AP171" i="2" a="1"/>
  <c r="AP172" i="2" a="1"/>
  <c r="AP173" i="2" a="1"/>
  <c r="AP174" i="2" a="1"/>
  <c r="AP175" i="2" a="1"/>
  <c r="AP176" i="2" a="1"/>
  <c r="AP177" i="2" a="1"/>
  <c r="AP178" i="2" a="1"/>
  <c r="AP179" i="2" a="1"/>
  <c r="AP180" i="2" a="1"/>
  <c r="AP181" i="2" a="1"/>
  <c r="AP182" i="2" a="1"/>
  <c r="AP183" i="2" a="1"/>
  <c r="AP184" i="2" a="1"/>
  <c r="AP185" i="2" a="1"/>
  <c r="AP186" i="2" a="1"/>
  <c r="AP187" i="2" a="1"/>
  <c r="AP188" i="2" a="1"/>
  <c r="AP189" i="2" a="1"/>
  <c r="AP190" i="2" a="1"/>
  <c r="AP191" i="2" a="1"/>
  <c r="AP192" i="2" a="1"/>
  <c r="AP193" i="2" a="1"/>
  <c r="AP194" i="2" a="1"/>
  <c r="AP195" i="2" a="1"/>
  <c r="AP196" i="2" a="1"/>
  <c r="AP197" i="2" a="1"/>
  <c r="AP198" i="2" a="1"/>
  <c r="AP199" i="2" a="1"/>
  <c r="AP200" i="2" a="1"/>
  <c r="AP201" i="2" a="1"/>
  <c r="AP202" i="2" a="1"/>
  <c r="AP203" i="2" a="1"/>
  <c r="AP204" i="2" a="1"/>
  <c r="AP205" i="2" a="1"/>
  <c r="AP206" i="2" a="1"/>
  <c r="AP207" i="2" a="1"/>
  <c r="AP208" i="2" a="1"/>
  <c r="AP209" i="2" a="1"/>
  <c r="AP210" i="2" a="1"/>
  <c r="AP211" i="2" a="1"/>
  <c r="AP212" i="2" a="1"/>
  <c r="AP213" i="2" a="1"/>
  <c r="AP214" i="2" a="1"/>
  <c r="AP215" i="2" a="1"/>
  <c r="AP216" i="2" a="1"/>
  <c r="AP217" i="2" a="1"/>
  <c r="AP218" i="2" a="1"/>
  <c r="AP219" i="2" a="1"/>
  <c r="AP220" i="2" a="1"/>
  <c r="AP221" i="2" a="1"/>
  <c r="AP222" i="2" a="1"/>
  <c r="AP223" i="2" a="1"/>
  <c r="AP224" i="2" a="1"/>
  <c r="AP225" i="2" a="1"/>
  <c r="AP226" i="2" a="1"/>
  <c r="AP227" i="2" a="1"/>
  <c r="AP228" i="2" a="1"/>
  <c r="AP229" i="2" a="1"/>
  <c r="AP230" i="2" a="1"/>
  <c r="AP231" i="2" a="1"/>
  <c r="AP232" i="2" a="1"/>
  <c r="AP233" i="2" a="1"/>
  <c r="AP234" i="2" a="1"/>
  <c r="AP235" i="2" a="1"/>
  <c r="AP236" i="2" a="1"/>
  <c r="AP237" i="2" a="1"/>
  <c r="AP238" i="2" a="1"/>
  <c r="AP239" i="2" a="1"/>
  <c r="AP240" i="2" a="1"/>
  <c r="AP241" i="2" a="1"/>
  <c r="AP242" i="2" a="1"/>
  <c r="AP243" i="2" a="1"/>
  <c r="AP244" i="2" a="1"/>
  <c r="AP245" i="2" a="1"/>
  <c r="AP246" i="2" a="1"/>
  <c r="AP247" i="2" a="1"/>
  <c r="AP248" i="2" a="1"/>
  <c r="AP249" i="2" a="1"/>
  <c r="AP250" i="2" a="1"/>
  <c r="AP251" i="2" a="1"/>
  <c r="AP252" i="2" a="1"/>
  <c r="AP253" i="2" a="1"/>
  <c r="AP254" i="2" a="1"/>
  <c r="AP255" i="2" a="1"/>
  <c r="AP256" i="2" a="1"/>
  <c r="AP257" i="2" a="1"/>
  <c r="AP258" i="2" a="1"/>
  <c r="AP259" i="2" a="1"/>
  <c r="AP260" i="2" a="1"/>
  <c r="AP261" i="2" a="1"/>
  <c r="AP262" i="2" a="1"/>
  <c r="AP263" i="2" a="1"/>
  <c r="AP264" i="2" a="1"/>
  <c r="AP265" i="2" a="1"/>
  <c r="AP266" i="2" a="1"/>
  <c r="AP267" i="2" a="1"/>
  <c r="AP268" i="2" a="1"/>
  <c r="AP269" i="2" a="1"/>
  <c r="AP270" i="2" a="1"/>
  <c r="AP271" i="2" a="1"/>
  <c r="AP272" i="2" a="1"/>
  <c r="AP273" i="2" a="1"/>
  <c r="AP274" i="2" a="1"/>
  <c r="AP275" i="2" a="1"/>
  <c r="AP276" i="2" a="1"/>
  <c r="AP277" i="2" a="1"/>
  <c r="AP278" i="2" a="1"/>
  <c r="AP279" i="2" a="1"/>
  <c r="AP280" i="2" a="1"/>
  <c r="AP281" i="2" a="1"/>
  <c r="AP282" i="2" a="1"/>
  <c r="AP283" i="2" a="1"/>
  <c r="AP284" i="2" a="1"/>
  <c r="AP285" i="2" a="1"/>
  <c r="AP286" i="2" a="1"/>
  <c r="AP287" i="2" a="1"/>
  <c r="AP288" i="2" a="1"/>
  <c r="AP289" i="2" a="1"/>
  <c r="AP290" i="2" a="1"/>
  <c r="AP291" i="2" a="1"/>
  <c r="AP292" i="2" a="1"/>
  <c r="AP293" i="2" a="1"/>
  <c r="AP294" i="2" a="1"/>
  <c r="AP295" i="2" a="1"/>
  <c r="AP296" i="2" a="1"/>
  <c r="AP297" i="2" a="1"/>
  <c r="AP298" i="2" a="1"/>
  <c r="AP299" i="2" a="1"/>
  <c r="AP300" i="2" a="1"/>
  <c r="AP301" i="2" a="1"/>
  <c r="AP302" i="2" a="1"/>
  <c r="AP303" i="2" a="1"/>
  <c r="AP304" i="2" a="1"/>
  <c r="AP305" i="2" a="1"/>
  <c r="AP306" i="2" a="1"/>
  <c r="AP307" i="2" a="1"/>
  <c r="AP308" i="2" a="1"/>
  <c r="AP309" i="2" a="1"/>
  <c r="AP310" i="2" a="1"/>
  <c r="AP311" i="2" a="1"/>
  <c r="AP312" i="2" a="1"/>
  <c r="AP313" i="2" a="1"/>
  <c r="AP314" i="2" a="1"/>
  <c r="AP315" i="2" a="1"/>
  <c r="AP316" i="2" a="1"/>
  <c r="AP317" i="2" a="1"/>
  <c r="AP318" i="2" a="1"/>
  <c r="AP319" i="2" a="1"/>
  <c r="AP320" i="2" a="1"/>
  <c r="AP321" i="2" a="1"/>
  <c r="AP322" i="2" a="1"/>
  <c r="AP323" i="2" a="1"/>
  <c r="AP324" i="2" a="1"/>
  <c r="AP325" i="2" a="1"/>
  <c r="AP326" i="2" a="1"/>
  <c r="AP327" i="2" a="1"/>
  <c r="AP328" i="2" a="1"/>
  <c r="AP329" i="2" a="1"/>
  <c r="AP330" i="2" a="1"/>
  <c r="AP331" i="2" a="1"/>
  <c r="AP332" i="2" a="1"/>
  <c r="AP333" i="2" a="1"/>
  <c r="AP334" i="2" a="1"/>
  <c r="AP335" i="2" a="1"/>
  <c r="AP336" i="2" a="1"/>
  <c r="AP337" i="2" a="1"/>
  <c r="AP338" i="2" a="1"/>
  <c r="AP339" i="2" a="1"/>
  <c r="AP340" i="2" a="1"/>
  <c r="AP341" i="2" a="1"/>
  <c r="AP342" i="2" a="1"/>
  <c r="AP343" i="2" a="1"/>
  <c r="AP344" i="2" a="1"/>
  <c r="AP345" i="2" a="1"/>
  <c r="AP346" i="2" a="1"/>
  <c r="AP347" i="2" a="1"/>
  <c r="AP348" i="2" a="1"/>
  <c r="AP349" i="2" a="1"/>
  <c r="AP350" i="2" a="1"/>
  <c r="AP351" i="2" a="1"/>
  <c r="AP352" i="2" a="1"/>
  <c r="AP353" i="2" a="1"/>
  <c r="AP354" i="2" a="1"/>
  <c r="AP355" i="2" a="1"/>
  <c r="AP356" i="2" a="1"/>
  <c r="AP357" i="2" a="1"/>
  <c r="AP358" i="2" a="1"/>
  <c r="AP359" i="2" a="1"/>
  <c r="AP360" i="2" a="1"/>
  <c r="AP361" i="2" a="1"/>
  <c r="AP362" i="2" a="1"/>
  <c r="AP363" i="2" a="1"/>
  <c r="AP364" i="2" a="1"/>
  <c r="AP365" i="2" a="1"/>
  <c r="AP366" i="2" a="1"/>
  <c r="AP367" i="2" a="1"/>
  <c r="AP368" i="2" a="1"/>
  <c r="AP369" i="2" a="1"/>
  <c r="AP370" i="2" a="1"/>
  <c r="AP371" i="2" a="1"/>
  <c r="AP372" i="2" a="1"/>
  <c r="AP373" i="2" a="1"/>
  <c r="AP374" i="2" a="1"/>
  <c r="AP375" i="2" a="1"/>
  <c r="AP376" i="2" a="1"/>
  <c r="AP377" i="2" a="1"/>
  <c r="AP378" i="2" a="1"/>
  <c r="AP379" i="2" a="1"/>
  <c r="AP380" i="2" a="1"/>
  <c r="AP381" i="2" a="1"/>
  <c r="AP382" i="2" a="1"/>
  <c r="AP383" i="2" a="1"/>
  <c r="AP384" i="2" a="1"/>
  <c r="AP385" i="2" a="1"/>
  <c r="AP386" i="2" a="1"/>
  <c r="AP387" i="2" a="1"/>
  <c r="AP388" i="2" a="1"/>
  <c r="AP389" i="2" a="1"/>
  <c r="AP390" i="2" a="1"/>
  <c r="AP391" i="2" a="1"/>
  <c r="AP392" i="2" a="1"/>
  <c r="AP393" i="2" a="1"/>
  <c r="AP394" i="2" a="1"/>
  <c r="AP395" i="2" a="1"/>
  <c r="AP396" i="2" a="1"/>
  <c r="AP397" i="2" a="1"/>
  <c r="AP398" i="2" a="1"/>
  <c r="AP399" i="2" a="1"/>
  <c r="AP400" i="2" a="1"/>
  <c r="AP401" i="2" a="1"/>
  <c r="AP402" i="2" a="1"/>
  <c r="AP403" i="2" a="1"/>
  <c r="AP404" i="2" a="1"/>
  <c r="AP405" i="2" a="1"/>
  <c r="AP406" i="2" a="1"/>
  <c r="AP407" i="2" a="1"/>
  <c r="AP408" i="2" a="1"/>
  <c r="AP409" i="2" a="1"/>
  <c r="AP410" i="2" a="1"/>
  <c r="AP411" i="2" a="1"/>
  <c r="AP412" i="2" a="1"/>
  <c r="AP413" i="2" a="1"/>
  <c r="AP414" i="2" a="1"/>
  <c r="AP415" i="2" a="1"/>
  <c r="AP416" i="2" a="1"/>
  <c r="AP417" i="2" a="1"/>
  <c r="AP418" i="2" a="1"/>
  <c r="AP419" i="2" a="1"/>
  <c r="AP419" i="2"/>
  <c r="AP420" i="2" a="1"/>
  <c r="AP420" i="2"/>
  <c r="AP421" i="2" a="1"/>
  <c r="AP421" i="2"/>
  <c r="AP422" i="2" a="1"/>
  <c r="AP422" i="2"/>
  <c r="AP423" i="2" a="1"/>
  <c r="AP423" i="2"/>
  <c r="AP424" i="2" a="1"/>
  <c r="AP424" i="2"/>
  <c r="AP425" i="2" a="1"/>
  <c r="AP425" i="2"/>
  <c r="AP426" i="2" a="1"/>
  <c r="AP426" i="2"/>
  <c r="AP427" i="2" a="1"/>
  <c r="AP427" i="2"/>
  <c r="AP428" i="2" a="1"/>
  <c r="AP428" i="2"/>
  <c r="AP429" i="2" a="1"/>
  <c r="AP429" i="2"/>
  <c r="AP430" i="2" a="1"/>
  <c r="AP430" i="2"/>
  <c r="AP431" i="2" a="1"/>
  <c r="AP431" i="2"/>
  <c r="AP432" i="2" a="1"/>
  <c r="AP432" i="2"/>
  <c r="AP433" i="2" a="1"/>
  <c r="AP433" i="2"/>
  <c r="AP434" i="2" a="1"/>
  <c r="AP434" i="2"/>
  <c r="AP435" i="2" a="1"/>
  <c r="AP435" i="2"/>
  <c r="AP436" i="2" a="1"/>
  <c r="AP436" i="2"/>
  <c r="AP437" i="2" a="1"/>
  <c r="AP437" i="2"/>
  <c r="AP438" i="2" a="1"/>
  <c r="AP438" i="2"/>
  <c r="AP439" i="2" a="1"/>
  <c r="AP439" i="2"/>
  <c r="AP440" i="2" a="1"/>
  <c r="AP440" i="2"/>
  <c r="AP441" i="2" a="1"/>
  <c r="AP441" i="2"/>
  <c r="AP442" i="2" a="1"/>
  <c r="AP442" i="2"/>
  <c r="AP443" i="2" a="1"/>
  <c r="AP443" i="2"/>
  <c r="AP444" i="2" a="1"/>
  <c r="AP444" i="2"/>
  <c r="AP445" i="2" a="1"/>
  <c r="AP445" i="2"/>
  <c r="AP446" i="2" a="1"/>
  <c r="AP446" i="2"/>
  <c r="AP447" i="2" a="1"/>
  <c r="AP447" i="2"/>
  <c r="AP448" i="2" a="1"/>
  <c r="AP448" i="2"/>
  <c r="AP449" i="2" a="1"/>
  <c r="AP449" i="2"/>
  <c r="AP450" i="2" a="1"/>
  <c r="AP450" i="2"/>
  <c r="AP451" i="2" a="1"/>
  <c r="AP451" i="2"/>
  <c r="AP452" i="2" a="1"/>
  <c r="AP452" i="2"/>
  <c r="AP453" i="2" a="1"/>
  <c r="AP453" i="2"/>
  <c r="AP454" i="2" a="1"/>
  <c r="AP454" i="2"/>
  <c r="AP455" i="2" a="1"/>
  <c r="AP455" i="2"/>
  <c r="AP456" i="2" a="1"/>
  <c r="AP456" i="2"/>
  <c r="AP457" i="2" a="1"/>
  <c r="AP457" i="2"/>
  <c r="AP458" i="2" a="1"/>
  <c r="AP458" i="2"/>
  <c r="AP459" i="2" a="1"/>
  <c r="AP459" i="2"/>
  <c r="AP460" i="2" a="1"/>
  <c r="AP460" i="2"/>
  <c r="AP461" i="2" a="1"/>
  <c r="AP461" i="2"/>
  <c r="AP462" i="2" a="1"/>
  <c r="AP462" i="2"/>
  <c r="AP463" i="2" a="1"/>
  <c r="AP463" i="2"/>
  <c r="AP464" i="2" a="1"/>
  <c r="AP464" i="2"/>
  <c r="AP465" i="2" a="1"/>
  <c r="AP465" i="2"/>
  <c r="AP466" i="2" a="1"/>
  <c r="AP466" i="2"/>
  <c r="AP467" i="2" a="1"/>
  <c r="AP467" i="2"/>
  <c r="AP468" i="2" a="1"/>
  <c r="AP468" i="2"/>
  <c r="AP469" i="2" a="1"/>
  <c r="AP469" i="2"/>
  <c r="AP470" i="2" a="1"/>
  <c r="AP470" i="2"/>
  <c r="AP471" i="2" a="1"/>
  <c r="AP471" i="2"/>
  <c r="AP472" i="2" a="1"/>
  <c r="AP472" i="2"/>
  <c r="AP473" i="2" a="1"/>
  <c r="AP473" i="2"/>
  <c r="AP474" i="2" a="1"/>
  <c r="AP474" i="2"/>
  <c r="AP475" i="2" a="1"/>
  <c r="AP475" i="2"/>
  <c r="AP476" i="2" a="1"/>
  <c r="AP476" i="2"/>
  <c r="AP477" i="2" a="1"/>
  <c r="AP477" i="2"/>
  <c r="AP478" i="2" a="1"/>
  <c r="AP478" i="2"/>
  <c r="AP479" i="2" a="1"/>
  <c r="AP479" i="2"/>
  <c r="AP480" i="2" a="1"/>
  <c r="AP480" i="2"/>
  <c r="AP481" i="2" a="1"/>
  <c r="AP481" i="2"/>
  <c r="AP482" i="2" a="1"/>
  <c r="AP482" i="2"/>
  <c r="AP483" i="2" a="1"/>
  <c r="AP483" i="2"/>
  <c r="AP484" i="2" a="1"/>
  <c r="AP484" i="2"/>
  <c r="AP485" i="2" a="1"/>
  <c r="AP485" i="2"/>
  <c r="AP486" i="2" a="1"/>
  <c r="AP486" i="2"/>
  <c r="AP487" i="2" a="1"/>
  <c r="AP487" i="2"/>
  <c r="AP488" i="2" a="1"/>
  <c r="AP488" i="2"/>
  <c r="AP489" i="2" a="1"/>
  <c r="AP489" i="2"/>
  <c r="AP490" i="2" a="1"/>
  <c r="AP490" i="2"/>
  <c r="AP491" i="2" a="1"/>
  <c r="AP491" i="2"/>
  <c r="AP492" i="2" a="1"/>
  <c r="AP492" i="2"/>
  <c r="AP493" i="2" a="1"/>
  <c r="AP493" i="2"/>
  <c r="AP494" i="2" a="1"/>
  <c r="AP494" i="2"/>
  <c r="AP495" i="2" a="1"/>
  <c r="AP495" i="2"/>
  <c r="AP496" i="2" a="1"/>
  <c r="AP496" i="2"/>
  <c r="AP497" i="2" a="1"/>
  <c r="AP497" i="2"/>
  <c r="AP498" i="2" a="1"/>
  <c r="AP498" i="2"/>
  <c r="AP499" i="2" a="1"/>
  <c r="AP499" i="2"/>
  <c r="AP500" i="2" a="1"/>
  <c r="AP500" i="2"/>
  <c r="AN3" i="2" a="1"/>
  <c r="AN3" i="2"/>
  <c r="AN4" i="2" a="1"/>
  <c r="AN4" i="2"/>
  <c r="AN5" i="2" a="1"/>
  <c r="AN5" i="2"/>
  <c r="AN6" i="2" a="1"/>
  <c r="AN6" i="2"/>
  <c r="AN7" i="2" a="1"/>
  <c r="AN7" i="2"/>
  <c r="AN8" i="2" a="1"/>
  <c r="AN8" i="2"/>
  <c r="AN9" i="2" a="1"/>
  <c r="AN9" i="2"/>
  <c r="AN10" i="2" a="1"/>
  <c r="AN10" i="2"/>
  <c r="AN11" i="2" a="1"/>
  <c r="AN11" i="2"/>
  <c r="AN12" i="2" a="1"/>
  <c r="AN12" i="2"/>
  <c r="AN13" i="2" a="1"/>
  <c r="AN13" i="2"/>
  <c r="AN14" i="2" a="1"/>
  <c r="AN14" i="2"/>
  <c r="AN15" i="2" a="1"/>
  <c r="AN15" i="2"/>
  <c r="AN16" i="2" a="1"/>
  <c r="AN16" i="2"/>
  <c r="AN17" i="2" a="1"/>
  <c r="AN17" i="2"/>
  <c r="AN18" i="2" a="1"/>
  <c r="AN18" i="2"/>
  <c r="AN19" i="2" a="1"/>
  <c r="AN19" i="2"/>
  <c r="AN20" i="2" a="1"/>
  <c r="AN20" i="2"/>
  <c r="AN21" i="2" a="1"/>
  <c r="AN21" i="2"/>
  <c r="AN22" i="2" a="1"/>
  <c r="AN22" i="2"/>
  <c r="AN23" i="2" a="1"/>
  <c r="AN23" i="2"/>
  <c r="AN24" i="2" a="1"/>
  <c r="AN24" i="2"/>
  <c r="AN25" i="2" a="1"/>
  <c r="AN25" i="2"/>
  <c r="AN26" i="2" a="1"/>
  <c r="AN26" i="2"/>
  <c r="AN27" i="2" a="1"/>
  <c r="AN27" i="2"/>
  <c r="AN28" i="2" a="1"/>
  <c r="AN28" i="2"/>
  <c r="AN29" i="2" a="1"/>
  <c r="AN29" i="2"/>
  <c r="AN30" i="2" a="1"/>
  <c r="AN30" i="2"/>
  <c r="AN31" i="2" a="1"/>
  <c r="AN31" i="2"/>
  <c r="AN32" i="2" a="1"/>
  <c r="AN32" i="2"/>
  <c r="AN33" i="2" a="1"/>
  <c r="AN33" i="2"/>
  <c r="AN34" i="2" a="1"/>
  <c r="AN34" i="2"/>
  <c r="AN35" i="2" a="1"/>
  <c r="AN35" i="2"/>
  <c r="AN36" i="2" a="1"/>
  <c r="AN36" i="2"/>
  <c r="AN37" i="2" a="1"/>
  <c r="AN37" i="2"/>
  <c r="AN38" i="2" a="1"/>
  <c r="AN38" i="2"/>
  <c r="AN39" i="2" a="1"/>
  <c r="AN39" i="2"/>
  <c r="AN40" i="2" a="1"/>
  <c r="AN40" i="2"/>
  <c r="AN41" i="2" a="1"/>
  <c r="AN41" i="2"/>
  <c r="AN42" i="2" a="1"/>
  <c r="AN42" i="2"/>
  <c r="AN43" i="2" a="1"/>
  <c r="AN43" i="2"/>
  <c r="AN44" i="2" a="1"/>
  <c r="AN44" i="2"/>
  <c r="AN45" i="2" a="1"/>
  <c r="AN45" i="2"/>
  <c r="AN46" i="2" a="1"/>
  <c r="AN46" i="2"/>
  <c r="AN47" i="2" a="1"/>
  <c r="AN47" i="2"/>
  <c r="AN48" i="2" a="1"/>
  <c r="AN48" i="2"/>
  <c r="AN49" i="2" a="1"/>
  <c r="AN49" i="2"/>
  <c r="AN50" i="2" a="1"/>
  <c r="AN50" i="2"/>
  <c r="AN51" i="2" a="1"/>
  <c r="AN51" i="2"/>
  <c r="AN52" i="2" a="1"/>
  <c r="AN52" i="2"/>
  <c r="AN53" i="2" a="1"/>
  <c r="AN53" i="2"/>
  <c r="AN54" i="2" a="1"/>
  <c r="AN54" i="2"/>
  <c r="AN55" i="2" a="1"/>
  <c r="AN55" i="2"/>
  <c r="AN56" i="2" a="1"/>
  <c r="AN56" i="2"/>
  <c r="AN57" i="2" a="1"/>
  <c r="AN57" i="2"/>
  <c r="AN58" i="2" a="1"/>
  <c r="AN58" i="2"/>
  <c r="AN59" i="2" a="1"/>
  <c r="AN59" i="2"/>
  <c r="AN60" i="2" a="1"/>
  <c r="AN60" i="2"/>
  <c r="AN61" i="2" a="1"/>
  <c r="AN61" i="2"/>
  <c r="AN62" i="2" a="1"/>
  <c r="AN62" i="2"/>
  <c r="AN63" i="2" a="1"/>
  <c r="AN63" i="2"/>
  <c r="AN64" i="2" a="1"/>
  <c r="AN64" i="2"/>
  <c r="AN65" i="2" a="1"/>
  <c r="AN65" i="2"/>
  <c r="AN66" i="2" a="1"/>
  <c r="AN66" i="2"/>
  <c r="AN67" i="2" a="1"/>
  <c r="AN67" i="2"/>
  <c r="AN68" i="2" a="1"/>
  <c r="AN68" i="2"/>
  <c r="AN69" i="2" a="1"/>
  <c r="AN69" i="2"/>
  <c r="AN70" i="2" a="1"/>
  <c r="AN70" i="2"/>
  <c r="AN71" i="2" a="1"/>
  <c r="AN71" i="2"/>
  <c r="AN72" i="2" a="1"/>
  <c r="AN72" i="2"/>
  <c r="AN73" i="2" a="1"/>
  <c r="AN73" i="2"/>
  <c r="AN74" i="2" a="1"/>
  <c r="AN74" i="2"/>
  <c r="AN75" i="2" a="1"/>
  <c r="AN75" i="2"/>
  <c r="AN76" i="2" a="1"/>
  <c r="AN76" i="2"/>
  <c r="AN77" i="2" a="1"/>
  <c r="AN77" i="2"/>
  <c r="AN78" i="2" a="1"/>
  <c r="AN78" i="2"/>
  <c r="AN79" i="2" a="1"/>
  <c r="AN79" i="2"/>
  <c r="AN80" i="2" a="1"/>
  <c r="AN80" i="2"/>
  <c r="AN81" i="2" a="1"/>
  <c r="AN81" i="2"/>
  <c r="AN82" i="2" a="1"/>
  <c r="AN82" i="2"/>
  <c r="AN83" i="2" a="1"/>
  <c r="AN83" i="2"/>
  <c r="AN84" i="2" a="1"/>
  <c r="AN84" i="2"/>
  <c r="AN85" i="2" a="1"/>
  <c r="AN85" i="2"/>
  <c r="AN86" i="2" a="1"/>
  <c r="AN86" i="2"/>
  <c r="AN87" i="2" a="1"/>
  <c r="AN87" i="2"/>
  <c r="AN88" i="2" a="1"/>
  <c r="AN88" i="2"/>
  <c r="AN89" i="2" a="1"/>
  <c r="AN89" i="2"/>
  <c r="AN90" i="2" a="1"/>
  <c r="AN90" i="2"/>
  <c r="AN91" i="2" a="1"/>
  <c r="AN91" i="2"/>
  <c r="AN92" i="2" a="1"/>
  <c r="AN92" i="2"/>
  <c r="AN93" i="2" a="1"/>
  <c r="AN93" i="2"/>
  <c r="AN94" i="2" a="1"/>
  <c r="AN94" i="2"/>
  <c r="AN95" i="2" a="1"/>
  <c r="AN95" i="2"/>
  <c r="AN96" i="2" a="1"/>
  <c r="AN96" i="2"/>
  <c r="AN97" i="2" a="1"/>
  <c r="AN97" i="2"/>
  <c r="AN98" i="2" a="1"/>
  <c r="AN98" i="2"/>
  <c r="AN99" i="2" a="1"/>
  <c r="AN99" i="2"/>
  <c r="AN100" i="2" a="1"/>
  <c r="AN100" i="2"/>
  <c r="AN101" i="2" a="1"/>
  <c r="AN101" i="2"/>
  <c r="AN102" i="2" a="1"/>
  <c r="AN102" i="2"/>
  <c r="AN103" i="2" a="1"/>
  <c r="AN103" i="2"/>
  <c r="AN104" i="2" a="1"/>
  <c r="AN104" i="2"/>
  <c r="AN105" i="2" a="1"/>
  <c r="AN105" i="2"/>
  <c r="AN106" i="2" a="1"/>
  <c r="AN106" i="2"/>
  <c r="AN107" i="2" a="1"/>
  <c r="AN107" i="2"/>
  <c r="AN108" i="2" a="1"/>
  <c r="AN109" i="2" a="1"/>
  <c r="AN110" i="2" a="1"/>
  <c r="AN111" i="2" a="1"/>
  <c r="AN112" i="2" a="1"/>
  <c r="AN113" i="2" a="1"/>
  <c r="AN114" i="2" a="1"/>
  <c r="AN115" i="2" a="1"/>
  <c r="AN116" i="2" a="1"/>
  <c r="AN117" i="2" a="1"/>
  <c r="AN118" i="2" a="1"/>
  <c r="AN119" i="2" a="1"/>
  <c r="AN120" i="2" a="1"/>
  <c r="AN121" i="2" a="1"/>
  <c r="AN122" i="2" a="1"/>
  <c r="AN123" i="2" a="1"/>
  <c r="AN124" i="2" a="1"/>
  <c r="AN125" i="2" a="1"/>
  <c r="AN126" i="2" a="1"/>
  <c r="AN127" i="2" a="1"/>
  <c r="AN128" i="2" a="1"/>
  <c r="AN129" i="2" a="1"/>
  <c r="AN130" i="2" a="1"/>
  <c r="AN131" i="2" a="1"/>
  <c r="AN132" i="2" a="1"/>
  <c r="AN133" i="2" a="1"/>
  <c r="AN134" i="2" a="1"/>
  <c r="AN135" i="2" a="1"/>
  <c r="AN136" i="2" a="1"/>
  <c r="AN137" i="2" a="1"/>
  <c r="AN138" i="2" a="1"/>
  <c r="AN139" i="2" a="1"/>
  <c r="AN140" i="2" a="1"/>
  <c r="AN141" i="2" a="1"/>
  <c r="AN142" i="2" a="1"/>
  <c r="AN143" i="2" a="1"/>
  <c r="AN144" i="2" a="1"/>
  <c r="AN145" i="2" a="1"/>
  <c r="AN146" i="2" a="1"/>
  <c r="AN147" i="2" a="1"/>
  <c r="AN148" i="2" a="1"/>
  <c r="AN149" i="2" a="1"/>
  <c r="AN150" i="2" a="1"/>
  <c r="AN151" i="2" a="1"/>
  <c r="AN152" i="2" a="1"/>
  <c r="AN153" i="2" a="1"/>
  <c r="AN154" i="2" a="1"/>
  <c r="AN155" i="2" a="1"/>
  <c r="AN156" i="2" a="1"/>
  <c r="AN157" i="2" a="1"/>
  <c r="AN158" i="2" a="1"/>
  <c r="AN159" i="2" a="1"/>
  <c r="AN160" i="2" a="1"/>
  <c r="AN161" i="2" a="1"/>
  <c r="AN162" i="2" a="1"/>
  <c r="AN163" i="2" a="1"/>
  <c r="AN164" i="2" a="1"/>
  <c r="AN165" i="2" a="1"/>
  <c r="AN166" i="2" a="1"/>
  <c r="AN167" i="2" a="1"/>
  <c r="AN168" i="2" a="1"/>
  <c r="AN169" i="2" a="1"/>
  <c r="AN170" i="2" a="1"/>
  <c r="AN171" i="2" a="1"/>
  <c r="AN172" i="2" a="1"/>
  <c r="AN173" i="2" a="1"/>
  <c r="AN174" i="2" a="1"/>
  <c r="AN175" i="2" a="1"/>
  <c r="AN176" i="2" a="1"/>
  <c r="AN177" i="2" a="1"/>
  <c r="AN178" i="2" a="1"/>
  <c r="AN179" i="2" a="1"/>
  <c r="AN180" i="2" a="1"/>
  <c r="AN181" i="2" a="1"/>
  <c r="AN182" i="2" a="1"/>
  <c r="AN183" i="2" a="1"/>
  <c r="AN184" i="2" a="1"/>
  <c r="AN185" i="2" a="1"/>
  <c r="AN186" i="2" a="1"/>
  <c r="AN187" i="2" a="1"/>
  <c r="AN188" i="2" a="1"/>
  <c r="AN189" i="2" a="1"/>
  <c r="AN190" i="2" a="1"/>
  <c r="AN191" i="2" a="1"/>
  <c r="AN192" i="2" a="1"/>
  <c r="AN193" i="2" a="1"/>
  <c r="AN194" i="2" a="1"/>
  <c r="AN195" i="2" a="1"/>
  <c r="AN196" i="2" a="1"/>
  <c r="AN197" i="2" a="1"/>
  <c r="AN198" i="2" a="1"/>
  <c r="AN199" i="2" a="1"/>
  <c r="AN200" i="2" a="1"/>
  <c r="AN201" i="2" a="1"/>
  <c r="AN202" i="2" a="1"/>
  <c r="AN203" i="2" a="1"/>
  <c r="AN204" i="2" a="1"/>
  <c r="AN205" i="2" a="1"/>
  <c r="AN206" i="2" a="1"/>
  <c r="AN207" i="2" a="1"/>
  <c r="AN208" i="2" a="1"/>
  <c r="AN209" i="2" a="1"/>
  <c r="AN210" i="2" a="1"/>
  <c r="AN211" i="2" a="1"/>
  <c r="AN212" i="2" a="1"/>
  <c r="AN213" i="2" a="1"/>
  <c r="AN214" i="2" a="1"/>
  <c r="AN215" i="2" a="1"/>
  <c r="AN216" i="2" a="1"/>
  <c r="AN217" i="2" a="1"/>
  <c r="AN218" i="2" a="1"/>
  <c r="AN219" i="2" a="1"/>
  <c r="AN220" i="2" a="1"/>
  <c r="AN221" i="2" a="1"/>
  <c r="AN222" i="2" a="1"/>
  <c r="AN223" i="2" a="1"/>
  <c r="AN224" i="2" a="1"/>
  <c r="AN225" i="2" a="1"/>
  <c r="AN226" i="2" a="1"/>
  <c r="AN227" i="2" a="1"/>
  <c r="AN228" i="2" a="1"/>
  <c r="AN229" i="2" a="1"/>
  <c r="AN230" i="2" a="1"/>
  <c r="AN231" i="2" a="1"/>
  <c r="AN232" i="2" a="1"/>
  <c r="AN233" i="2" a="1"/>
  <c r="AN234" i="2" a="1"/>
  <c r="AN235" i="2" a="1"/>
  <c r="AN236" i="2" a="1"/>
  <c r="AN237" i="2" a="1"/>
  <c r="AN238" i="2" a="1"/>
  <c r="AN239" i="2" a="1"/>
  <c r="AN239" i="2"/>
  <c r="AN240" i="2" a="1"/>
  <c r="AN240" i="2"/>
  <c r="AN241" i="2" a="1"/>
  <c r="AN241" i="2"/>
  <c r="AN242" i="2" a="1"/>
  <c r="AN242" i="2"/>
  <c r="AN243" i="2" a="1"/>
  <c r="AN243" i="2"/>
  <c r="AN244" i="2" a="1"/>
  <c r="AN244" i="2"/>
  <c r="AN245" i="2" a="1"/>
  <c r="AN245" i="2"/>
  <c r="AN246" i="2" a="1"/>
  <c r="AN246" i="2"/>
  <c r="AN247" i="2" a="1"/>
  <c r="AN247" i="2"/>
  <c r="AN248" i="2" a="1"/>
  <c r="AN248" i="2"/>
  <c r="AN249" i="2" a="1"/>
  <c r="AN249" i="2"/>
  <c r="AN250" i="2" a="1"/>
  <c r="AN250" i="2"/>
  <c r="AN251" i="2" a="1"/>
  <c r="AN251" i="2"/>
  <c r="AN252" i="2" a="1"/>
  <c r="AN252" i="2"/>
  <c r="AN253" i="2" a="1"/>
  <c r="AN253" i="2"/>
  <c r="AN254" i="2" a="1"/>
  <c r="AN254" i="2"/>
  <c r="AN255" i="2" a="1"/>
  <c r="AN255" i="2"/>
  <c r="AN256" i="2" a="1"/>
  <c r="AN256" i="2"/>
  <c r="AN257" i="2" a="1"/>
  <c r="AN257" i="2"/>
  <c r="AN258" i="2" a="1"/>
  <c r="AN258" i="2"/>
  <c r="AN259" i="2" a="1"/>
  <c r="AN259" i="2"/>
  <c r="AN260" i="2" a="1"/>
  <c r="AN260" i="2"/>
  <c r="AN261" i="2" a="1"/>
  <c r="AN261" i="2"/>
  <c r="AN262" i="2" a="1"/>
  <c r="AN262" i="2"/>
  <c r="AN263" i="2" a="1"/>
  <c r="AN263" i="2"/>
  <c r="AN264" i="2" a="1"/>
  <c r="AN264" i="2"/>
  <c r="AN265" i="2" a="1"/>
  <c r="AN265" i="2"/>
  <c r="AN266" i="2" a="1"/>
  <c r="AN266" i="2"/>
  <c r="AN267" i="2" a="1"/>
  <c r="AN267" i="2"/>
  <c r="AN268" i="2" a="1"/>
  <c r="AN268" i="2"/>
  <c r="AN269" i="2" a="1"/>
  <c r="AN269" i="2"/>
  <c r="AN270" i="2" a="1"/>
  <c r="AN270" i="2"/>
  <c r="AN271" i="2" a="1"/>
  <c r="AN271" i="2"/>
  <c r="AN272" i="2" a="1"/>
  <c r="AN272" i="2"/>
  <c r="AN273" i="2" a="1"/>
  <c r="AN273" i="2"/>
  <c r="AN274" i="2" a="1"/>
  <c r="AN274" i="2"/>
  <c r="AN275" i="2" a="1"/>
  <c r="AN275" i="2"/>
  <c r="AN276" i="2" a="1"/>
  <c r="AN276" i="2"/>
  <c r="AN277" i="2" a="1"/>
  <c r="AN277" i="2"/>
  <c r="AN278" i="2" a="1"/>
  <c r="AN278" i="2"/>
  <c r="AN279" i="2" a="1"/>
  <c r="AN279" i="2"/>
  <c r="AN280" i="2" a="1"/>
  <c r="AN280" i="2"/>
  <c r="AN281" i="2" a="1"/>
  <c r="AN281" i="2"/>
  <c r="AN282" i="2" a="1"/>
  <c r="AN282" i="2"/>
  <c r="AN283" i="2" a="1"/>
  <c r="AN283" i="2"/>
  <c r="AN284" i="2" a="1"/>
  <c r="AN284" i="2"/>
  <c r="AN285" i="2" a="1"/>
  <c r="AN285" i="2"/>
  <c r="AN286" i="2" a="1"/>
  <c r="AN286" i="2"/>
  <c r="AN287" i="2" a="1"/>
  <c r="AN287" i="2"/>
  <c r="AN288" i="2" a="1"/>
  <c r="AN288" i="2"/>
  <c r="AN289" i="2" a="1"/>
  <c r="AN289" i="2"/>
  <c r="AN290" i="2" a="1"/>
  <c r="AN290" i="2"/>
  <c r="AN291" i="2" a="1"/>
  <c r="AN291" i="2"/>
  <c r="AN292" i="2" a="1"/>
  <c r="AN292" i="2"/>
  <c r="AN293" i="2" a="1"/>
  <c r="AN293" i="2"/>
  <c r="AN294" i="2" a="1"/>
  <c r="AN294" i="2"/>
  <c r="AN295" i="2" a="1"/>
  <c r="AN295" i="2"/>
  <c r="AN296" i="2" a="1"/>
  <c r="AN296" i="2"/>
  <c r="AN297" i="2" a="1"/>
  <c r="AN297" i="2"/>
  <c r="AN298" i="2" a="1"/>
  <c r="AN298" i="2"/>
  <c r="AN299" i="2" a="1"/>
  <c r="AN299" i="2"/>
  <c r="AN300" i="2" a="1"/>
  <c r="AN300" i="2"/>
  <c r="AN301" i="2" a="1"/>
  <c r="AN301" i="2"/>
  <c r="AN302" i="2" a="1"/>
  <c r="AN302" i="2"/>
  <c r="AN303" i="2" a="1"/>
  <c r="AN303" i="2"/>
  <c r="AN304" i="2" a="1"/>
  <c r="AN304" i="2"/>
  <c r="AN305" i="2" a="1"/>
  <c r="AN305" i="2"/>
  <c r="AN306" i="2" a="1"/>
  <c r="AN306" i="2"/>
  <c r="AN307" i="2" a="1"/>
  <c r="AN307" i="2"/>
  <c r="AN308" i="2" a="1"/>
  <c r="AN308" i="2"/>
  <c r="AN309" i="2" a="1"/>
  <c r="AN309" i="2"/>
  <c r="AN310" i="2" a="1"/>
  <c r="AN310" i="2"/>
  <c r="AN311" i="2" a="1"/>
  <c r="AN311" i="2"/>
  <c r="AN312" i="2" a="1"/>
  <c r="AN312" i="2"/>
  <c r="AN313" i="2" a="1"/>
  <c r="AN313" i="2"/>
  <c r="AN314" i="2" a="1"/>
  <c r="AN314" i="2"/>
  <c r="AN315" i="2" a="1"/>
  <c r="AN315" i="2"/>
  <c r="AN316" i="2" a="1"/>
  <c r="AN316" i="2"/>
  <c r="AN317" i="2" a="1"/>
  <c r="AN317" i="2"/>
  <c r="AN318" i="2" a="1"/>
  <c r="AN318" i="2"/>
  <c r="AN319" i="2" a="1"/>
  <c r="AN319" i="2"/>
  <c r="AN320" i="2" a="1"/>
  <c r="AN320" i="2"/>
  <c r="AN321" i="2" a="1"/>
  <c r="AN321" i="2"/>
  <c r="AN322" i="2" a="1"/>
  <c r="AN322" i="2"/>
  <c r="AN323" i="2" a="1"/>
  <c r="AN323" i="2"/>
  <c r="AN324" i="2" a="1"/>
  <c r="AN324" i="2"/>
  <c r="AN325" i="2" a="1"/>
  <c r="AN325" i="2"/>
  <c r="AN326" i="2" a="1"/>
  <c r="AN326" i="2"/>
  <c r="AN327" i="2" a="1"/>
  <c r="AN327" i="2"/>
  <c r="AN328" i="2" a="1"/>
  <c r="AN328" i="2"/>
  <c r="AN329" i="2" a="1"/>
  <c r="AN329" i="2"/>
  <c r="AN330" i="2" a="1"/>
  <c r="AN330" i="2"/>
  <c r="AN331" i="2" a="1"/>
  <c r="AN331" i="2"/>
  <c r="AN332" i="2" a="1"/>
  <c r="AN332" i="2"/>
  <c r="AN333" i="2" a="1"/>
  <c r="AN333" i="2"/>
  <c r="AN334" i="2" a="1"/>
  <c r="AN334" i="2"/>
  <c r="AN335" i="2" a="1"/>
  <c r="AN335" i="2"/>
  <c r="AN336" i="2" a="1"/>
  <c r="AN336" i="2"/>
  <c r="AN337" i="2" a="1"/>
  <c r="AN337" i="2"/>
  <c r="AN338" i="2" a="1"/>
  <c r="AN338" i="2"/>
  <c r="AN339" i="2" a="1"/>
  <c r="AN339" i="2"/>
  <c r="AN340" i="2" a="1"/>
  <c r="AN340" i="2"/>
  <c r="AN341" i="2" a="1"/>
  <c r="AN341" i="2"/>
  <c r="AN342" i="2" a="1"/>
  <c r="AN342" i="2"/>
  <c r="AN343" i="2" a="1"/>
  <c r="AN343" i="2"/>
  <c r="AN344" i="2" a="1"/>
  <c r="AN344" i="2"/>
  <c r="AN345" i="2" a="1"/>
  <c r="AN345" i="2"/>
  <c r="AN346" i="2" a="1"/>
  <c r="AN346" i="2"/>
  <c r="AN347" i="2" a="1"/>
  <c r="AN347" i="2"/>
  <c r="AN348" i="2" a="1"/>
  <c r="AN348" i="2"/>
  <c r="AN349" i="2" a="1"/>
  <c r="AN349" i="2"/>
  <c r="AN350" i="2" a="1"/>
  <c r="AN350" i="2"/>
  <c r="AN351" i="2" a="1"/>
  <c r="AN351" i="2"/>
  <c r="AN352" i="2" a="1"/>
  <c r="AN352" i="2"/>
  <c r="AN353" i="2" a="1"/>
  <c r="AN353" i="2"/>
  <c r="AN354" i="2" a="1"/>
  <c r="AN354" i="2"/>
  <c r="AN355" i="2" a="1"/>
  <c r="AN355" i="2"/>
  <c r="AN356" i="2" a="1"/>
  <c r="AN356" i="2"/>
  <c r="AN357" i="2" a="1"/>
  <c r="AN357" i="2"/>
  <c r="AN358" i="2" a="1"/>
  <c r="AN358" i="2"/>
  <c r="AN359" i="2" a="1"/>
  <c r="AN359" i="2"/>
  <c r="AN360" i="2" a="1"/>
  <c r="AN360" i="2"/>
  <c r="AN361" i="2" a="1"/>
  <c r="AN361" i="2"/>
  <c r="AN362" i="2" a="1"/>
  <c r="AN362" i="2"/>
  <c r="AN363" i="2" a="1"/>
  <c r="AN363" i="2"/>
  <c r="AN364" i="2" a="1"/>
  <c r="AN364" i="2"/>
  <c r="AN365" i="2" a="1"/>
  <c r="AN365" i="2"/>
  <c r="AN366" i="2" a="1"/>
  <c r="AN366" i="2"/>
  <c r="AN367" i="2" a="1"/>
  <c r="AN367" i="2"/>
  <c r="AN368" i="2" a="1"/>
  <c r="AN368" i="2"/>
  <c r="AN369" i="2" a="1"/>
  <c r="AN369" i="2"/>
  <c r="AN370" i="2" a="1"/>
  <c r="AN370" i="2"/>
  <c r="AN371" i="2" a="1"/>
  <c r="AN371" i="2"/>
  <c r="AN372" i="2" a="1"/>
  <c r="AN372" i="2"/>
  <c r="AN373" i="2" a="1"/>
  <c r="AN373" i="2"/>
  <c r="AN374" i="2" a="1"/>
  <c r="AN374" i="2"/>
  <c r="AN375" i="2" a="1"/>
  <c r="AN375" i="2"/>
  <c r="AN376" i="2" a="1"/>
  <c r="AN376" i="2"/>
  <c r="AN377" i="2" a="1"/>
  <c r="AN377" i="2"/>
  <c r="AN378" i="2" a="1"/>
  <c r="AN378" i="2"/>
  <c r="AN379" i="2" a="1"/>
  <c r="AN379" i="2"/>
  <c r="AN380" i="2" a="1"/>
  <c r="AN380" i="2"/>
  <c r="AN381" i="2" a="1"/>
  <c r="AN381" i="2"/>
  <c r="AN382" i="2" a="1"/>
  <c r="AN382" i="2"/>
  <c r="AN383" i="2" a="1"/>
  <c r="AN383" i="2"/>
  <c r="AN384" i="2" a="1"/>
  <c r="AN384" i="2"/>
  <c r="AN385" i="2" a="1"/>
  <c r="AN385" i="2"/>
  <c r="AN386" i="2" a="1"/>
  <c r="AN386" i="2"/>
  <c r="AN387" i="2" a="1"/>
  <c r="AN387" i="2"/>
  <c r="AN388" i="2" a="1"/>
  <c r="AN388" i="2"/>
  <c r="AN389" i="2" a="1"/>
  <c r="AN389" i="2"/>
  <c r="AN390" i="2" a="1"/>
  <c r="AN390" i="2"/>
  <c r="AN391" i="2" a="1"/>
  <c r="AN391" i="2"/>
  <c r="AN392" i="2" a="1"/>
  <c r="AN392" i="2"/>
  <c r="AN393" i="2" a="1"/>
  <c r="AN393" i="2"/>
  <c r="AN394" i="2" a="1"/>
  <c r="AN394" i="2"/>
  <c r="AN395" i="2" a="1"/>
  <c r="AN395" i="2"/>
  <c r="AN396" i="2" a="1"/>
  <c r="AN396" i="2"/>
  <c r="AN397" i="2" a="1"/>
  <c r="AN397" i="2"/>
  <c r="AN398" i="2" a="1"/>
  <c r="AN398" i="2"/>
  <c r="AN399" i="2" a="1"/>
  <c r="AN399" i="2"/>
  <c r="AN400" i="2" a="1"/>
  <c r="AN400" i="2"/>
  <c r="AN401" i="2" a="1"/>
  <c r="AN401" i="2"/>
  <c r="AN402" i="2" a="1"/>
  <c r="AN402" i="2"/>
  <c r="AN403" i="2" a="1"/>
  <c r="AN403" i="2"/>
  <c r="AN404" i="2" a="1"/>
  <c r="AN404" i="2"/>
  <c r="AN405" i="2" a="1"/>
  <c r="AN405" i="2"/>
  <c r="AN406" i="2" a="1"/>
  <c r="AN406" i="2"/>
  <c r="AN407" i="2" a="1"/>
  <c r="AN407" i="2"/>
  <c r="AN408" i="2" a="1"/>
  <c r="AN408" i="2"/>
  <c r="AN409" i="2" a="1"/>
  <c r="AN409" i="2"/>
  <c r="AN410" i="2" a="1"/>
  <c r="AN410" i="2"/>
  <c r="AN411" i="2" a="1"/>
  <c r="AN411" i="2"/>
  <c r="AN412" i="2" a="1"/>
  <c r="AN412" i="2"/>
  <c r="AN413" i="2" a="1"/>
  <c r="AN414" i="2" a="1"/>
  <c r="AN415" i="2" a="1"/>
  <c r="AN416" i="2" a="1"/>
  <c r="AN417" i="2" a="1"/>
  <c r="AN418" i="2" a="1"/>
  <c r="AN419" i="2" a="1"/>
  <c r="AN420" i="2" a="1"/>
  <c r="AN420" i="2"/>
  <c r="AN421" i="2" a="1"/>
  <c r="AN422" i="2" a="1"/>
  <c r="AN423" i="2" a="1"/>
  <c r="AN424" i="2" a="1"/>
  <c r="AN425" i="2" a="1"/>
  <c r="AN426" i="2" a="1"/>
  <c r="AN427" i="2" a="1"/>
  <c r="AN428" i="2" a="1"/>
  <c r="AN429" i="2" a="1"/>
  <c r="AN430" i="2" a="1"/>
  <c r="AN431" i="2" a="1"/>
  <c r="AN432" i="2" a="1"/>
  <c r="AN433" i="2" a="1"/>
  <c r="AN434" i="2" a="1"/>
  <c r="AN435" i="2" a="1"/>
  <c r="AN436" i="2" a="1"/>
  <c r="AN437" i="2" a="1"/>
  <c r="AN438" i="2" a="1"/>
  <c r="AN439" i="2" a="1"/>
  <c r="AN440" i="2" a="1"/>
  <c r="AN441" i="2" a="1"/>
  <c r="AN442" i="2" a="1"/>
  <c r="AN443" i="2" a="1"/>
  <c r="AN444" i="2" a="1"/>
  <c r="AN445" i="2" a="1"/>
  <c r="AN446" i="2" a="1"/>
  <c r="AN447" i="2" a="1"/>
  <c r="AN448" i="2" a="1"/>
  <c r="AN449" i="2" a="1"/>
  <c r="AN450" i="2" a="1"/>
  <c r="AN451" i="2" a="1"/>
  <c r="AN452" i="2" a="1"/>
  <c r="AN453" i="2" a="1"/>
  <c r="AN454" i="2" a="1"/>
  <c r="AN455" i="2" a="1"/>
  <c r="AN456" i="2" a="1"/>
  <c r="AN457" i="2" a="1"/>
  <c r="AN458" i="2" a="1"/>
  <c r="AN459" i="2" a="1"/>
  <c r="AN460" i="2" a="1"/>
  <c r="AN461" i="2" a="1"/>
  <c r="AN462" i="2" a="1"/>
  <c r="AN463" i="2" a="1"/>
  <c r="AN464" i="2" a="1"/>
  <c r="AN465" i="2" a="1"/>
  <c r="AN466" i="2" a="1"/>
  <c r="AN467" i="2" a="1"/>
  <c r="AN468" i="2" a="1"/>
  <c r="AN469" i="2" a="1"/>
  <c r="AN470" i="2" a="1"/>
  <c r="AN471" i="2" a="1"/>
  <c r="AN472" i="2" a="1"/>
  <c r="AN473" i="2" a="1"/>
  <c r="AN474" i="2" a="1"/>
  <c r="AN475" i="2" a="1"/>
  <c r="AN476" i="2" a="1"/>
  <c r="AN477" i="2" a="1"/>
  <c r="AN478" i="2" a="1"/>
  <c r="AN479" i="2" a="1"/>
  <c r="AN480" i="2" a="1"/>
  <c r="AN481" i="2" a="1"/>
  <c r="AN482" i="2" a="1"/>
  <c r="AN483" i="2" a="1"/>
  <c r="AN484" i="2" a="1"/>
  <c r="AN485" i="2" a="1"/>
  <c r="AN486" i="2" a="1"/>
  <c r="AN487" i="2" a="1"/>
  <c r="AN488" i="2" a="1"/>
  <c r="AN489" i="2" a="1"/>
  <c r="AN490" i="2" a="1"/>
  <c r="AN491" i="2" a="1"/>
  <c r="AN492" i="2" a="1"/>
  <c r="AN493" i="2" a="1"/>
  <c r="AN494" i="2" a="1"/>
  <c r="AN495" i="2" a="1"/>
  <c r="AN496" i="2" a="1"/>
  <c r="AN497" i="2" a="1"/>
  <c r="AN498" i="2" a="1"/>
  <c r="AN499" i="2" a="1"/>
  <c r="AN500" i="2" a="1"/>
  <c r="AN2" i="2" a="1"/>
  <c r="AM4" i="2" a="1"/>
  <c r="AM5" i="2" a="1"/>
  <c r="AM6" i="2" a="1"/>
  <c r="AM7" i="2" a="1"/>
  <c r="AM8" i="2" a="1"/>
  <c r="AM9" i="2" a="1"/>
  <c r="AM10" i="2" a="1"/>
  <c r="AM11" i="2" a="1"/>
  <c r="AM12" i="2" a="1"/>
  <c r="AM13" i="2" a="1"/>
  <c r="AM14" i="2" a="1"/>
  <c r="AM15" i="2" a="1"/>
  <c r="AM16" i="2" a="1"/>
  <c r="AM17" i="2" a="1"/>
  <c r="AM18" i="2" a="1"/>
  <c r="AM19" i="2" a="1"/>
  <c r="AM20" i="2" a="1"/>
  <c r="AM21" i="2" a="1"/>
  <c r="AM22" i="2" a="1"/>
  <c r="AM23" i="2" a="1"/>
  <c r="AM24" i="2" a="1"/>
  <c r="AM25" i="2" a="1"/>
  <c r="AM26" i="2" a="1"/>
  <c r="AM27" i="2" a="1"/>
  <c r="AM28" i="2" a="1"/>
  <c r="AM29" i="2" a="1"/>
  <c r="AM30" i="2" a="1"/>
  <c r="AM31" i="2" a="1"/>
  <c r="AM32" i="2" a="1"/>
  <c r="AM33" i="2" a="1"/>
  <c r="AM34" i="2" a="1"/>
  <c r="AM35" i="2" a="1"/>
  <c r="AM36" i="2" a="1"/>
  <c r="AM37" i="2" a="1"/>
  <c r="AM38" i="2" a="1"/>
  <c r="AM39" i="2" a="1"/>
  <c r="AM40" i="2" a="1"/>
  <c r="AM41" i="2" a="1"/>
  <c r="AM42" i="2" a="1"/>
  <c r="AM43" i="2" a="1"/>
  <c r="AM44" i="2" a="1"/>
  <c r="AM45" i="2" a="1"/>
  <c r="AM46" i="2" a="1"/>
  <c r="AM47" i="2" a="1"/>
  <c r="AM48" i="2" a="1"/>
  <c r="AM49" i="2" a="1"/>
  <c r="AM50" i="2" a="1"/>
  <c r="AM51" i="2" a="1"/>
  <c r="AM52" i="2" a="1"/>
  <c r="AM53" i="2" a="1"/>
  <c r="AM54" i="2" a="1"/>
  <c r="AM55" i="2" a="1"/>
  <c r="AM56" i="2" a="1"/>
  <c r="AM57" i="2" a="1"/>
  <c r="AM58" i="2" a="1"/>
  <c r="AM59" i="2" a="1"/>
  <c r="AM60" i="2" a="1"/>
  <c r="AM61" i="2" a="1"/>
  <c r="AM62" i="2" a="1"/>
  <c r="AM63" i="2" a="1"/>
  <c r="AM64" i="2" a="1"/>
  <c r="AM65" i="2" a="1"/>
  <c r="AM66" i="2" a="1"/>
  <c r="AM67" i="2" a="1"/>
  <c r="AM68" i="2" a="1"/>
  <c r="AM69" i="2" a="1"/>
  <c r="AM70" i="2" a="1"/>
  <c r="AM71" i="2" a="1"/>
  <c r="AM72" i="2" a="1"/>
  <c r="AM73" i="2" a="1"/>
  <c r="AM74" i="2" a="1"/>
  <c r="AM75" i="2" a="1"/>
  <c r="AM76" i="2" a="1"/>
  <c r="AM77" i="2" a="1"/>
  <c r="AM78" i="2" a="1"/>
  <c r="AM79" i="2" a="1"/>
  <c r="AM80" i="2" a="1"/>
  <c r="AM81" i="2" a="1"/>
  <c r="AM82" i="2" a="1"/>
  <c r="AM83" i="2" a="1"/>
  <c r="AM84" i="2" a="1"/>
  <c r="AM85" i="2" a="1"/>
  <c r="AM86" i="2" a="1"/>
  <c r="AM87" i="2" a="1"/>
  <c r="AM88" i="2" a="1"/>
  <c r="AM89" i="2" a="1"/>
  <c r="AM90" i="2" a="1"/>
  <c r="AM91" i="2" a="1"/>
  <c r="AM92" i="2" a="1"/>
  <c r="AM93" i="2" a="1"/>
  <c r="AM94" i="2" a="1"/>
  <c r="AM95" i="2" a="1"/>
  <c r="AM96" i="2" a="1"/>
  <c r="AM97" i="2" a="1"/>
  <c r="AM98" i="2" a="1"/>
  <c r="AM99" i="2" a="1"/>
  <c r="AM100" i="2" a="1"/>
  <c r="AM101" i="2" a="1"/>
  <c r="AM102" i="2" a="1"/>
  <c r="AM103" i="2" a="1"/>
  <c r="AM104" i="2" a="1"/>
  <c r="AM105" i="2" a="1"/>
  <c r="AM106" i="2" a="1"/>
  <c r="AM107" i="2" a="1"/>
  <c r="AM108" i="2" a="1"/>
  <c r="AM109" i="2" a="1"/>
  <c r="AM110" i="2" a="1"/>
  <c r="AM111" i="2" a="1"/>
  <c r="AM112" i="2" a="1"/>
  <c r="AM113" i="2" a="1"/>
  <c r="AM114" i="2" a="1"/>
  <c r="AM115" i="2" a="1"/>
  <c r="AM116" i="2" a="1"/>
  <c r="AM117" i="2" a="1"/>
  <c r="AM118" i="2" a="1"/>
  <c r="AM119" i="2" a="1"/>
  <c r="AM120" i="2" a="1"/>
  <c r="AM121" i="2" a="1"/>
  <c r="AM122" i="2" a="1"/>
  <c r="AM123" i="2" a="1"/>
  <c r="AM124" i="2" a="1"/>
  <c r="AM125" i="2" a="1"/>
  <c r="AM126" i="2" a="1"/>
  <c r="AM127" i="2" a="1"/>
  <c r="AM128" i="2" a="1"/>
  <c r="AM129" i="2" a="1"/>
  <c r="AM130" i="2" a="1"/>
  <c r="AM131" i="2" a="1"/>
  <c r="AM132" i="2" a="1"/>
  <c r="AM133" i="2" a="1"/>
  <c r="AM134" i="2" a="1"/>
  <c r="AM135" i="2" a="1"/>
  <c r="AM136" i="2" a="1"/>
  <c r="AM137" i="2" a="1"/>
  <c r="AM138" i="2" a="1"/>
  <c r="AM139" i="2" a="1"/>
  <c r="AM140" i="2" a="1"/>
  <c r="AM141" i="2" a="1"/>
  <c r="AM142" i="2" a="1"/>
  <c r="AM143" i="2" a="1"/>
  <c r="AM144" i="2" a="1"/>
  <c r="AM145" i="2" a="1"/>
  <c r="AM146" i="2" a="1"/>
  <c r="AM147" i="2" a="1"/>
  <c r="AM148" i="2" a="1"/>
  <c r="AM149" i="2" a="1"/>
  <c r="AM150" i="2" a="1"/>
  <c r="AM151" i="2" a="1"/>
  <c r="AM152" i="2" a="1"/>
  <c r="AM153" i="2" a="1"/>
  <c r="AM154" i="2" a="1"/>
  <c r="AM155" i="2" a="1"/>
  <c r="AM156" i="2" a="1"/>
  <c r="AM157" i="2" a="1"/>
  <c r="AM158" i="2" a="1"/>
  <c r="AM159" i="2" a="1"/>
  <c r="AM160" i="2" a="1"/>
  <c r="AM161" i="2" a="1"/>
  <c r="AM162" i="2" a="1"/>
  <c r="AM163" i="2" a="1"/>
  <c r="AM164" i="2" a="1"/>
  <c r="AM165" i="2" a="1"/>
  <c r="AM166" i="2" a="1"/>
  <c r="AM167" i="2" a="1"/>
  <c r="AM168" i="2" a="1"/>
  <c r="AM169" i="2" a="1"/>
  <c r="AM170" i="2" a="1"/>
  <c r="AM171" i="2" a="1"/>
  <c r="AM172" i="2" a="1"/>
  <c r="AM173" i="2" a="1"/>
  <c r="AM174" i="2" a="1"/>
  <c r="AM175" i="2" a="1"/>
  <c r="AM176" i="2" a="1"/>
  <c r="AM177" i="2" a="1"/>
  <c r="AM178" i="2" a="1"/>
  <c r="AM179" i="2" a="1"/>
  <c r="AM180" i="2" a="1"/>
  <c r="AM181" i="2" a="1"/>
  <c r="AM182" i="2" a="1"/>
  <c r="AM183" i="2" a="1"/>
  <c r="AM184" i="2" a="1"/>
  <c r="AM185" i="2" a="1"/>
  <c r="AM186" i="2" a="1"/>
  <c r="AM187" i="2" a="1"/>
  <c r="AM188" i="2" a="1"/>
  <c r="AM189" i="2" a="1"/>
  <c r="AM190" i="2" a="1"/>
  <c r="AM191" i="2" a="1"/>
  <c r="AM192" i="2" a="1"/>
  <c r="AM193" i="2" a="1"/>
  <c r="AM194" i="2" a="1"/>
  <c r="AM195" i="2" a="1"/>
  <c r="AM196" i="2" a="1"/>
  <c r="AM197" i="2" a="1"/>
  <c r="AM198" i="2" a="1"/>
  <c r="AM199" i="2" a="1"/>
  <c r="AM200" i="2" a="1"/>
  <c r="AM201" i="2" a="1"/>
  <c r="AM202" i="2" a="1"/>
  <c r="AM203" i="2" a="1"/>
  <c r="AM204" i="2" a="1"/>
  <c r="AM205" i="2" a="1"/>
  <c r="AM206" i="2" a="1"/>
  <c r="AM207" i="2" a="1"/>
  <c r="AM208" i="2" a="1"/>
  <c r="AM209" i="2" a="1"/>
  <c r="AM210" i="2" a="1"/>
  <c r="AM211" i="2" a="1"/>
  <c r="AM212" i="2" a="1"/>
  <c r="AM213" i="2" a="1"/>
  <c r="AM214" i="2" a="1"/>
  <c r="AM215" i="2" a="1"/>
  <c r="AM216" i="2" a="1"/>
  <c r="AM217" i="2" a="1"/>
  <c r="AM218" i="2" a="1"/>
  <c r="AM219" i="2" a="1"/>
  <c r="AM220" i="2" a="1"/>
  <c r="AM221" i="2" a="1"/>
  <c r="AM222" i="2" a="1"/>
  <c r="AM223" i="2" a="1"/>
  <c r="AM224" i="2" a="1"/>
  <c r="AM225" i="2" a="1"/>
  <c r="AM226" i="2" a="1"/>
  <c r="AM227" i="2" a="1"/>
  <c r="AM228" i="2" a="1"/>
  <c r="AM229" i="2" a="1"/>
  <c r="AM230" i="2" a="1"/>
  <c r="AM231" i="2" a="1"/>
  <c r="AM232" i="2" a="1"/>
  <c r="AM233" i="2" a="1"/>
  <c r="AM234" i="2" a="1"/>
  <c r="AM235" i="2" a="1"/>
  <c r="AM236" i="2" a="1"/>
  <c r="AM237" i="2" a="1"/>
  <c r="AM238" i="2" a="1"/>
  <c r="AM239" i="2" a="1"/>
  <c r="AM240" i="2" a="1"/>
  <c r="AM241" i="2" a="1"/>
  <c r="AM242" i="2" a="1"/>
  <c r="AM243" i="2" a="1"/>
  <c r="AM244" i="2" a="1"/>
  <c r="AM245" i="2" a="1"/>
  <c r="AM246" i="2" a="1"/>
  <c r="AM247" i="2" a="1"/>
  <c r="AM248" i="2" a="1"/>
  <c r="AM249" i="2" a="1"/>
  <c r="AM250" i="2" a="1"/>
  <c r="AM251" i="2" a="1"/>
  <c r="AM252" i="2" a="1"/>
  <c r="AM253" i="2" a="1"/>
  <c r="AM254" i="2" a="1"/>
  <c r="AM255" i="2" a="1"/>
  <c r="AM256" i="2" a="1"/>
  <c r="AM257" i="2" a="1"/>
  <c r="AM258" i="2" a="1"/>
  <c r="AM259" i="2" a="1"/>
  <c r="AM260" i="2" a="1"/>
  <c r="AM261" i="2" a="1"/>
  <c r="AM262" i="2" a="1"/>
  <c r="AM263" i="2" a="1"/>
  <c r="AM264" i="2" a="1"/>
  <c r="AM265" i="2" a="1"/>
  <c r="AM266" i="2" a="1"/>
  <c r="AM267" i="2" a="1"/>
  <c r="AM268" i="2" a="1"/>
  <c r="AM269" i="2" a="1"/>
  <c r="AM270" i="2" a="1"/>
  <c r="AM271" i="2" a="1"/>
  <c r="AM272" i="2" a="1"/>
  <c r="AM273" i="2" a="1"/>
  <c r="AM274" i="2" a="1"/>
  <c r="AM275" i="2" a="1"/>
  <c r="AM276" i="2" a="1"/>
  <c r="AM277" i="2" a="1"/>
  <c r="AM278" i="2" a="1"/>
  <c r="AM279" i="2" a="1"/>
  <c r="AM280" i="2" a="1"/>
  <c r="AM281" i="2" a="1"/>
  <c r="AM282" i="2" a="1"/>
  <c r="AM283" i="2" a="1"/>
  <c r="AM284" i="2" a="1"/>
  <c r="AM284" i="2"/>
  <c r="AM285" i="2" a="1"/>
  <c r="AM285" i="2"/>
  <c r="AM286" i="2" a="1"/>
  <c r="AM286" i="2"/>
  <c r="AM287" i="2" a="1"/>
  <c r="AM287" i="2"/>
  <c r="AM288" i="2" a="1"/>
  <c r="AM288" i="2"/>
  <c r="AM289" i="2" a="1"/>
  <c r="AM289" i="2"/>
  <c r="AM290" i="2" a="1"/>
  <c r="AM290" i="2"/>
  <c r="AM291" i="2" a="1"/>
  <c r="AM291" i="2"/>
  <c r="AM292" i="2" a="1"/>
  <c r="AM292" i="2"/>
  <c r="AM293" i="2" a="1"/>
  <c r="AM293" i="2"/>
  <c r="AM294" i="2" a="1"/>
  <c r="AM294" i="2"/>
  <c r="AM295" i="2" a="1"/>
  <c r="AM295" i="2"/>
  <c r="AM296" i="2" a="1"/>
  <c r="AM296" i="2"/>
  <c r="AM297" i="2" a="1"/>
  <c r="AM297" i="2"/>
  <c r="AM298" i="2" a="1"/>
  <c r="AM298" i="2"/>
  <c r="AM299" i="2" a="1"/>
  <c r="AM299" i="2"/>
  <c r="AM300" i="2" a="1"/>
  <c r="AM300" i="2"/>
  <c r="AM301" i="2" a="1"/>
  <c r="AM301" i="2"/>
  <c r="AM302" i="2" a="1"/>
  <c r="AM302" i="2"/>
  <c r="AM303" i="2" a="1"/>
  <c r="AM303" i="2"/>
  <c r="AM304" i="2" a="1"/>
  <c r="AM304" i="2"/>
  <c r="AM305" i="2" a="1"/>
  <c r="AM305" i="2"/>
  <c r="AM306" i="2" a="1"/>
  <c r="AM306" i="2"/>
  <c r="AM307" i="2" a="1"/>
  <c r="AM307" i="2"/>
  <c r="AM308" i="2" a="1"/>
  <c r="AM308" i="2"/>
  <c r="AM309" i="2" a="1"/>
  <c r="AM309" i="2"/>
  <c r="AM310" i="2" a="1"/>
  <c r="AM310" i="2"/>
  <c r="AM311" i="2" a="1"/>
  <c r="AM311" i="2"/>
  <c r="AM312" i="2" a="1"/>
  <c r="AM312" i="2"/>
  <c r="AM313" i="2" a="1"/>
  <c r="AM313" i="2"/>
  <c r="AM314" i="2" a="1"/>
  <c r="AM314" i="2"/>
  <c r="AM315" i="2" a="1"/>
  <c r="AM315" i="2"/>
  <c r="AM316" i="2" a="1"/>
  <c r="AM316" i="2"/>
  <c r="AM317" i="2" a="1"/>
  <c r="AM317" i="2"/>
  <c r="AM318" i="2" a="1"/>
  <c r="AM318" i="2"/>
  <c r="AM319" i="2" a="1"/>
  <c r="AM319" i="2"/>
  <c r="AM320" i="2" a="1"/>
  <c r="AM320" i="2"/>
  <c r="AM321" i="2" a="1"/>
  <c r="AM321" i="2"/>
  <c r="AM322" i="2" a="1"/>
  <c r="AM322" i="2"/>
  <c r="AM323" i="2" a="1"/>
  <c r="AM323" i="2"/>
  <c r="AM324" i="2" a="1"/>
  <c r="AM324" i="2"/>
  <c r="AM325" i="2" a="1"/>
  <c r="AM325" i="2"/>
  <c r="AM326" i="2" a="1"/>
  <c r="AM326" i="2"/>
  <c r="AM327" i="2" a="1"/>
  <c r="AM327" i="2"/>
  <c r="AM328" i="2" a="1"/>
  <c r="AM328" i="2"/>
  <c r="AM329" i="2" a="1"/>
  <c r="AM329" i="2"/>
  <c r="AM330" i="2" a="1"/>
  <c r="AM330" i="2"/>
  <c r="AM331" i="2" a="1"/>
  <c r="AM331" i="2"/>
  <c r="AM332" i="2" a="1"/>
  <c r="AM332" i="2"/>
  <c r="AM333" i="2" a="1"/>
  <c r="AM333" i="2"/>
  <c r="AM334" i="2" a="1"/>
  <c r="AM334" i="2"/>
  <c r="AM335" i="2" a="1"/>
  <c r="AM335" i="2"/>
  <c r="AM336" i="2" a="1"/>
  <c r="AM336" i="2"/>
  <c r="AM337" i="2" a="1"/>
  <c r="AM337" i="2"/>
  <c r="AM338" i="2" a="1"/>
  <c r="AM338" i="2"/>
  <c r="AM339" i="2" a="1"/>
  <c r="AM339" i="2"/>
  <c r="AM340" i="2" a="1"/>
  <c r="AM340" i="2"/>
  <c r="AM341" i="2" a="1"/>
  <c r="AM341" i="2"/>
  <c r="AM342" i="2" a="1"/>
  <c r="AM342" i="2"/>
  <c r="AM343" i="2" a="1"/>
  <c r="AM343" i="2"/>
  <c r="AM344" i="2" a="1"/>
  <c r="AM344" i="2"/>
  <c r="AM345" i="2" a="1"/>
  <c r="AM345" i="2"/>
  <c r="AM346" i="2" a="1"/>
  <c r="AM346" i="2"/>
  <c r="AM347" i="2" a="1"/>
  <c r="AM347" i="2"/>
  <c r="AM348" i="2" a="1"/>
  <c r="AM348" i="2"/>
  <c r="AM349" i="2" a="1"/>
  <c r="AM349" i="2"/>
  <c r="AM350" i="2" a="1"/>
  <c r="AM350" i="2"/>
  <c r="AM351" i="2" a="1"/>
  <c r="AM351" i="2"/>
  <c r="AM352" i="2" a="1"/>
  <c r="AM352" i="2"/>
  <c r="AM353" i="2" a="1"/>
  <c r="AM353" i="2"/>
  <c r="AM354" i="2" a="1"/>
  <c r="AM354" i="2"/>
  <c r="AM355" i="2" a="1"/>
  <c r="AM355" i="2"/>
  <c r="AM356" i="2" a="1"/>
  <c r="AM356" i="2"/>
  <c r="AM357" i="2" a="1"/>
  <c r="AM357" i="2"/>
  <c r="AM358" i="2" a="1"/>
  <c r="AM358" i="2"/>
  <c r="AM359" i="2" a="1"/>
  <c r="AM359" i="2"/>
  <c r="AM360" i="2" a="1"/>
  <c r="AM360" i="2"/>
  <c r="AM361" i="2" a="1"/>
  <c r="AM361" i="2"/>
  <c r="AM362" i="2" a="1"/>
  <c r="AM362" i="2"/>
  <c r="AM363" i="2" a="1"/>
  <c r="AM363" i="2"/>
  <c r="AM364" i="2" a="1"/>
  <c r="AM364" i="2"/>
  <c r="AM365" i="2" a="1"/>
  <c r="AM365" i="2"/>
  <c r="AM366" i="2" a="1"/>
  <c r="AM366" i="2"/>
  <c r="AM367" i="2" a="1"/>
  <c r="AM367" i="2"/>
  <c r="AM368" i="2" a="1"/>
  <c r="AM368" i="2"/>
  <c r="AM369" i="2" a="1"/>
  <c r="AM369" i="2"/>
  <c r="AM370" i="2" a="1"/>
  <c r="AM370" i="2"/>
  <c r="AM371" i="2" a="1"/>
  <c r="AM371" i="2"/>
  <c r="AM372" i="2" a="1"/>
  <c r="AM372" i="2"/>
  <c r="AM373" i="2" a="1"/>
  <c r="AM373" i="2"/>
  <c r="AM374" i="2" a="1"/>
  <c r="AM374" i="2"/>
  <c r="AM375" i="2" a="1"/>
  <c r="AM375" i="2"/>
  <c r="AM376" i="2" a="1"/>
  <c r="AM376" i="2"/>
  <c r="AM377" i="2" a="1"/>
  <c r="AM377" i="2"/>
  <c r="AM378" i="2" a="1"/>
  <c r="AM378" i="2"/>
  <c r="AM379" i="2" a="1"/>
  <c r="AM379" i="2"/>
  <c r="AM380" i="2" a="1"/>
  <c r="AM380" i="2"/>
  <c r="AM381" i="2" a="1"/>
  <c r="AM381" i="2"/>
  <c r="AM382" i="2" a="1"/>
  <c r="AM382" i="2"/>
  <c r="AM383" i="2" a="1"/>
  <c r="AM383" i="2"/>
  <c r="AM384" i="2" a="1"/>
  <c r="AM384" i="2"/>
  <c r="AM385" i="2" a="1"/>
  <c r="AM385" i="2"/>
  <c r="AM386" i="2" a="1"/>
  <c r="AM386" i="2"/>
  <c r="AM387" i="2" a="1"/>
  <c r="AM387" i="2"/>
  <c r="AM388" i="2" a="1"/>
  <c r="AM388" i="2"/>
  <c r="AM389" i="2" a="1"/>
  <c r="AM389" i="2"/>
  <c r="AM390" i="2" a="1"/>
  <c r="AM390" i="2"/>
  <c r="AM391" i="2" a="1"/>
  <c r="AM391" i="2"/>
  <c r="AM392" i="2" a="1"/>
  <c r="AM392" i="2"/>
  <c r="AM393" i="2" a="1"/>
  <c r="AM393" i="2"/>
  <c r="AM394" i="2" a="1"/>
  <c r="AM394" i="2"/>
  <c r="AM395" i="2" a="1"/>
  <c r="AM395" i="2"/>
  <c r="AM396" i="2" a="1"/>
  <c r="AM396" i="2"/>
  <c r="AM397" i="2" a="1"/>
  <c r="AM397" i="2"/>
  <c r="AM398" i="2" a="1"/>
  <c r="AM398" i="2"/>
  <c r="AM399" i="2" a="1"/>
  <c r="AM399" i="2"/>
  <c r="AM400" i="2" a="1"/>
  <c r="AM400" i="2"/>
  <c r="AM401" i="2" a="1"/>
  <c r="AM401" i="2"/>
  <c r="AM402" i="2" a="1"/>
  <c r="AM402" i="2"/>
  <c r="AM403" i="2" a="1"/>
  <c r="AM403" i="2"/>
  <c r="AM404" i="2" a="1"/>
  <c r="AM404" i="2"/>
  <c r="AM405" i="2" a="1"/>
  <c r="AM405" i="2"/>
  <c r="AM406" i="2" a="1"/>
  <c r="AM406" i="2"/>
  <c r="AM407" i="2" a="1"/>
  <c r="AM407" i="2"/>
  <c r="AM408" i="2" a="1"/>
  <c r="AM408" i="2"/>
  <c r="AM409" i="2" a="1"/>
  <c r="AM409" i="2"/>
  <c r="AM410" i="2" a="1"/>
  <c r="AM410" i="2"/>
  <c r="AM411" i="2" a="1"/>
  <c r="AM411" i="2"/>
  <c r="AM412" i="2" a="1"/>
  <c r="AM412" i="2"/>
  <c r="AM413" i="2" a="1"/>
  <c r="AM413" i="2"/>
  <c r="AM414" i="2" a="1"/>
  <c r="AM414" i="2"/>
  <c r="AM415" i="2" a="1"/>
  <c r="AM415" i="2"/>
  <c r="AM416" i="2" a="1"/>
  <c r="AM416" i="2"/>
  <c r="AM417" i="2" a="1"/>
  <c r="AM417" i="2"/>
  <c r="AM418" i="2" a="1"/>
  <c r="AM418" i="2"/>
  <c r="AM419" i="2" a="1"/>
  <c r="AM419" i="2"/>
  <c r="AM420" i="2" a="1"/>
  <c r="AM420" i="2"/>
  <c r="AM421" i="2" a="1"/>
  <c r="AM421" i="2"/>
  <c r="AM422" i="2" a="1"/>
  <c r="AM422" i="2"/>
  <c r="AM423" i="2" a="1"/>
  <c r="AM423" i="2"/>
  <c r="AM424" i="2" a="1"/>
  <c r="AM424" i="2"/>
  <c r="AM425" i="2" a="1"/>
  <c r="AM425" i="2"/>
  <c r="AM426" i="2" a="1"/>
  <c r="AM426" i="2"/>
  <c r="AM427" i="2" a="1"/>
  <c r="AM427" i="2"/>
  <c r="AM428" i="2" a="1"/>
  <c r="AM428" i="2"/>
  <c r="AM429" i="2" a="1"/>
  <c r="AM429" i="2"/>
  <c r="AM430" i="2" a="1"/>
  <c r="AM430" i="2"/>
  <c r="AM431" i="2" a="1"/>
  <c r="AM431" i="2"/>
  <c r="AM432" i="2" a="1"/>
  <c r="AM432" i="2"/>
  <c r="AM433" i="2" a="1"/>
  <c r="AM433" i="2"/>
  <c r="AM434" i="2" a="1"/>
  <c r="AM434" i="2"/>
  <c r="AM435" i="2" a="1"/>
  <c r="AM435" i="2"/>
  <c r="AM436" i="2" a="1"/>
  <c r="AM436" i="2"/>
  <c r="AM437" i="2" a="1"/>
  <c r="AM437" i="2"/>
  <c r="AM438" i="2" a="1"/>
  <c r="AM438" i="2"/>
  <c r="AM439" i="2" a="1"/>
  <c r="AM439" i="2"/>
  <c r="AM440" i="2" a="1"/>
  <c r="AM440" i="2"/>
  <c r="AM441" i="2" a="1"/>
  <c r="AM441" i="2"/>
  <c r="AM442" i="2" a="1"/>
  <c r="AM442" i="2"/>
  <c r="AM443" i="2" a="1"/>
  <c r="AM443" i="2"/>
  <c r="AM444" i="2" a="1"/>
  <c r="AM444" i="2"/>
  <c r="AM445" i="2" a="1"/>
  <c r="AM445" i="2"/>
  <c r="AM446" i="2" a="1"/>
  <c r="AM446" i="2"/>
  <c r="AM447" i="2" a="1"/>
  <c r="AM447" i="2"/>
  <c r="AM448" i="2" a="1"/>
  <c r="AM448" i="2"/>
  <c r="AM449" i="2" a="1"/>
  <c r="AM449" i="2"/>
  <c r="AM450" i="2" a="1"/>
  <c r="AM450" i="2"/>
  <c r="AM451" i="2" a="1"/>
  <c r="AM451" i="2"/>
  <c r="AM452" i="2" a="1"/>
  <c r="AM452" i="2"/>
  <c r="AM453" i="2" a="1"/>
  <c r="AM453" i="2"/>
  <c r="AM454" i="2" a="1"/>
  <c r="AM454" i="2"/>
  <c r="AM455" i="2" a="1"/>
  <c r="AM455" i="2"/>
  <c r="AM456" i="2" a="1"/>
  <c r="AM456" i="2"/>
  <c r="AM457" i="2" a="1"/>
  <c r="AM457" i="2"/>
  <c r="AM458" i="2" a="1"/>
  <c r="AM458" i="2"/>
  <c r="AM459" i="2" a="1"/>
  <c r="AM459" i="2"/>
  <c r="AM460" i="2" a="1"/>
  <c r="AM460" i="2"/>
  <c r="AM461" i="2" a="1"/>
  <c r="AM461" i="2"/>
  <c r="AM462" i="2" a="1"/>
  <c r="AM462" i="2"/>
  <c r="AM463" i="2" a="1"/>
  <c r="AM463" i="2"/>
  <c r="AM464" i="2" a="1"/>
  <c r="AM464" i="2"/>
  <c r="AM465" i="2" a="1"/>
  <c r="AM465" i="2"/>
  <c r="AM466" i="2" a="1"/>
  <c r="AM466" i="2"/>
  <c r="AM467" i="2" a="1"/>
  <c r="AM467" i="2"/>
  <c r="AM468" i="2" a="1"/>
  <c r="AM468" i="2"/>
  <c r="AM469" i="2" a="1"/>
  <c r="AM469" i="2"/>
  <c r="AM470" i="2" a="1"/>
  <c r="AM470" i="2"/>
  <c r="AM471" i="2" a="1"/>
  <c r="AM471" i="2"/>
  <c r="AM472" i="2" a="1"/>
  <c r="AM472" i="2"/>
  <c r="AM473" i="2" a="1"/>
  <c r="AM473" i="2"/>
  <c r="AM474" i="2" a="1"/>
  <c r="AM474" i="2"/>
  <c r="AM475" i="2" a="1"/>
  <c r="AM475" i="2"/>
  <c r="AM476" i="2" a="1"/>
  <c r="AM476" i="2"/>
  <c r="AM477" i="2" a="1"/>
  <c r="AM477" i="2"/>
  <c r="AM478" i="2" a="1"/>
  <c r="AM478" i="2"/>
  <c r="AM479" i="2" a="1"/>
  <c r="AM479" i="2"/>
  <c r="AM480" i="2" a="1"/>
  <c r="AM480" i="2"/>
  <c r="AM481" i="2" a="1"/>
  <c r="AM481" i="2"/>
  <c r="AM482" i="2" a="1"/>
  <c r="AM482" i="2"/>
  <c r="AM483" i="2" a="1"/>
  <c r="AM483" i="2"/>
  <c r="AM484" i="2" a="1"/>
  <c r="AM484" i="2"/>
  <c r="AM485" i="2" a="1"/>
  <c r="AM485" i="2"/>
  <c r="AM486" i="2" a="1"/>
  <c r="AM486" i="2"/>
  <c r="AM487" i="2" a="1"/>
  <c r="AM487" i="2"/>
  <c r="AM488" i="2" a="1"/>
  <c r="AM488" i="2"/>
  <c r="AM489" i="2" a="1"/>
  <c r="AM489" i="2"/>
  <c r="AM490" i="2" a="1"/>
  <c r="AM490" i="2"/>
  <c r="AM491" i="2" a="1"/>
  <c r="AM491" i="2"/>
  <c r="AM492" i="2" a="1"/>
  <c r="AM492" i="2"/>
  <c r="AM493" i="2" a="1"/>
  <c r="AM493" i="2"/>
  <c r="AM494" i="2" a="1"/>
  <c r="AM494" i="2"/>
  <c r="AM495" i="2" a="1"/>
  <c r="AM495" i="2"/>
  <c r="AM496" i="2" a="1"/>
  <c r="AM496" i="2"/>
  <c r="AM497" i="2" a="1"/>
  <c r="AM497" i="2"/>
  <c r="AM498" i="2" a="1"/>
  <c r="AM498" i="2"/>
  <c r="AM499" i="2" a="1"/>
  <c r="AM499" i="2"/>
  <c r="AM500" i="2" a="1"/>
  <c r="AM500" i="2"/>
  <c r="AL3" i="2" a="1"/>
  <c r="AL3" i="2"/>
  <c r="AL4" i="2" a="1"/>
  <c r="AL4" i="2"/>
  <c r="AL5" i="2" a="1"/>
  <c r="AL5" i="2"/>
  <c r="AL6" i="2" a="1"/>
  <c r="AL6" i="2"/>
  <c r="AL7" i="2" a="1"/>
  <c r="AL7" i="2"/>
  <c r="AL8" i="2" a="1"/>
  <c r="AL8" i="2"/>
  <c r="AL9" i="2" a="1"/>
  <c r="AL9" i="2"/>
  <c r="AL10" i="2" a="1"/>
  <c r="AL10" i="2"/>
  <c r="AL11" i="2" a="1"/>
  <c r="AL11" i="2"/>
  <c r="AL12" i="2" a="1"/>
  <c r="AL12" i="2"/>
  <c r="AL13" i="2" a="1"/>
  <c r="AL14" i="2" a="1"/>
  <c r="AL15" i="2" a="1"/>
  <c r="AL16" i="2" a="1"/>
  <c r="AL17" i="2" a="1"/>
  <c r="AL18" i="2" a="1"/>
  <c r="AL19" i="2" a="1"/>
  <c r="AL20" i="2" a="1"/>
  <c r="AL21" i="2" a="1"/>
  <c r="AL22" i="2" a="1"/>
  <c r="AL23" i="2" a="1"/>
  <c r="AL24" i="2" a="1"/>
  <c r="AL25" i="2" a="1"/>
  <c r="AL26" i="2" a="1"/>
  <c r="AL27" i="2" a="1"/>
  <c r="AL28" i="2" a="1"/>
  <c r="AL29" i="2" a="1"/>
  <c r="AL30" i="2" a="1"/>
  <c r="AL31" i="2" a="1"/>
  <c r="AL32" i="2" a="1"/>
  <c r="AL33" i="2" a="1"/>
  <c r="AL34" i="2" a="1"/>
  <c r="AL35" i="2" a="1"/>
  <c r="AL36" i="2" a="1"/>
  <c r="AL37" i="2" a="1"/>
  <c r="AL38" i="2" a="1"/>
  <c r="AL39" i="2" a="1"/>
  <c r="AL40" i="2" a="1"/>
  <c r="AL41" i="2" a="1"/>
  <c r="AL42" i="2" a="1"/>
  <c r="AL43" i="2" a="1"/>
  <c r="AL44" i="2" a="1"/>
  <c r="AL45" i="2" a="1"/>
  <c r="AL46" i="2" a="1"/>
  <c r="AL47" i="2" a="1"/>
  <c r="AL47" i="2"/>
  <c r="AL48" i="2" a="1"/>
  <c r="AL48" i="2"/>
  <c r="AL49" i="2" a="1"/>
  <c r="AL49" i="2"/>
  <c r="AL50" i="2" a="1"/>
  <c r="AL50" i="2"/>
  <c r="AL51" i="2" a="1"/>
  <c r="AL51" i="2"/>
  <c r="AL52" i="2" a="1"/>
  <c r="AL52" i="2"/>
  <c r="AL53" i="2" a="1"/>
  <c r="AL53" i="2"/>
  <c r="AL54" i="2" a="1"/>
  <c r="AL54" i="2"/>
  <c r="AL55" i="2" a="1"/>
  <c r="AL55" i="2"/>
  <c r="AL56" i="2" a="1"/>
  <c r="AL56" i="2"/>
  <c r="AL57" i="2" a="1"/>
  <c r="AL57" i="2"/>
  <c r="AL58" i="2" a="1"/>
  <c r="AL58" i="2"/>
  <c r="AL59" i="2" a="1"/>
  <c r="AL59" i="2"/>
  <c r="AL60" i="2" a="1"/>
  <c r="AL60" i="2"/>
  <c r="AL61" i="2" a="1"/>
  <c r="AL61" i="2"/>
  <c r="AL62" i="2" a="1"/>
  <c r="AL62" i="2"/>
  <c r="AL63" i="2" a="1"/>
  <c r="AL63" i="2"/>
  <c r="AL64" i="2" a="1"/>
  <c r="AL64" i="2"/>
  <c r="AL65" i="2" a="1"/>
  <c r="AL65" i="2"/>
  <c r="AL66" i="2" a="1"/>
  <c r="AL66" i="2"/>
  <c r="AL67" i="2" a="1"/>
  <c r="AL67" i="2"/>
  <c r="AL68" i="2" a="1"/>
  <c r="AL68" i="2"/>
  <c r="AL69" i="2" a="1"/>
  <c r="AL69" i="2"/>
  <c r="AL70" i="2" a="1"/>
  <c r="AL70" i="2"/>
  <c r="AL71" i="2" a="1"/>
  <c r="AL71" i="2"/>
  <c r="AL72" i="2" a="1"/>
  <c r="AL72" i="2"/>
  <c r="AL73" i="2" a="1"/>
  <c r="AL73" i="2"/>
  <c r="AL74" i="2" a="1"/>
  <c r="AL74" i="2"/>
  <c r="AL75" i="2" a="1"/>
  <c r="AL75" i="2"/>
  <c r="AL76" i="2" a="1"/>
  <c r="AL76" i="2"/>
  <c r="AL77" i="2" a="1"/>
  <c r="AL77" i="2"/>
  <c r="AL78" i="2" a="1"/>
  <c r="AL78" i="2"/>
  <c r="AL79" i="2" a="1"/>
  <c r="AL79" i="2"/>
  <c r="AL80" i="2" a="1"/>
  <c r="AL80" i="2"/>
  <c r="AL81" i="2" a="1"/>
  <c r="AL81" i="2"/>
  <c r="AL82" i="2" a="1"/>
  <c r="AL82" i="2"/>
  <c r="AL83" i="2" a="1"/>
  <c r="AL83" i="2"/>
  <c r="AL84" i="2" a="1"/>
  <c r="AL84" i="2"/>
  <c r="AL85" i="2" a="1"/>
  <c r="AL85" i="2"/>
  <c r="AL86" i="2" a="1"/>
  <c r="AL86" i="2"/>
  <c r="AL87" i="2" a="1"/>
  <c r="AL87" i="2"/>
  <c r="AL88" i="2" a="1"/>
  <c r="AL88" i="2"/>
  <c r="AL89" i="2" a="1"/>
  <c r="AL89" i="2"/>
  <c r="AL90" i="2" a="1"/>
  <c r="AL90" i="2"/>
  <c r="AL91" i="2" a="1"/>
  <c r="AL91" i="2"/>
  <c r="AL92" i="2" a="1"/>
  <c r="AL92" i="2"/>
  <c r="AL93" i="2" a="1"/>
  <c r="AL93" i="2"/>
  <c r="AL94" i="2" a="1"/>
  <c r="AL94" i="2"/>
  <c r="AL95" i="2" a="1"/>
  <c r="AL95" i="2"/>
  <c r="AL96" i="2" a="1"/>
  <c r="AL96" i="2"/>
  <c r="AL97" i="2" a="1"/>
  <c r="AL97" i="2"/>
  <c r="AL98" i="2" a="1"/>
  <c r="AL98" i="2"/>
  <c r="AL99" i="2" a="1"/>
  <c r="AL99" i="2"/>
  <c r="AL100" i="2" a="1"/>
  <c r="AL100" i="2"/>
  <c r="AL101" i="2" a="1"/>
  <c r="AL101" i="2"/>
  <c r="AL102" i="2" a="1"/>
  <c r="AL102" i="2"/>
  <c r="AL103" i="2" a="1"/>
  <c r="AL103" i="2"/>
  <c r="AL104" i="2" a="1"/>
  <c r="AL104" i="2"/>
  <c r="AL105" i="2" a="1"/>
  <c r="AL105" i="2"/>
  <c r="AL106" i="2" a="1"/>
  <c r="AL106" i="2"/>
  <c r="AL107" i="2" a="1"/>
  <c r="AL107" i="2"/>
  <c r="AL108" i="2" a="1"/>
  <c r="AL108" i="2"/>
  <c r="AL109" i="2" a="1"/>
  <c r="AL109" i="2"/>
  <c r="AL110" i="2" a="1"/>
  <c r="AL110" i="2"/>
  <c r="AL111" i="2" a="1"/>
  <c r="AL111" i="2"/>
  <c r="AL112" i="2" a="1"/>
  <c r="AL112" i="2"/>
  <c r="AL113" i="2" a="1"/>
  <c r="AL113" i="2"/>
  <c r="AL114" i="2" a="1"/>
  <c r="AL114" i="2"/>
  <c r="AL115" i="2" a="1"/>
  <c r="AL115" i="2"/>
  <c r="AL116" i="2" a="1"/>
  <c r="AL116" i="2"/>
  <c r="AL117" i="2" a="1"/>
  <c r="AL117" i="2"/>
  <c r="AL118" i="2" a="1"/>
  <c r="AL118" i="2"/>
  <c r="AL119" i="2" a="1"/>
  <c r="AL119" i="2"/>
  <c r="AL120" i="2" a="1"/>
  <c r="AL120" i="2"/>
  <c r="AL121" i="2" a="1"/>
  <c r="AL121" i="2"/>
  <c r="AL122" i="2" a="1"/>
  <c r="AL122" i="2"/>
  <c r="AL123" i="2" a="1"/>
  <c r="AL123" i="2"/>
  <c r="AL124" i="2" a="1"/>
  <c r="AL124" i="2"/>
  <c r="AL125" i="2" a="1"/>
  <c r="AL125" i="2"/>
  <c r="AL126" i="2" a="1"/>
  <c r="AL126" i="2"/>
  <c r="AL127" i="2" a="1"/>
  <c r="AL127" i="2"/>
  <c r="AL128" i="2" a="1"/>
  <c r="AL128" i="2"/>
  <c r="AL129" i="2" a="1"/>
  <c r="AL129" i="2"/>
  <c r="AL130" i="2" a="1"/>
  <c r="AL130" i="2"/>
  <c r="AL131" i="2" a="1"/>
  <c r="AL131" i="2"/>
  <c r="AL132" i="2" a="1"/>
  <c r="AL132" i="2"/>
  <c r="AL133" i="2" a="1"/>
  <c r="AL133" i="2"/>
  <c r="AL134" i="2" a="1"/>
  <c r="AL134" i="2"/>
  <c r="AL135" i="2" a="1"/>
  <c r="AL135" i="2"/>
  <c r="AL136" i="2" a="1"/>
  <c r="AL136" i="2"/>
  <c r="AL137" i="2" a="1"/>
  <c r="AL137" i="2"/>
  <c r="AL138" i="2" a="1"/>
  <c r="AL138" i="2"/>
  <c r="AL139" i="2" a="1"/>
  <c r="AL139" i="2"/>
  <c r="AL140" i="2" a="1"/>
  <c r="AL140" i="2"/>
  <c r="AL141" i="2" a="1"/>
  <c r="AL141" i="2"/>
  <c r="AL142" i="2" a="1"/>
  <c r="AL142" i="2"/>
  <c r="AL143" i="2" a="1"/>
  <c r="AL143" i="2"/>
  <c r="AL144" i="2" a="1"/>
  <c r="AL144" i="2"/>
  <c r="AL145" i="2" a="1"/>
  <c r="AL145" i="2"/>
  <c r="AL146" i="2" a="1"/>
  <c r="AL146" i="2"/>
  <c r="AL147" i="2" a="1"/>
  <c r="AL147" i="2"/>
  <c r="AL148" i="2" a="1"/>
  <c r="AL148" i="2"/>
  <c r="AL149" i="2" a="1"/>
  <c r="AL149" i="2"/>
  <c r="AL150" i="2" a="1"/>
  <c r="AL150" i="2"/>
  <c r="AL151" i="2" a="1"/>
  <c r="AL151" i="2"/>
  <c r="AL152" i="2" a="1"/>
  <c r="AL152" i="2"/>
  <c r="AL153" i="2" a="1"/>
  <c r="AL153" i="2"/>
  <c r="AL154" i="2" a="1"/>
  <c r="AL154" i="2"/>
  <c r="AL155" i="2" a="1"/>
  <c r="AL155" i="2"/>
  <c r="AL156" i="2" a="1"/>
  <c r="AL156" i="2"/>
  <c r="AL157" i="2" a="1"/>
  <c r="AL157" i="2"/>
  <c r="AL158" i="2" a="1"/>
  <c r="AL158" i="2"/>
  <c r="AL159" i="2" a="1"/>
  <c r="AL159" i="2"/>
  <c r="AL160" i="2" a="1"/>
  <c r="AL160" i="2"/>
  <c r="AL161" i="2" a="1"/>
  <c r="AL161" i="2"/>
  <c r="AL162" i="2" a="1"/>
  <c r="AL162" i="2"/>
  <c r="AL163" i="2" a="1"/>
  <c r="AL163" i="2"/>
  <c r="AL164" i="2" a="1"/>
  <c r="AL164" i="2"/>
  <c r="AL165" i="2" a="1"/>
  <c r="AL165" i="2"/>
  <c r="AL166" i="2" a="1"/>
  <c r="AL166" i="2"/>
  <c r="AL167" i="2" a="1"/>
  <c r="AL167" i="2"/>
  <c r="AL168" i="2" a="1"/>
  <c r="AL168" i="2"/>
  <c r="AL169" i="2" a="1"/>
  <c r="AL169" i="2"/>
  <c r="AL170" i="2" a="1"/>
  <c r="AL170" i="2"/>
  <c r="AL171" i="2" a="1"/>
  <c r="AL171" i="2"/>
  <c r="AL172" i="2" a="1"/>
  <c r="AL172" i="2"/>
  <c r="AL173" i="2" a="1"/>
  <c r="AL173" i="2"/>
  <c r="AL174" i="2" a="1"/>
  <c r="AL174" i="2"/>
  <c r="AL175" i="2" a="1"/>
  <c r="AL175" i="2"/>
  <c r="AL176" i="2" a="1"/>
  <c r="AL176" i="2"/>
  <c r="AL177" i="2" a="1"/>
  <c r="AL177" i="2"/>
  <c r="AL178" i="2" a="1"/>
  <c r="AL178" i="2"/>
  <c r="AL179" i="2" a="1"/>
  <c r="AL179" i="2"/>
  <c r="AL180" i="2" a="1"/>
  <c r="AL180" i="2"/>
  <c r="AL181" i="2" a="1"/>
  <c r="AL181" i="2"/>
  <c r="AL182" i="2" a="1"/>
  <c r="AL182" i="2"/>
  <c r="AL183" i="2" a="1"/>
  <c r="AL183" i="2"/>
  <c r="AL184" i="2" a="1"/>
  <c r="AL184" i="2"/>
  <c r="AL185" i="2" a="1"/>
  <c r="AL185" i="2"/>
  <c r="AL186" i="2" a="1"/>
  <c r="AL186" i="2"/>
  <c r="AL187" i="2" a="1"/>
  <c r="AL187" i="2"/>
  <c r="AL188" i="2" a="1"/>
  <c r="AL188" i="2"/>
  <c r="AL189" i="2" a="1"/>
  <c r="AL189" i="2"/>
  <c r="AL190" i="2" a="1"/>
  <c r="AL190" i="2"/>
  <c r="AL191" i="2" a="1"/>
  <c r="AL191" i="2"/>
  <c r="AL192" i="2" a="1"/>
  <c r="AL192" i="2"/>
  <c r="AL193" i="2" a="1"/>
  <c r="AL193" i="2"/>
  <c r="AL194" i="2" a="1"/>
  <c r="AL194" i="2"/>
  <c r="AL195" i="2" a="1"/>
  <c r="AL195" i="2"/>
  <c r="AL196" i="2" a="1"/>
  <c r="AL196" i="2"/>
  <c r="AL197" i="2" a="1"/>
  <c r="AL197" i="2"/>
  <c r="AL198" i="2" a="1"/>
  <c r="AL198" i="2"/>
  <c r="AL199" i="2" a="1"/>
  <c r="AL199" i="2"/>
  <c r="AL200" i="2" a="1"/>
  <c r="AL200" i="2"/>
  <c r="AL201" i="2" a="1"/>
  <c r="AL201" i="2"/>
  <c r="AL202" i="2" a="1"/>
  <c r="AL202" i="2"/>
  <c r="AL203" i="2" a="1"/>
  <c r="AL203" i="2"/>
  <c r="AL204" i="2" a="1"/>
  <c r="AL204" i="2"/>
  <c r="AL205" i="2" a="1"/>
  <c r="AL205" i="2"/>
  <c r="AL206" i="2" a="1"/>
  <c r="AL206" i="2"/>
  <c r="AL207" i="2" a="1"/>
  <c r="AL207" i="2"/>
  <c r="AL208" i="2" a="1"/>
  <c r="AL208" i="2"/>
  <c r="AL209" i="2" a="1"/>
  <c r="AL209" i="2"/>
  <c r="AL210" i="2" a="1"/>
  <c r="AL210" i="2"/>
  <c r="AL211" i="2" a="1"/>
  <c r="AL211" i="2"/>
  <c r="AL212" i="2" a="1"/>
  <c r="AL212" i="2"/>
  <c r="AL213" i="2" a="1"/>
  <c r="AL213" i="2"/>
  <c r="AL214" i="2" a="1"/>
  <c r="AL214" i="2"/>
  <c r="AL215" i="2" a="1"/>
  <c r="AL215" i="2"/>
  <c r="AL216" i="2" a="1"/>
  <c r="AL216" i="2"/>
  <c r="AL217" i="2" a="1"/>
  <c r="AL217" i="2"/>
  <c r="AL218" i="2" a="1"/>
  <c r="AL218" i="2"/>
  <c r="AL219" i="2" a="1"/>
  <c r="AL219" i="2"/>
  <c r="AL220" i="2" a="1"/>
  <c r="AL220" i="2"/>
  <c r="AL221" i="2" a="1"/>
  <c r="AL221" i="2"/>
  <c r="AL222" i="2" a="1"/>
  <c r="AL222" i="2"/>
  <c r="AL223" i="2" a="1"/>
  <c r="AL223" i="2"/>
  <c r="AL224" i="2" a="1"/>
  <c r="AL224" i="2"/>
  <c r="AL225" i="2" a="1"/>
  <c r="AL225" i="2"/>
  <c r="AL226" i="2" a="1"/>
  <c r="AL226" i="2"/>
  <c r="AL227" i="2" a="1"/>
  <c r="AL227" i="2"/>
  <c r="AL228" i="2" a="1"/>
  <c r="AL228" i="2"/>
  <c r="AL229" i="2" a="1"/>
  <c r="AL229" i="2"/>
  <c r="AL230" i="2" a="1"/>
  <c r="AL230" i="2"/>
  <c r="AL231" i="2" a="1"/>
  <c r="AL231" i="2"/>
  <c r="AL232" i="2" a="1"/>
  <c r="AL232" i="2"/>
  <c r="AL233" i="2" a="1"/>
  <c r="AL233" i="2"/>
  <c r="AL234" i="2" a="1"/>
  <c r="AL234" i="2"/>
  <c r="AL235" i="2" a="1"/>
  <c r="AL235" i="2"/>
  <c r="AL236" i="2" a="1"/>
  <c r="AL236" i="2"/>
  <c r="AL237" i="2" a="1"/>
  <c r="AL237" i="2"/>
  <c r="AL238" i="2" a="1"/>
  <c r="AL238" i="2"/>
  <c r="AL239" i="2" a="1"/>
  <c r="AL239" i="2"/>
  <c r="AL240" i="2" a="1"/>
  <c r="AL240" i="2"/>
  <c r="AL241" i="2" a="1"/>
  <c r="AL241" i="2"/>
  <c r="AL242" i="2" a="1"/>
  <c r="AL242" i="2"/>
  <c r="AL243" i="2" a="1"/>
  <c r="AL243" i="2"/>
  <c r="AL244" i="2" a="1"/>
  <c r="AL244" i="2"/>
  <c r="AL245" i="2" a="1"/>
  <c r="AL245" i="2"/>
  <c r="AL246" i="2" a="1"/>
  <c r="AL246" i="2"/>
  <c r="AL247" i="2" a="1"/>
  <c r="AL247" i="2"/>
  <c r="AL248" i="2" a="1"/>
  <c r="AL248" i="2"/>
  <c r="AL249" i="2" a="1"/>
  <c r="AL249" i="2"/>
  <c r="AL250" i="2" a="1"/>
  <c r="AL250" i="2"/>
  <c r="AL251" i="2" a="1"/>
  <c r="AL251" i="2"/>
  <c r="AL252" i="2" a="1"/>
  <c r="AL252" i="2"/>
  <c r="AL253" i="2" a="1"/>
  <c r="AL253" i="2"/>
  <c r="AL254" i="2" a="1"/>
  <c r="AL254" i="2"/>
  <c r="AL255" i="2" a="1"/>
  <c r="AL255" i="2"/>
  <c r="AL256" i="2" a="1"/>
  <c r="AL256" i="2"/>
  <c r="AL257" i="2" a="1"/>
  <c r="AL257" i="2"/>
  <c r="AL258" i="2" a="1"/>
  <c r="AL258" i="2"/>
  <c r="AL259" i="2" a="1"/>
  <c r="AL259" i="2"/>
  <c r="AL260" i="2" a="1"/>
  <c r="AL260" i="2"/>
  <c r="AL261" i="2" a="1"/>
  <c r="AL261" i="2"/>
  <c r="AL262" i="2" a="1"/>
  <c r="AL262" i="2"/>
  <c r="AL263" i="2" a="1"/>
  <c r="AL263" i="2"/>
  <c r="AL264" i="2" a="1"/>
  <c r="AL264" i="2"/>
  <c r="AL265" i="2" a="1"/>
  <c r="AL265" i="2"/>
  <c r="AL266" i="2" a="1"/>
  <c r="AL266" i="2"/>
  <c r="AL267" i="2" a="1"/>
  <c r="AL267" i="2"/>
  <c r="AL268" i="2" a="1"/>
  <c r="AL268" i="2"/>
  <c r="AL269" i="2" a="1"/>
  <c r="AL269" i="2"/>
  <c r="AL270" i="2" a="1"/>
  <c r="AL270" i="2"/>
  <c r="AL271" i="2" a="1"/>
  <c r="AL271" i="2"/>
  <c r="AL272" i="2" a="1"/>
  <c r="AL272" i="2"/>
  <c r="AL273" i="2" a="1"/>
  <c r="AL273" i="2"/>
  <c r="AL274" i="2" a="1"/>
  <c r="AL274" i="2"/>
  <c r="AL275" i="2" a="1"/>
  <c r="AL275" i="2"/>
  <c r="AL276" i="2" a="1"/>
  <c r="AL276" i="2"/>
  <c r="AL277" i="2" a="1"/>
  <c r="AL277" i="2"/>
  <c r="AL278" i="2" a="1"/>
  <c r="AL278" i="2"/>
  <c r="AL279" i="2" a="1"/>
  <c r="AL279" i="2"/>
  <c r="AL280" i="2" a="1"/>
  <c r="AL280" i="2"/>
  <c r="AL281" i="2" a="1"/>
  <c r="AL281" i="2"/>
  <c r="AL282" i="2" a="1"/>
  <c r="AL282" i="2"/>
  <c r="AL283" i="2" a="1"/>
  <c r="AL283" i="2"/>
  <c r="AL284" i="2" a="1"/>
  <c r="AL284" i="2"/>
  <c r="AL285" i="2" a="1"/>
  <c r="AL285" i="2"/>
  <c r="AL286" i="2" a="1"/>
  <c r="AL286" i="2"/>
  <c r="AL287" i="2" a="1"/>
  <c r="AL287" i="2"/>
  <c r="AL288" i="2" a="1"/>
  <c r="AL288" i="2"/>
  <c r="AL289" i="2" a="1"/>
  <c r="AL289" i="2"/>
  <c r="AL290" i="2" a="1"/>
  <c r="AL290" i="2"/>
  <c r="AL291" i="2" a="1"/>
  <c r="AL291" i="2"/>
  <c r="AL292" i="2" a="1"/>
  <c r="AL292" i="2"/>
  <c r="AL293" i="2" a="1"/>
  <c r="AL293" i="2"/>
  <c r="AL294" i="2" a="1"/>
  <c r="AL294" i="2"/>
  <c r="AL295" i="2" a="1"/>
  <c r="AL295" i="2"/>
  <c r="AL296" i="2" a="1"/>
  <c r="AL296" i="2"/>
  <c r="AL297" i="2" a="1"/>
  <c r="AL297" i="2"/>
  <c r="AL298" i="2" a="1"/>
  <c r="AL298" i="2"/>
  <c r="AL299" i="2" a="1"/>
  <c r="AL299" i="2"/>
  <c r="AL300" i="2" a="1"/>
  <c r="AL300" i="2"/>
  <c r="AL301" i="2" a="1"/>
  <c r="AL301" i="2"/>
  <c r="AL302" i="2" a="1"/>
  <c r="AL302" i="2"/>
  <c r="AL303" i="2" a="1"/>
  <c r="AL303" i="2"/>
  <c r="AL304" i="2" a="1"/>
  <c r="AL304" i="2"/>
  <c r="AL305" i="2" a="1"/>
  <c r="AL305" i="2"/>
  <c r="AL306" i="2" a="1"/>
  <c r="AL306" i="2"/>
  <c r="AL307" i="2" a="1"/>
  <c r="AL307" i="2"/>
  <c r="AL308" i="2" a="1"/>
  <c r="AL308" i="2"/>
  <c r="AL309" i="2" a="1"/>
  <c r="AL309" i="2"/>
  <c r="AL310" i="2" a="1"/>
  <c r="AL310" i="2"/>
  <c r="AL311" i="2" a="1"/>
  <c r="AL311" i="2"/>
  <c r="AL312" i="2" a="1"/>
  <c r="AL312" i="2"/>
  <c r="AL313" i="2" a="1"/>
  <c r="AL313" i="2"/>
  <c r="AL314" i="2" a="1"/>
  <c r="AL314" i="2"/>
  <c r="AL315" i="2" a="1"/>
  <c r="AL315" i="2"/>
  <c r="AL316" i="2" a="1"/>
  <c r="AL316" i="2"/>
  <c r="AL317" i="2" a="1"/>
  <c r="AL317" i="2"/>
  <c r="AL318" i="2" a="1"/>
  <c r="AL318" i="2"/>
  <c r="AL319" i="2" a="1"/>
  <c r="AL319" i="2"/>
  <c r="AL320" i="2" a="1"/>
  <c r="AL320" i="2"/>
  <c r="AL321" i="2" a="1"/>
  <c r="AL321" i="2"/>
  <c r="AL322" i="2" a="1"/>
  <c r="AL322" i="2"/>
  <c r="AL323" i="2" a="1"/>
  <c r="AL323" i="2"/>
  <c r="AL324" i="2" a="1"/>
  <c r="AL324" i="2"/>
  <c r="AL325" i="2" a="1"/>
  <c r="AL325" i="2"/>
  <c r="AL326" i="2" a="1"/>
  <c r="AL326" i="2"/>
  <c r="AL327" i="2" a="1"/>
  <c r="AL327" i="2"/>
  <c r="AL328" i="2" a="1"/>
  <c r="AL328" i="2"/>
  <c r="AL329" i="2" a="1"/>
  <c r="AL329" i="2"/>
  <c r="AL330" i="2" a="1"/>
  <c r="AL330" i="2"/>
  <c r="AL331" i="2" a="1"/>
  <c r="AL331" i="2"/>
  <c r="AL332" i="2" a="1"/>
  <c r="AL332" i="2"/>
  <c r="AL333" i="2" a="1"/>
  <c r="AL333" i="2"/>
  <c r="AL334" i="2" a="1"/>
  <c r="AL334" i="2"/>
  <c r="AL335" i="2" a="1"/>
  <c r="AL335" i="2"/>
  <c r="AL336" i="2" a="1"/>
  <c r="AL336" i="2"/>
  <c r="AL337" i="2" a="1"/>
  <c r="AL337" i="2"/>
  <c r="AL338" i="2" a="1"/>
  <c r="AL338" i="2"/>
  <c r="AL339" i="2" a="1"/>
  <c r="AL339" i="2"/>
  <c r="AL340" i="2" a="1"/>
  <c r="AL340" i="2"/>
  <c r="AL341" i="2" a="1"/>
  <c r="AL341" i="2"/>
  <c r="AL342" i="2" a="1"/>
  <c r="AL342" i="2"/>
  <c r="AL343" i="2" a="1"/>
  <c r="AL343" i="2"/>
  <c r="AL344" i="2" a="1"/>
  <c r="AL344" i="2"/>
  <c r="AL345" i="2" a="1"/>
  <c r="AL345" i="2"/>
  <c r="AL346" i="2" a="1"/>
  <c r="AL346" i="2"/>
  <c r="AL347" i="2" a="1"/>
  <c r="AL347" i="2"/>
  <c r="AL348" i="2" a="1"/>
  <c r="AL348" i="2"/>
  <c r="AL349" i="2" a="1"/>
  <c r="AL349" i="2"/>
  <c r="AL350" i="2" a="1"/>
  <c r="AL350" i="2"/>
  <c r="AL351" i="2" a="1"/>
  <c r="AL351" i="2"/>
  <c r="AL352" i="2" a="1"/>
  <c r="AL352" i="2"/>
  <c r="AL353" i="2" a="1"/>
  <c r="AL353" i="2"/>
  <c r="AL354" i="2" a="1"/>
  <c r="AL354" i="2"/>
  <c r="AL355" i="2" a="1"/>
  <c r="AL355" i="2"/>
  <c r="AL356" i="2" a="1"/>
  <c r="AL356" i="2"/>
  <c r="AL357" i="2" a="1"/>
  <c r="AL357" i="2"/>
  <c r="AL358" i="2" a="1"/>
  <c r="AL358" i="2"/>
  <c r="AL359" i="2" a="1"/>
  <c r="AL359" i="2"/>
  <c r="AL360" i="2" a="1"/>
  <c r="AL360" i="2"/>
  <c r="AL361" i="2" a="1"/>
  <c r="AL361" i="2"/>
  <c r="AL362" i="2" a="1"/>
  <c r="AL362" i="2"/>
  <c r="AL363" i="2" a="1"/>
  <c r="AL363" i="2"/>
  <c r="AL364" i="2" a="1"/>
  <c r="AL364" i="2"/>
  <c r="AL365" i="2" a="1"/>
  <c r="AL365" i="2"/>
  <c r="AL366" i="2" a="1"/>
  <c r="AL366" i="2"/>
  <c r="AL367" i="2" a="1"/>
  <c r="AL367" i="2"/>
  <c r="AL368" i="2" a="1"/>
  <c r="AL368" i="2"/>
  <c r="AL369" i="2" a="1"/>
  <c r="AL369" i="2"/>
  <c r="AL370" i="2" a="1"/>
  <c r="AL370" i="2"/>
  <c r="AL371" i="2" a="1"/>
  <c r="AL371" i="2"/>
  <c r="AL372" i="2" a="1"/>
  <c r="AL372" i="2"/>
  <c r="AL373" i="2" a="1"/>
  <c r="AL373" i="2"/>
  <c r="AL374" i="2" a="1"/>
  <c r="AL374" i="2"/>
  <c r="AL375" i="2" a="1"/>
  <c r="AL375" i="2"/>
  <c r="AL376" i="2" a="1"/>
  <c r="AL376" i="2"/>
  <c r="AL377" i="2" a="1"/>
  <c r="AL377" i="2"/>
  <c r="AL378" i="2" a="1"/>
  <c r="AL378" i="2"/>
  <c r="AL379" i="2" a="1"/>
  <c r="AL379" i="2"/>
  <c r="AL380" i="2" a="1"/>
  <c r="AL380" i="2"/>
  <c r="AL381" i="2" a="1"/>
  <c r="AL381" i="2"/>
  <c r="AL382" i="2" a="1"/>
  <c r="AL382" i="2"/>
  <c r="AL383" i="2" a="1"/>
  <c r="AL383" i="2"/>
  <c r="AL384" i="2" a="1"/>
  <c r="AL384" i="2"/>
  <c r="AL385" i="2" a="1"/>
  <c r="AL385" i="2"/>
  <c r="AL386" i="2" a="1"/>
  <c r="AL386" i="2"/>
  <c r="AL387" i="2" a="1"/>
  <c r="AL387" i="2"/>
  <c r="AL388" i="2" a="1"/>
  <c r="AL388" i="2"/>
  <c r="AL389" i="2" a="1"/>
  <c r="AL389" i="2"/>
  <c r="AL390" i="2" a="1"/>
  <c r="AL390" i="2"/>
  <c r="AL391" i="2" a="1"/>
  <c r="AL391" i="2"/>
  <c r="AL392" i="2" a="1"/>
  <c r="AL392" i="2"/>
  <c r="AL393" i="2" a="1"/>
  <c r="AL393" i="2"/>
  <c r="AL394" i="2" a="1"/>
  <c r="AL394" i="2"/>
  <c r="AL395" i="2" a="1"/>
  <c r="AL395" i="2"/>
  <c r="AL396" i="2" a="1"/>
  <c r="AL396" i="2"/>
  <c r="AL397" i="2" a="1"/>
  <c r="AL397" i="2"/>
  <c r="AL398" i="2" a="1"/>
  <c r="AL398" i="2"/>
  <c r="AL399" i="2" a="1"/>
  <c r="AL399" i="2"/>
  <c r="AL400" i="2" a="1"/>
  <c r="AL400" i="2"/>
  <c r="AL401" i="2" a="1"/>
  <c r="AL401" i="2"/>
  <c r="AL402" i="2" a="1"/>
  <c r="AL402" i="2"/>
  <c r="AL403" i="2" a="1"/>
  <c r="AL403" i="2"/>
  <c r="AL404" i="2" a="1"/>
  <c r="AL404" i="2"/>
  <c r="AL405" i="2" a="1"/>
  <c r="AL405" i="2"/>
  <c r="AL406" i="2" a="1"/>
  <c r="AL406" i="2"/>
  <c r="AL407" i="2" a="1"/>
  <c r="AL407" i="2"/>
  <c r="AL408" i="2" a="1"/>
  <c r="AL408" i="2"/>
  <c r="AL409" i="2" a="1"/>
  <c r="AL409" i="2"/>
  <c r="AL410" i="2" a="1"/>
  <c r="AL410" i="2"/>
  <c r="AL411" i="2" a="1"/>
  <c r="AL411" i="2"/>
  <c r="AL412" i="2" a="1"/>
  <c r="AL412" i="2"/>
  <c r="AL413" i="2" a="1"/>
  <c r="AL413" i="2"/>
  <c r="AL414" i="2" a="1"/>
  <c r="AL414" i="2"/>
  <c r="AL415" i="2" a="1"/>
  <c r="AL415" i="2"/>
  <c r="AL416" i="2" a="1"/>
  <c r="AL416" i="2"/>
  <c r="AL417" i="2" a="1"/>
  <c r="AL417" i="2"/>
  <c r="AL418" i="2" a="1"/>
  <c r="AL418" i="2"/>
  <c r="AL419" i="2" a="1"/>
  <c r="AL419" i="2"/>
  <c r="AL420" i="2" a="1"/>
  <c r="AL420" i="2"/>
  <c r="AL421" i="2" a="1"/>
  <c r="AL421" i="2"/>
  <c r="AL422" i="2" a="1"/>
  <c r="AL422" i="2"/>
  <c r="AL423" i="2" a="1"/>
  <c r="AL423" i="2"/>
  <c r="AL424" i="2" a="1"/>
  <c r="AL424" i="2"/>
  <c r="AL425" i="2" a="1"/>
  <c r="AL425" i="2"/>
  <c r="AL426" i="2" a="1"/>
  <c r="AL426" i="2"/>
  <c r="AL427" i="2" a="1"/>
  <c r="AL427" i="2"/>
  <c r="AL428" i="2" a="1"/>
  <c r="AL428" i="2"/>
  <c r="AL429" i="2" a="1"/>
  <c r="AL429" i="2"/>
  <c r="AL430" i="2" a="1"/>
  <c r="AL430" i="2"/>
  <c r="AL431" i="2" a="1"/>
  <c r="AL431" i="2"/>
  <c r="AL432" i="2" a="1"/>
  <c r="AL432" i="2"/>
  <c r="AL433" i="2" a="1"/>
  <c r="AL433" i="2"/>
  <c r="AL434" i="2" a="1"/>
  <c r="AL434" i="2"/>
  <c r="AL435" i="2" a="1"/>
  <c r="AL435" i="2"/>
  <c r="AL436" i="2" a="1"/>
  <c r="AL436" i="2"/>
  <c r="AL437" i="2" a="1"/>
  <c r="AL437" i="2"/>
  <c r="AL438" i="2" a="1"/>
  <c r="AL438" i="2"/>
  <c r="AL439" i="2" a="1"/>
  <c r="AL439" i="2"/>
  <c r="AL440" i="2" a="1"/>
  <c r="AL440" i="2"/>
  <c r="AL441" i="2" a="1"/>
  <c r="AL441" i="2"/>
  <c r="AL442" i="2" a="1"/>
  <c r="AL442" i="2"/>
  <c r="AL443" i="2" a="1"/>
  <c r="AL443" i="2"/>
  <c r="AL444" i="2" a="1"/>
  <c r="AL444" i="2"/>
  <c r="AL445" i="2" a="1"/>
  <c r="AL445" i="2"/>
  <c r="AL446" i="2" a="1"/>
  <c r="AL446" i="2"/>
  <c r="AL447" i="2" a="1"/>
  <c r="AL447" i="2"/>
  <c r="AL448" i="2" a="1"/>
  <c r="AL448" i="2"/>
  <c r="AL449" i="2" a="1"/>
  <c r="AL449" i="2"/>
  <c r="AL450" i="2" a="1"/>
  <c r="AL450" i="2"/>
  <c r="AL451" i="2" a="1"/>
  <c r="AL451" i="2"/>
  <c r="AL452" i="2" a="1"/>
  <c r="AL452" i="2"/>
  <c r="AL453" i="2" a="1"/>
  <c r="AL453" i="2"/>
  <c r="AL454" i="2" a="1"/>
  <c r="AL454" i="2"/>
  <c r="AL455" i="2" a="1"/>
  <c r="AL455" i="2"/>
  <c r="AL456" i="2" a="1"/>
  <c r="AL456" i="2"/>
  <c r="AL457" i="2" a="1"/>
  <c r="AL457" i="2"/>
  <c r="AL458" i="2" a="1"/>
  <c r="AL458" i="2"/>
  <c r="AL459" i="2" a="1"/>
  <c r="AL459" i="2"/>
  <c r="AL460" i="2" a="1"/>
  <c r="AL460" i="2"/>
  <c r="AL461" i="2" a="1"/>
  <c r="AL461" i="2"/>
  <c r="AL462" i="2" a="1"/>
  <c r="AL462" i="2"/>
  <c r="AL463" i="2" a="1"/>
  <c r="AL463" i="2"/>
  <c r="AL464" i="2" a="1"/>
  <c r="AL464" i="2"/>
  <c r="AL465" i="2" a="1"/>
  <c r="AL465" i="2"/>
  <c r="AL466" i="2" a="1"/>
  <c r="AL466" i="2"/>
  <c r="AL467" i="2" a="1"/>
  <c r="AL467" i="2"/>
  <c r="AL468" i="2" a="1"/>
  <c r="AL468" i="2"/>
  <c r="AL469" i="2" a="1"/>
  <c r="AL469" i="2"/>
  <c r="AL470" i="2" a="1"/>
  <c r="AL470" i="2"/>
  <c r="AL471" i="2" a="1"/>
  <c r="AL471" i="2"/>
  <c r="AL472" i="2" a="1"/>
  <c r="AL472" i="2"/>
  <c r="AL473" i="2" a="1"/>
  <c r="AL473" i="2"/>
  <c r="AL474" i="2" a="1"/>
  <c r="AL474" i="2"/>
  <c r="AL475" i="2" a="1"/>
  <c r="AL475" i="2"/>
  <c r="AL476" i="2" a="1"/>
  <c r="AL476" i="2"/>
  <c r="AL477" i="2" a="1"/>
  <c r="AL477" i="2"/>
  <c r="AL478" i="2" a="1"/>
  <c r="AL478" i="2"/>
  <c r="AL479" i="2" a="1"/>
  <c r="AL479" i="2"/>
  <c r="AL480" i="2" a="1"/>
  <c r="AL480" i="2"/>
  <c r="AL481" i="2" a="1"/>
  <c r="AL481" i="2"/>
  <c r="AL482" i="2" a="1"/>
  <c r="AL482" i="2"/>
  <c r="AL483" i="2" a="1"/>
  <c r="AL483" i="2"/>
  <c r="AL484" i="2" a="1"/>
  <c r="AL484" i="2"/>
  <c r="AL485" i="2" a="1"/>
  <c r="AL485" i="2"/>
  <c r="AL486" i="2" a="1"/>
  <c r="AL486" i="2"/>
  <c r="AL487" i="2" a="1"/>
  <c r="AL487" i="2"/>
  <c r="AL488" i="2" a="1"/>
  <c r="AL488" i="2"/>
  <c r="AL489" i="2" a="1"/>
  <c r="AL489" i="2"/>
  <c r="AL490" i="2" a="1"/>
  <c r="AL490" i="2"/>
  <c r="AL491" i="2" a="1"/>
  <c r="AL491" i="2"/>
  <c r="AL492" i="2" a="1"/>
  <c r="AL492" i="2"/>
  <c r="AL493" i="2" a="1"/>
  <c r="AL493" i="2"/>
  <c r="AL494" i="2" a="1"/>
  <c r="AL494" i="2"/>
  <c r="AL495" i="2" a="1"/>
  <c r="AL495" i="2"/>
  <c r="AL496" i="2" a="1"/>
  <c r="AL496" i="2"/>
  <c r="AL497" i="2" a="1"/>
  <c r="AL497" i="2"/>
  <c r="AL498" i="2" a="1"/>
  <c r="AL498" i="2"/>
  <c r="AL499" i="2" a="1"/>
  <c r="AL499" i="2"/>
  <c r="AL500" i="2" a="1"/>
  <c r="AL500" i="2"/>
  <c r="AL2" i="2" a="1"/>
  <c r="AL2" i="2"/>
  <c r="AK186" i="2" a="1"/>
  <c r="AK186" i="2"/>
  <c r="AK187" i="2" a="1"/>
  <c r="AK187" i="2"/>
  <c r="AK188" i="2" a="1"/>
  <c r="AK188" i="2"/>
  <c r="AK189" i="2" a="1"/>
  <c r="AK189" i="2"/>
  <c r="AK190" i="2" a="1"/>
  <c r="AK190" i="2"/>
  <c r="AK191" i="2" a="1"/>
  <c r="AK191" i="2"/>
  <c r="AK192" i="2" a="1"/>
  <c r="AK192" i="2"/>
  <c r="AK193" i="2" a="1"/>
  <c r="AK193" i="2"/>
  <c r="AK194" i="2" a="1"/>
  <c r="AK194" i="2"/>
  <c r="AK195" i="2" a="1"/>
  <c r="AK195" i="2"/>
  <c r="AK196" i="2" a="1"/>
  <c r="AK196" i="2"/>
  <c r="AK197" i="2" a="1"/>
  <c r="AK197" i="2"/>
  <c r="AK198" i="2" a="1"/>
  <c r="AK198" i="2"/>
  <c r="AK199" i="2" a="1"/>
  <c r="AK199" i="2"/>
  <c r="AK200" i="2" a="1"/>
  <c r="AK200" i="2"/>
  <c r="AK201" i="2" a="1"/>
  <c r="AK201" i="2"/>
  <c r="AK202" i="2" a="1"/>
  <c r="AK202" i="2"/>
  <c r="AK203" i="2" a="1"/>
  <c r="AK203" i="2"/>
  <c r="AK204" i="2" a="1"/>
  <c r="AK204" i="2"/>
  <c r="AK205" i="2" a="1"/>
  <c r="AK205" i="2"/>
  <c r="AK206" i="2" a="1"/>
  <c r="AK206" i="2"/>
  <c r="AK207" i="2" a="1"/>
  <c r="AK207" i="2"/>
  <c r="AK208" i="2" a="1"/>
  <c r="AK208" i="2"/>
  <c r="AK209" i="2" a="1"/>
  <c r="AK209" i="2"/>
  <c r="AK210" i="2" a="1"/>
  <c r="AK210" i="2"/>
  <c r="AK211" i="2" a="1"/>
  <c r="AK211" i="2"/>
  <c r="AK212" i="2" a="1"/>
  <c r="AK212" i="2"/>
  <c r="AK213" i="2" a="1"/>
  <c r="AK213" i="2"/>
  <c r="AK214" i="2" a="1"/>
  <c r="AK214" i="2"/>
  <c r="AK215" i="2" a="1"/>
  <c r="AK215" i="2"/>
  <c r="AK216" i="2" a="1"/>
  <c r="AK216" i="2"/>
  <c r="AK217" i="2" a="1"/>
  <c r="AK217" i="2"/>
  <c r="AK218" i="2" a="1"/>
  <c r="AK218" i="2"/>
  <c r="AK219" i="2" a="1"/>
  <c r="AK219" i="2"/>
  <c r="AK220" i="2" a="1"/>
  <c r="AK220" i="2"/>
  <c r="AK221" i="2" a="1"/>
  <c r="AK221" i="2"/>
  <c r="AK222" i="2" a="1"/>
  <c r="AK222" i="2"/>
  <c r="AK223" i="2" a="1"/>
  <c r="AK223" i="2"/>
  <c r="AK224" i="2" a="1"/>
  <c r="AK224" i="2"/>
  <c r="AK225" i="2" a="1"/>
  <c r="AK225" i="2"/>
  <c r="AK226" i="2" a="1"/>
  <c r="AK226" i="2"/>
  <c r="AK227" i="2" a="1"/>
  <c r="AK227" i="2"/>
  <c r="AK228" i="2" a="1"/>
  <c r="AK228" i="2"/>
  <c r="AK229" i="2" a="1"/>
  <c r="AK229" i="2"/>
  <c r="AK230" i="2" a="1"/>
  <c r="AK230" i="2"/>
  <c r="AK231" i="2" a="1"/>
  <c r="AK231" i="2"/>
  <c r="AK232" i="2" a="1"/>
  <c r="AK232" i="2"/>
  <c r="AK233" i="2" a="1"/>
  <c r="AK233" i="2"/>
  <c r="AK234" i="2" a="1"/>
  <c r="AK234" i="2"/>
  <c r="AK235" i="2" a="1"/>
  <c r="AK235" i="2"/>
  <c r="AK236" i="2" a="1"/>
  <c r="AK236" i="2"/>
  <c r="AK237" i="2" a="1"/>
  <c r="AK237" i="2"/>
  <c r="AK238" i="2" a="1"/>
  <c r="AK238" i="2"/>
  <c r="AK239" i="2" a="1"/>
  <c r="AK239" i="2"/>
  <c r="AK240" i="2" a="1"/>
  <c r="AK240" i="2"/>
  <c r="AK241" i="2" a="1"/>
  <c r="AK241" i="2"/>
  <c r="AK242" i="2" a="1"/>
  <c r="AK242" i="2"/>
  <c r="AK243" i="2" a="1"/>
  <c r="AK243" i="2"/>
  <c r="AK244" i="2" a="1"/>
  <c r="AK244" i="2"/>
  <c r="AK245" i="2" a="1"/>
  <c r="AK245" i="2"/>
  <c r="AK246" i="2" a="1"/>
  <c r="AK246" i="2"/>
  <c r="AK247" i="2" a="1"/>
  <c r="AK247" i="2"/>
  <c r="AK248" i="2" a="1"/>
  <c r="AK248" i="2"/>
  <c r="AK249" i="2" a="1"/>
  <c r="AK249" i="2"/>
  <c r="AK250" i="2" a="1"/>
  <c r="AK250" i="2"/>
  <c r="AK251" i="2" a="1"/>
  <c r="AK251" i="2"/>
  <c r="AK252" i="2" a="1"/>
  <c r="AK252" i="2"/>
  <c r="AK253" i="2" a="1"/>
  <c r="AK253" i="2"/>
  <c r="AK254" i="2" a="1"/>
  <c r="AK254" i="2"/>
  <c r="AK255" i="2" a="1"/>
  <c r="AK255" i="2"/>
  <c r="AK256" i="2" a="1"/>
  <c r="AK256" i="2"/>
  <c r="AK257" i="2" a="1"/>
  <c r="AK257" i="2"/>
  <c r="AK258" i="2" a="1"/>
  <c r="AK258" i="2"/>
  <c r="AK259" i="2" a="1"/>
  <c r="AK259" i="2"/>
  <c r="AK260" i="2" a="1"/>
  <c r="AK260" i="2"/>
  <c r="AK261" i="2" a="1"/>
  <c r="AK261" i="2"/>
  <c r="AK262" i="2" a="1"/>
  <c r="AK262" i="2"/>
  <c r="AK263" i="2" a="1"/>
  <c r="AK263" i="2"/>
  <c r="AK264" i="2" a="1"/>
  <c r="AK264" i="2"/>
  <c r="AK265" i="2" a="1"/>
  <c r="AK265" i="2"/>
  <c r="AK266" i="2" a="1"/>
  <c r="AK266" i="2"/>
  <c r="AK267" i="2" a="1"/>
  <c r="AK267" i="2"/>
  <c r="AK268" i="2" a="1"/>
  <c r="AK268" i="2"/>
  <c r="AK269" i="2" a="1"/>
  <c r="AK269" i="2"/>
  <c r="AK270" i="2" a="1"/>
  <c r="AK270" i="2"/>
  <c r="AK271" i="2" a="1"/>
  <c r="AK271" i="2"/>
  <c r="AK272" i="2" a="1"/>
  <c r="AK272" i="2"/>
  <c r="AK273" i="2" a="1"/>
  <c r="AK273" i="2"/>
  <c r="AK274" i="2" a="1"/>
  <c r="AK274" i="2"/>
  <c r="AK275" i="2" a="1"/>
  <c r="AK275" i="2"/>
  <c r="AK276" i="2" a="1"/>
  <c r="AK276" i="2"/>
  <c r="AK277" i="2" a="1"/>
  <c r="AK277" i="2"/>
  <c r="AK278" i="2" a="1"/>
  <c r="AK278" i="2"/>
  <c r="AK279" i="2" a="1"/>
  <c r="AK279" i="2"/>
  <c r="AK280" i="2" a="1"/>
  <c r="AK280" i="2"/>
  <c r="AK281" i="2" a="1"/>
  <c r="AK281" i="2"/>
  <c r="AK282" i="2" a="1"/>
  <c r="AK282" i="2"/>
  <c r="AK283" i="2" a="1"/>
  <c r="AK283" i="2"/>
  <c r="AK284" i="2" a="1"/>
  <c r="AK284" i="2"/>
  <c r="AK285" i="2" a="1"/>
  <c r="AK285" i="2"/>
  <c r="AK286" i="2" a="1"/>
  <c r="AK286" i="2"/>
  <c r="AK287" i="2" a="1"/>
  <c r="AK287" i="2"/>
  <c r="AK288" i="2" a="1"/>
  <c r="AK288" i="2"/>
  <c r="AK289" i="2" a="1"/>
  <c r="AK289" i="2"/>
  <c r="AK290" i="2" a="1"/>
  <c r="AK290" i="2"/>
  <c r="AK291" i="2" a="1"/>
  <c r="AK291" i="2"/>
  <c r="AK292" i="2" a="1"/>
  <c r="AK292" i="2"/>
  <c r="AK293" i="2" a="1"/>
  <c r="AK293" i="2"/>
  <c r="AK294" i="2" a="1"/>
  <c r="AK294" i="2"/>
  <c r="AK295" i="2" a="1"/>
  <c r="AK295" i="2"/>
  <c r="AK296" i="2" a="1"/>
  <c r="AK296" i="2"/>
  <c r="AK297" i="2" a="1"/>
  <c r="AK297" i="2"/>
  <c r="AK298" i="2" a="1"/>
  <c r="AK298" i="2"/>
  <c r="AK299" i="2" a="1"/>
  <c r="AK299" i="2"/>
  <c r="AK300" i="2" a="1"/>
  <c r="AK300" i="2"/>
  <c r="AK301" i="2" a="1"/>
  <c r="AK301" i="2"/>
  <c r="AK302" i="2" a="1"/>
  <c r="AK302" i="2"/>
  <c r="AK303" i="2" a="1"/>
  <c r="AK303" i="2"/>
  <c r="AK304" i="2" a="1"/>
  <c r="AK304" i="2"/>
  <c r="AK305" i="2" a="1"/>
  <c r="AK305" i="2"/>
  <c r="AK306" i="2" a="1"/>
  <c r="AK306" i="2"/>
  <c r="AK307" i="2" a="1"/>
  <c r="AK307" i="2"/>
  <c r="AK308" i="2" a="1"/>
  <c r="AK308" i="2"/>
  <c r="AK309" i="2" a="1"/>
  <c r="AK309" i="2"/>
  <c r="AK310" i="2" a="1"/>
  <c r="AK310" i="2"/>
  <c r="AK311" i="2" a="1"/>
  <c r="AK311" i="2"/>
  <c r="AK312" i="2" a="1"/>
  <c r="AK312" i="2"/>
  <c r="AK313" i="2" a="1"/>
  <c r="AK313" i="2"/>
  <c r="AK314" i="2" a="1"/>
  <c r="AK314" i="2"/>
  <c r="AK315" i="2" a="1"/>
  <c r="AK315" i="2"/>
  <c r="AK316" i="2" a="1"/>
  <c r="AK316" i="2"/>
  <c r="AK317" i="2" a="1"/>
  <c r="AK317" i="2"/>
  <c r="AK318" i="2" a="1"/>
  <c r="AK318" i="2"/>
  <c r="AK319" i="2" a="1"/>
  <c r="AK319" i="2"/>
  <c r="AK320" i="2" a="1"/>
  <c r="AK320" i="2"/>
  <c r="AK321" i="2" a="1"/>
  <c r="AK321" i="2"/>
  <c r="AK322" i="2" a="1"/>
  <c r="AK322" i="2"/>
  <c r="AK323" i="2" a="1"/>
  <c r="AK323" i="2"/>
  <c r="AK324" i="2" a="1"/>
  <c r="AK324" i="2"/>
  <c r="AK325" i="2" a="1"/>
  <c r="AK325" i="2"/>
  <c r="AK326" i="2" a="1"/>
  <c r="AK326" i="2"/>
  <c r="AK327" i="2" a="1"/>
  <c r="AK327" i="2"/>
  <c r="AK328" i="2" a="1"/>
  <c r="AK328" i="2"/>
  <c r="AK329" i="2" a="1"/>
  <c r="AK329" i="2"/>
  <c r="AK330" i="2" a="1"/>
  <c r="AK330" i="2"/>
  <c r="AK331" i="2" a="1"/>
  <c r="AK331" i="2"/>
  <c r="AK332" i="2" a="1"/>
  <c r="AK332" i="2"/>
  <c r="AK333" i="2" a="1"/>
  <c r="AK333" i="2"/>
  <c r="AK334" i="2" a="1"/>
  <c r="AK334" i="2"/>
  <c r="AK335" i="2" a="1"/>
  <c r="AK335" i="2"/>
  <c r="AK336" i="2" a="1"/>
  <c r="AK336" i="2"/>
  <c r="AK337" i="2" a="1"/>
  <c r="AK337" i="2"/>
  <c r="AK338" i="2" a="1"/>
  <c r="AK338" i="2"/>
  <c r="AK339" i="2" a="1"/>
  <c r="AK339" i="2"/>
  <c r="AK340" i="2" a="1"/>
  <c r="AK340" i="2"/>
  <c r="AK341" i="2" a="1"/>
  <c r="AK341" i="2"/>
  <c r="AK342" i="2" a="1"/>
  <c r="AK342" i="2"/>
  <c r="AK343" i="2" a="1"/>
  <c r="AK343" i="2"/>
  <c r="AK344" i="2" a="1"/>
  <c r="AK344" i="2"/>
  <c r="AK345" i="2" a="1"/>
  <c r="AK345" i="2"/>
  <c r="AK346" i="2" a="1"/>
  <c r="AK346" i="2"/>
  <c r="AK347" i="2" a="1"/>
  <c r="AK347" i="2"/>
  <c r="AK348" i="2" a="1"/>
  <c r="AK348" i="2"/>
  <c r="AK349" i="2" a="1"/>
  <c r="AK349" i="2"/>
  <c r="AK350" i="2" a="1"/>
  <c r="AK350" i="2"/>
  <c r="AK351" i="2" a="1"/>
  <c r="AK351" i="2"/>
  <c r="AK352" i="2" a="1"/>
  <c r="AK352" i="2"/>
  <c r="AK353" i="2" a="1"/>
  <c r="AK353" i="2"/>
  <c r="AK354" i="2" a="1"/>
  <c r="AK354" i="2"/>
  <c r="AK355" i="2" a="1"/>
  <c r="AK355" i="2"/>
  <c r="AK356" i="2" a="1"/>
  <c r="AK356" i="2"/>
  <c r="AK357" i="2" a="1"/>
  <c r="AK357" i="2"/>
  <c r="AK358" i="2" a="1"/>
  <c r="AK358" i="2"/>
  <c r="AK359" i="2" a="1"/>
  <c r="AK359" i="2"/>
  <c r="AK360" i="2" a="1"/>
  <c r="AK360" i="2"/>
  <c r="AK361" i="2" a="1"/>
  <c r="AK361" i="2"/>
  <c r="AK362" i="2" a="1"/>
  <c r="AK362" i="2"/>
  <c r="AK363" i="2" a="1"/>
  <c r="AK363" i="2"/>
  <c r="AK364" i="2" a="1"/>
  <c r="AK364" i="2"/>
  <c r="AK365" i="2" a="1"/>
  <c r="AK365" i="2"/>
  <c r="AK366" i="2" a="1"/>
  <c r="AK366" i="2"/>
  <c r="AK367" i="2" a="1"/>
  <c r="AK367" i="2"/>
  <c r="AK368" i="2" a="1"/>
  <c r="AK368" i="2"/>
  <c r="AK369" i="2" a="1"/>
  <c r="AK369" i="2"/>
  <c r="AK370" i="2" a="1"/>
  <c r="AK370" i="2"/>
  <c r="AK371" i="2" a="1"/>
  <c r="AK371" i="2"/>
  <c r="AK372" i="2" a="1"/>
  <c r="AK372" i="2"/>
  <c r="AK373" i="2" a="1"/>
  <c r="AK373" i="2"/>
  <c r="AK374" i="2" a="1"/>
  <c r="AK374" i="2"/>
  <c r="AK375" i="2" a="1"/>
  <c r="AK375" i="2"/>
  <c r="AK376" i="2" a="1"/>
  <c r="AK376" i="2"/>
  <c r="AK377" i="2" a="1"/>
  <c r="AK377" i="2"/>
  <c r="AK378" i="2" a="1"/>
  <c r="AK378" i="2"/>
  <c r="AK379" i="2" a="1"/>
  <c r="AK379" i="2"/>
  <c r="AK380" i="2" a="1"/>
  <c r="AK380" i="2"/>
  <c r="AK381" i="2" a="1"/>
  <c r="AK381" i="2"/>
  <c r="AK382" i="2" a="1"/>
  <c r="AK382" i="2"/>
  <c r="AK383" i="2" a="1"/>
  <c r="AK383" i="2"/>
  <c r="AK384" i="2" a="1"/>
  <c r="AK384" i="2"/>
  <c r="AK385" i="2" a="1"/>
  <c r="AK385" i="2"/>
  <c r="AK386" i="2" a="1"/>
  <c r="AK386" i="2"/>
  <c r="AK387" i="2" a="1"/>
  <c r="AK387" i="2"/>
  <c r="AK388" i="2" a="1"/>
  <c r="AK388" i="2"/>
  <c r="AK389" i="2" a="1"/>
  <c r="AK389" i="2"/>
  <c r="AK390" i="2" a="1"/>
  <c r="AK390" i="2"/>
  <c r="AK391" i="2" a="1"/>
  <c r="AK391" i="2"/>
  <c r="AK392" i="2" a="1"/>
  <c r="AK392" i="2"/>
  <c r="AK393" i="2" a="1"/>
  <c r="AK393" i="2"/>
  <c r="AK394" i="2" a="1"/>
  <c r="AK394" i="2"/>
  <c r="AK395" i="2" a="1"/>
  <c r="AK395" i="2"/>
  <c r="AK396" i="2" a="1"/>
  <c r="AK396" i="2"/>
  <c r="AK397" i="2" a="1"/>
  <c r="AK397" i="2"/>
  <c r="AK398" i="2" a="1"/>
  <c r="AK398" i="2"/>
  <c r="AK399" i="2" a="1"/>
  <c r="AK399" i="2"/>
  <c r="AK400" i="2" a="1"/>
  <c r="AK400" i="2"/>
  <c r="AK401" i="2" a="1"/>
  <c r="AK401" i="2"/>
  <c r="AK402" i="2" a="1"/>
  <c r="AK402" i="2"/>
  <c r="AK403" i="2" a="1"/>
  <c r="AK403" i="2"/>
  <c r="AK404" i="2" a="1"/>
  <c r="AK404" i="2"/>
  <c r="AK405" i="2" a="1"/>
  <c r="AK405" i="2"/>
  <c r="AK406" i="2" a="1"/>
  <c r="AK406" i="2"/>
  <c r="AK407" i="2" a="1"/>
  <c r="AK407" i="2"/>
  <c r="AK408" i="2" a="1"/>
  <c r="AK408" i="2"/>
  <c r="AK409" i="2" a="1"/>
  <c r="AK409" i="2"/>
  <c r="AK410" i="2" a="1"/>
  <c r="AK410" i="2"/>
  <c r="AK411" i="2" a="1"/>
  <c r="AK411" i="2"/>
  <c r="AK412" i="2" a="1"/>
  <c r="AK412" i="2"/>
  <c r="AK413" i="2" a="1"/>
  <c r="AK413" i="2"/>
  <c r="AK414" i="2" a="1"/>
  <c r="AK414" i="2"/>
  <c r="AK415" i="2" a="1"/>
  <c r="AK415" i="2"/>
  <c r="AK416" i="2" a="1"/>
  <c r="AK416" i="2"/>
  <c r="AK417" i="2" a="1"/>
  <c r="AK417" i="2"/>
  <c r="AK418" i="2" a="1"/>
  <c r="AK418" i="2"/>
  <c r="AK419" i="2" a="1"/>
  <c r="AK419" i="2"/>
  <c r="AK420" i="2" a="1"/>
  <c r="AK420" i="2"/>
  <c r="AK421" i="2" a="1"/>
  <c r="AK421" i="2"/>
  <c r="AK422" i="2" a="1"/>
  <c r="AK422" i="2"/>
  <c r="AK423" i="2" a="1"/>
  <c r="AK423" i="2"/>
  <c r="AK424" i="2" a="1"/>
  <c r="AK424" i="2"/>
  <c r="AK425" i="2" a="1"/>
  <c r="AK425" i="2"/>
  <c r="AK426" i="2" a="1"/>
  <c r="AK426" i="2"/>
  <c r="AK427" i="2" a="1"/>
  <c r="AK427" i="2"/>
  <c r="AK428" i="2" a="1"/>
  <c r="AK428" i="2"/>
  <c r="AK429" i="2" a="1"/>
  <c r="AK429" i="2"/>
  <c r="AK430" i="2" a="1"/>
  <c r="AK430" i="2"/>
  <c r="AK431" i="2" a="1"/>
  <c r="AK431" i="2"/>
  <c r="AK432" i="2" a="1"/>
  <c r="AK432" i="2"/>
  <c r="AK433" i="2" a="1"/>
  <c r="AK433" i="2"/>
  <c r="AK434" i="2" a="1"/>
  <c r="AK434" i="2"/>
  <c r="AK435" i="2" a="1"/>
  <c r="AK435" i="2"/>
  <c r="AK436" i="2" a="1"/>
  <c r="AK436" i="2"/>
  <c r="AK437" i="2" a="1"/>
  <c r="AK437" i="2"/>
  <c r="AK438" i="2" a="1"/>
  <c r="AK438" i="2"/>
  <c r="AK439" i="2" a="1"/>
  <c r="AK439" i="2"/>
  <c r="AK440" i="2" a="1"/>
  <c r="AK440" i="2"/>
  <c r="AK441" i="2" a="1"/>
  <c r="AK441" i="2"/>
  <c r="AK442" i="2" a="1"/>
  <c r="AK442" i="2"/>
  <c r="AK443" i="2" a="1"/>
  <c r="AK443" i="2"/>
  <c r="AK444" i="2" a="1"/>
  <c r="AK444" i="2"/>
  <c r="AK445" i="2" a="1"/>
  <c r="AK445" i="2"/>
  <c r="AK446" i="2" a="1"/>
  <c r="AK446" i="2"/>
  <c r="AK447" i="2" a="1"/>
  <c r="AK447" i="2"/>
  <c r="AK448" i="2" a="1"/>
  <c r="AK448" i="2"/>
  <c r="AK449" i="2" a="1"/>
  <c r="AK449" i="2"/>
  <c r="AK450" i="2" a="1"/>
  <c r="AK450" i="2"/>
  <c r="AK451" i="2" a="1"/>
  <c r="AK451" i="2"/>
  <c r="AK452" i="2" a="1"/>
  <c r="AK452" i="2"/>
  <c r="AK453" i="2" a="1"/>
  <c r="AK453" i="2"/>
  <c r="AK454" i="2" a="1"/>
  <c r="AK454" i="2"/>
  <c r="AK455" i="2" a="1"/>
  <c r="AK455" i="2"/>
  <c r="AK456" i="2" a="1"/>
  <c r="AK456" i="2"/>
  <c r="AK457" i="2" a="1"/>
  <c r="AK457" i="2"/>
  <c r="AK458" i="2" a="1"/>
  <c r="AK458" i="2"/>
  <c r="AK459" i="2" a="1"/>
  <c r="AK459" i="2"/>
  <c r="AK460" i="2" a="1"/>
  <c r="AK460" i="2"/>
  <c r="AK461" i="2" a="1"/>
  <c r="AK461" i="2"/>
  <c r="AK462" i="2" a="1"/>
  <c r="AK462" i="2"/>
  <c r="AK463" i="2" a="1"/>
  <c r="AK463" i="2"/>
  <c r="AK464" i="2" a="1"/>
  <c r="AK464" i="2"/>
  <c r="AK465" i="2" a="1"/>
  <c r="AK465" i="2"/>
  <c r="AK466" i="2" a="1"/>
  <c r="AK466" i="2"/>
  <c r="AK467" i="2" a="1"/>
  <c r="AK467" i="2"/>
  <c r="AK468" i="2" a="1"/>
  <c r="AK468" i="2"/>
  <c r="AK469" i="2" a="1"/>
  <c r="AK469" i="2"/>
  <c r="AK470" i="2" a="1"/>
  <c r="AK470" i="2"/>
  <c r="AK471" i="2" a="1"/>
  <c r="AK471" i="2"/>
  <c r="AK472" i="2" a="1"/>
  <c r="AK472" i="2"/>
  <c r="AK473" i="2" a="1"/>
  <c r="AK473" i="2"/>
  <c r="AK474" i="2" a="1"/>
  <c r="AK474" i="2"/>
  <c r="AK475" i="2" a="1"/>
  <c r="AK475" i="2"/>
  <c r="AK476" i="2" a="1"/>
  <c r="AK476" i="2"/>
  <c r="AK477" i="2" a="1"/>
  <c r="AK477" i="2"/>
  <c r="AK478" i="2" a="1"/>
  <c r="AK478" i="2"/>
  <c r="AK479" i="2" a="1"/>
  <c r="AK479" i="2"/>
  <c r="AK480" i="2" a="1"/>
  <c r="AK480" i="2"/>
  <c r="AK481" i="2" a="1"/>
  <c r="AK481" i="2"/>
  <c r="AK482" i="2" a="1"/>
  <c r="AK482" i="2"/>
  <c r="AK483" i="2" a="1"/>
  <c r="AK483" i="2"/>
  <c r="AK484" i="2" a="1"/>
  <c r="AK484" i="2"/>
  <c r="AK485" i="2" a="1"/>
  <c r="AK485" i="2"/>
  <c r="AK486" i="2" a="1"/>
  <c r="AK486" i="2"/>
  <c r="AK487" i="2" a="1"/>
  <c r="AK487" i="2"/>
  <c r="AK488" i="2" a="1"/>
  <c r="AK488" i="2"/>
  <c r="AK489" i="2" a="1"/>
  <c r="AK489" i="2"/>
  <c r="AK490" i="2" a="1"/>
  <c r="AK490" i="2"/>
  <c r="AK491" i="2" a="1"/>
  <c r="AK491" i="2"/>
  <c r="AK492" i="2" a="1"/>
  <c r="AK492" i="2"/>
  <c r="AK493" i="2" a="1"/>
  <c r="AK493" i="2"/>
  <c r="AK494" i="2" a="1"/>
  <c r="AK494" i="2"/>
  <c r="AK495" i="2" a="1"/>
  <c r="AK495" i="2"/>
  <c r="AK496" i="2" a="1"/>
  <c r="AK496" i="2"/>
  <c r="AK497" i="2" a="1"/>
  <c r="AK497" i="2"/>
  <c r="AK498" i="2" a="1"/>
  <c r="AK498" i="2"/>
  <c r="AK499" i="2" a="1"/>
  <c r="AK499" i="2"/>
  <c r="AK500" i="2" a="1"/>
  <c r="AK500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L3" i="2" a="1"/>
  <c r="L3" i="2"/>
  <c r="L2" i="2" a="1"/>
  <c r="L2" i="2"/>
  <c r="H3" i="2" a="1"/>
  <c r="H3" i="2"/>
  <c r="H2" i="2" a="1"/>
  <c r="H2" i="2"/>
  <c r="F3" i="2" a="1"/>
  <c r="F3" i="2"/>
  <c r="F2" i="2" a="1"/>
  <c r="F2" i="2"/>
  <c r="E3" i="2" a="1"/>
  <c r="E3" i="2"/>
  <c r="E2" i="2" a="1"/>
  <c r="E2" i="2"/>
  <c r="D3" i="2" a="1"/>
  <c r="D3" i="2"/>
  <c r="D2" i="2" a="1"/>
  <c r="D2" i="2"/>
  <c r="C3" i="2" a="1"/>
  <c r="C3" i="2"/>
  <c r="C2" i="2" a="1"/>
  <c r="C2" i="2"/>
  <c r="B3" i="2" a="1"/>
  <c r="B3" i="2"/>
  <c r="B2" i="2" a="1"/>
  <c r="B2" i="2"/>
  <c r="A3" i="2"/>
  <c r="A2" i="2"/>
  <c r="N17" i="2"/>
  <c r="O185" i="2"/>
  <c r="N185" i="2"/>
  <c r="O17" i="2"/>
  <c r="CA2" i="1"/>
  <c r="CA3" i="1"/>
  <c r="BP2" i="1"/>
  <c r="BP3" i="1"/>
  <c r="BO2" i="1"/>
  <c r="BO3" i="1"/>
  <c r="L4" i="2" a="1"/>
  <c r="L5" i="2" a="1"/>
  <c r="L6" i="2" a="1"/>
  <c r="L7" i="2" a="1"/>
  <c r="L8" i="2" a="1"/>
  <c r="L9" i="2" a="1"/>
  <c r="L10" i="2" a="1"/>
  <c r="L11" i="2" a="1"/>
  <c r="L12" i="2" a="1"/>
  <c r="L13" i="2" a="1"/>
  <c r="L14" i="2" a="1"/>
  <c r="L15" i="2" a="1"/>
  <c r="L16" i="2" a="1"/>
  <c r="L17" i="2" a="1"/>
  <c r="H4" i="2" a="1"/>
  <c r="H5" i="2" a="1"/>
  <c r="H6" i="2" a="1"/>
  <c r="H7" i="2" a="1"/>
  <c r="H8" i="2" a="1"/>
  <c r="H9" i="2" a="1"/>
  <c r="H10" i="2" a="1"/>
  <c r="H11" i="2" a="1"/>
  <c r="H12" i="2" a="1"/>
  <c r="H13" i="2" a="1"/>
  <c r="H14" i="2" a="1"/>
  <c r="H15" i="2" a="1"/>
  <c r="H16" i="2" a="1"/>
  <c r="H17" i="2" a="1"/>
  <c r="F4" i="2" a="1"/>
  <c r="F5" i="2" a="1"/>
  <c r="F6" i="2" a="1"/>
  <c r="F7" i="2" a="1"/>
  <c r="F8" i="2" a="1"/>
  <c r="F9" i="2" a="1"/>
  <c r="F10" i="2" a="1"/>
  <c r="F11" i="2" a="1"/>
  <c r="F12" i="2" a="1"/>
  <c r="F13" i="2" a="1"/>
  <c r="F14" i="2" a="1"/>
  <c r="F15" i="2" a="1"/>
  <c r="F16" i="2" a="1"/>
  <c r="F17" i="2" a="1"/>
  <c r="E4" i="2" a="1"/>
  <c r="E5" i="2" a="1"/>
  <c r="E6" i="2" a="1"/>
  <c r="E7" i="2" a="1"/>
  <c r="E8" i="2" a="1"/>
  <c r="E9" i="2" a="1"/>
  <c r="E10" i="2" a="1"/>
  <c r="E11" i="2" a="1"/>
  <c r="E12" i="2" a="1"/>
  <c r="E13" i="2" a="1"/>
  <c r="E14" i="2" a="1"/>
  <c r="E15" i="2" a="1"/>
  <c r="E16" i="2" a="1"/>
  <c r="E17" i="2" a="1"/>
  <c r="D4" i="2" a="1"/>
  <c r="D5" i="2" a="1"/>
  <c r="D6" i="2" a="1"/>
  <c r="D7" i="2" a="1"/>
  <c r="D8" i="2" a="1"/>
  <c r="D9" i="2" a="1"/>
  <c r="D10" i="2" a="1"/>
  <c r="D11" i="2" a="1"/>
  <c r="D12" i="2" a="1"/>
  <c r="D13" i="2" a="1"/>
  <c r="D14" i="2" a="1"/>
  <c r="D15" i="2" a="1"/>
  <c r="D16" i="2" a="1"/>
  <c r="D17" i="2" a="1"/>
  <c r="C4" i="2" a="1"/>
  <c r="C5" i="2" a="1"/>
  <c r="C6" i="2" a="1"/>
  <c r="C7" i="2" a="1"/>
  <c r="C8" i="2" a="1"/>
  <c r="C9" i="2" a="1"/>
  <c r="C10" i="2" a="1"/>
  <c r="C11" i="2" a="1"/>
  <c r="C12" i="2" a="1"/>
  <c r="C13" i="2" a="1"/>
  <c r="C14" i="2" a="1"/>
  <c r="C15" i="2" a="1"/>
  <c r="C16" i="2" a="1"/>
  <c r="C17" i="2" a="1"/>
  <c r="B4" i="2" a="1"/>
  <c r="B5" i="2" a="1"/>
  <c r="B6" i="2" a="1"/>
  <c r="B7" i="2" a="1"/>
  <c r="B8" i="2" a="1"/>
  <c r="B9" i="2" a="1"/>
  <c r="B10" i="2" a="1"/>
  <c r="B11" i="2" a="1"/>
  <c r="B12" i="2" a="1"/>
  <c r="B13" i="2" a="1"/>
  <c r="B14" i="2" a="1"/>
  <c r="B15" i="2" a="1"/>
  <c r="B16" i="2" a="1"/>
  <c r="B17" i="2" a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CA2" i="4"/>
  <c r="BP2" i="4"/>
  <c r="AG2" i="4"/>
  <c r="AF2" i="4"/>
  <c r="AE2" i="4"/>
  <c r="W2" i="4"/>
  <c r="AG3" i="1"/>
  <c r="AF3" i="1"/>
  <c r="AE3" i="1"/>
  <c r="W3" i="1"/>
  <c r="AG2" i="1"/>
  <c r="AF2" i="1"/>
  <c r="AE2" i="1"/>
  <c r="W2" i="1"/>
  <c r="BM504" i="2"/>
  <c r="BL504" i="2"/>
  <c r="AT504" i="2" a="1"/>
  <c r="AS504" i="2" a="1"/>
  <c r="AR504" i="2" a="1"/>
  <c r="AQ504" i="2" a="1"/>
  <c r="AM504" i="2" a="1"/>
  <c r="AJ504" i="2"/>
  <c r="AI504" i="2"/>
  <c r="AG504" i="2"/>
  <c r="AF504" i="2"/>
  <c r="AE504" i="2"/>
  <c r="AD504" i="2"/>
  <c r="AB504" i="2"/>
  <c r="AA504" i="2"/>
  <c r="Z504" i="2"/>
  <c r="Y504" i="2"/>
  <c r="X504" i="2"/>
  <c r="V504" i="2"/>
  <c r="U504" i="2"/>
  <c r="T504" i="2"/>
  <c r="S504" i="2"/>
  <c r="BM503" i="2"/>
  <c r="BL503" i="2"/>
  <c r="AT503" i="2" a="1"/>
  <c r="AS503" i="2" a="1"/>
  <c r="AR503" i="2" a="1"/>
  <c r="AQ503" i="2" a="1"/>
  <c r="AM503" i="2" a="1"/>
  <c r="AJ503" i="2"/>
  <c r="AI503" i="2"/>
  <c r="AG503" i="2"/>
  <c r="AF503" i="2"/>
  <c r="AE503" i="2"/>
  <c r="AD503" i="2"/>
  <c r="AB503" i="2"/>
  <c r="AA503" i="2"/>
  <c r="Z503" i="2"/>
  <c r="Y503" i="2"/>
  <c r="X503" i="2"/>
  <c r="V503" i="2"/>
  <c r="U503" i="2"/>
  <c r="T503" i="2"/>
  <c r="S503" i="2"/>
  <c r="BM502" i="2"/>
  <c r="BL502" i="2"/>
  <c r="AT502" i="2" a="1"/>
  <c r="AS502" i="2" a="1"/>
  <c r="AR502" i="2" a="1"/>
  <c r="AQ502" i="2" a="1"/>
  <c r="AM502" i="2" a="1"/>
  <c r="AJ502" i="2"/>
  <c r="AI502" i="2"/>
  <c r="AG502" i="2"/>
  <c r="AF502" i="2"/>
  <c r="AE502" i="2"/>
  <c r="AD502" i="2"/>
  <c r="AB502" i="2"/>
  <c r="AA502" i="2"/>
  <c r="Z502" i="2"/>
  <c r="Y502" i="2"/>
  <c r="X502" i="2"/>
  <c r="V502" i="2"/>
  <c r="U502" i="2"/>
  <c r="T502" i="2"/>
  <c r="S502" i="2"/>
  <c r="BM501" i="2"/>
  <c r="BL501" i="2"/>
  <c r="AT501" i="2" a="1"/>
  <c r="AS501" i="2" a="1"/>
  <c r="AR501" i="2" a="1"/>
  <c r="AQ501" i="2" a="1"/>
  <c r="AM501" i="2" a="1"/>
  <c r="AJ501" i="2"/>
  <c r="AI501" i="2"/>
  <c r="AG501" i="2"/>
  <c r="AF501" i="2"/>
  <c r="AE501" i="2"/>
  <c r="AD501" i="2"/>
  <c r="AB501" i="2"/>
  <c r="AA501" i="2"/>
  <c r="Z501" i="2"/>
  <c r="Y501" i="2"/>
  <c r="X501" i="2"/>
  <c r="V501" i="2"/>
  <c r="U501" i="2"/>
  <c r="T501" i="2"/>
  <c r="S501" i="2"/>
  <c r="BM500" i="2"/>
  <c r="BL500" i="2"/>
  <c r="AT500" i="2" a="1"/>
  <c r="BM499" i="2"/>
  <c r="BL499" i="2"/>
  <c r="AT499" i="2" a="1"/>
  <c r="BM498" i="2"/>
  <c r="BL498" i="2"/>
  <c r="AT498" i="2" a="1"/>
  <c r="BM497" i="2"/>
  <c r="BL497" i="2"/>
  <c r="AT497" i="2" a="1"/>
  <c r="BM496" i="2"/>
  <c r="BL496" i="2"/>
  <c r="AT496" i="2" a="1"/>
  <c r="BM495" i="2"/>
  <c r="BL495" i="2"/>
  <c r="AT495" i="2" a="1"/>
  <c r="BM494" i="2"/>
  <c r="BL494" i="2"/>
  <c r="AT494" i="2" a="1"/>
  <c r="BM493" i="2"/>
  <c r="BL493" i="2"/>
  <c r="AT493" i="2" a="1"/>
  <c r="BM492" i="2"/>
  <c r="BL492" i="2"/>
  <c r="AT492" i="2" a="1"/>
  <c r="BM491" i="2"/>
  <c r="BL491" i="2"/>
  <c r="AT491" i="2" a="1"/>
  <c r="BM490" i="2"/>
  <c r="BL490" i="2"/>
  <c r="AT490" i="2" a="1"/>
  <c r="BM489" i="2"/>
  <c r="BL489" i="2"/>
  <c r="AT489" i="2" a="1"/>
  <c r="BM488" i="2"/>
  <c r="BL488" i="2"/>
  <c r="AT488" i="2" a="1"/>
  <c r="BM487" i="2"/>
  <c r="BL487" i="2"/>
  <c r="AT487" i="2" a="1"/>
  <c r="BM486" i="2"/>
  <c r="BL486" i="2"/>
  <c r="AT486" i="2" a="1"/>
  <c r="BM485" i="2"/>
  <c r="BL485" i="2"/>
  <c r="AT485" i="2" a="1"/>
  <c r="BM484" i="2"/>
  <c r="BL484" i="2"/>
  <c r="AT484" i="2" a="1"/>
  <c r="BM483" i="2"/>
  <c r="BL483" i="2"/>
  <c r="AT483" i="2" a="1"/>
  <c r="BM482" i="2"/>
  <c r="BL482" i="2"/>
  <c r="AT482" i="2" a="1"/>
  <c r="BM481" i="2"/>
  <c r="BL481" i="2"/>
  <c r="AT481" i="2" a="1"/>
  <c r="BM480" i="2"/>
  <c r="BL480" i="2"/>
  <c r="AT480" i="2" a="1"/>
  <c r="BM479" i="2"/>
  <c r="BL479" i="2"/>
  <c r="AT479" i="2" a="1"/>
  <c r="BM478" i="2"/>
  <c r="BL478" i="2"/>
  <c r="AT478" i="2" a="1"/>
  <c r="BM477" i="2"/>
  <c r="BL477" i="2"/>
  <c r="AT477" i="2" a="1"/>
  <c r="BM476" i="2"/>
  <c r="BL476" i="2"/>
  <c r="AT476" i="2" a="1"/>
  <c r="BM475" i="2"/>
  <c r="BL475" i="2"/>
  <c r="AT475" i="2" a="1"/>
  <c r="BM474" i="2"/>
  <c r="BL474" i="2"/>
  <c r="AT474" i="2" a="1"/>
  <c r="BM473" i="2"/>
  <c r="BL473" i="2"/>
  <c r="AT473" i="2" a="1"/>
  <c r="BM472" i="2"/>
  <c r="BL472" i="2"/>
  <c r="AT472" i="2" a="1"/>
  <c r="BM471" i="2"/>
  <c r="BL471" i="2"/>
  <c r="AT471" i="2" a="1"/>
  <c r="BM470" i="2"/>
  <c r="BL470" i="2"/>
  <c r="AT470" i="2" a="1"/>
  <c r="BM469" i="2"/>
  <c r="BL469" i="2"/>
  <c r="AT469" i="2" a="1"/>
  <c r="BM468" i="2"/>
  <c r="BL468" i="2"/>
  <c r="AT468" i="2" a="1"/>
  <c r="BM467" i="2"/>
  <c r="BL467" i="2"/>
  <c r="AT467" i="2" a="1"/>
  <c r="BM466" i="2"/>
  <c r="BL466" i="2"/>
  <c r="AT466" i="2" a="1"/>
  <c r="BM465" i="2"/>
  <c r="BL465" i="2"/>
  <c r="AT465" i="2" a="1"/>
  <c r="BM464" i="2"/>
  <c r="BL464" i="2"/>
  <c r="AT464" i="2" a="1"/>
  <c r="BM463" i="2"/>
  <c r="BL463" i="2"/>
  <c r="AT463" i="2" a="1"/>
  <c r="BM462" i="2"/>
  <c r="BL462" i="2"/>
  <c r="AT462" i="2" a="1"/>
  <c r="BM461" i="2"/>
  <c r="BL461" i="2"/>
  <c r="AT461" i="2" a="1"/>
  <c r="BM460" i="2"/>
  <c r="BL460" i="2"/>
  <c r="AT460" i="2" a="1"/>
  <c r="BM459" i="2"/>
  <c r="BL459" i="2"/>
  <c r="AT459" i="2" a="1"/>
  <c r="BM458" i="2"/>
  <c r="BL458" i="2"/>
  <c r="AT458" i="2" a="1"/>
  <c r="BM457" i="2"/>
  <c r="BL457" i="2"/>
  <c r="AT457" i="2" a="1"/>
  <c r="BM456" i="2"/>
  <c r="BL456" i="2"/>
  <c r="AT456" i="2" a="1"/>
  <c r="BM455" i="2"/>
  <c r="BL455" i="2"/>
  <c r="AT455" i="2" a="1"/>
  <c r="BM454" i="2"/>
  <c r="BL454" i="2"/>
  <c r="AT454" i="2" a="1"/>
  <c r="BM453" i="2"/>
  <c r="BL453" i="2"/>
  <c r="AT453" i="2" a="1"/>
  <c r="BM452" i="2"/>
  <c r="BL452" i="2"/>
  <c r="AT452" i="2" a="1"/>
  <c r="BM451" i="2"/>
  <c r="BL451" i="2"/>
  <c r="AT451" i="2" a="1"/>
  <c r="BM450" i="2"/>
  <c r="BL450" i="2"/>
  <c r="AT450" i="2" a="1"/>
  <c r="BM449" i="2"/>
  <c r="BL449" i="2"/>
  <c r="AT449" i="2" a="1"/>
  <c r="BM448" i="2"/>
  <c r="BL448" i="2"/>
  <c r="AT448" i="2" a="1"/>
  <c r="BM447" i="2"/>
  <c r="BL447" i="2"/>
  <c r="AT447" i="2" a="1"/>
  <c r="BM446" i="2"/>
  <c r="BL446" i="2"/>
  <c r="AT446" i="2" a="1"/>
  <c r="BM445" i="2"/>
  <c r="BL445" i="2"/>
  <c r="AT445" i="2" a="1"/>
  <c r="BM444" i="2"/>
  <c r="BL444" i="2"/>
  <c r="AT444" i="2" a="1"/>
  <c r="BM443" i="2"/>
  <c r="BL443" i="2"/>
  <c r="AT443" i="2" a="1"/>
  <c r="BM442" i="2"/>
  <c r="BL442" i="2"/>
  <c r="AT442" i="2" a="1"/>
  <c r="BM441" i="2"/>
  <c r="BL441" i="2"/>
  <c r="AT441" i="2" a="1"/>
  <c r="BM440" i="2"/>
  <c r="BL440" i="2"/>
  <c r="AT440" i="2" a="1"/>
  <c r="BM439" i="2"/>
  <c r="BL439" i="2"/>
  <c r="AT439" i="2" a="1"/>
  <c r="BM438" i="2"/>
  <c r="BL438" i="2"/>
  <c r="AT438" i="2" a="1"/>
  <c r="BM437" i="2"/>
  <c r="BL437" i="2"/>
  <c r="AT437" i="2" a="1"/>
  <c r="BM436" i="2"/>
  <c r="BL436" i="2"/>
  <c r="AT436" i="2" a="1"/>
  <c r="BM435" i="2"/>
  <c r="BL435" i="2"/>
  <c r="AT435" i="2" a="1"/>
  <c r="BM434" i="2"/>
  <c r="BL434" i="2"/>
  <c r="AT434" i="2" a="1"/>
  <c r="BM433" i="2"/>
  <c r="BL433" i="2"/>
  <c r="AT433" i="2" a="1"/>
  <c r="BM432" i="2"/>
  <c r="BL432" i="2"/>
  <c r="AT432" i="2" a="1"/>
  <c r="BM431" i="2"/>
  <c r="BL431" i="2"/>
  <c r="AT431" i="2" a="1"/>
  <c r="BM430" i="2"/>
  <c r="BL430" i="2"/>
  <c r="AT430" i="2" a="1"/>
  <c r="BM429" i="2"/>
  <c r="BL429" i="2"/>
  <c r="AT429" i="2" a="1"/>
  <c r="BM428" i="2"/>
  <c r="BL428" i="2"/>
  <c r="AT428" i="2" a="1"/>
  <c r="BM427" i="2"/>
  <c r="BL427" i="2"/>
  <c r="AT427" i="2" a="1"/>
  <c r="BM426" i="2"/>
  <c r="BL426" i="2"/>
  <c r="AT426" i="2" a="1"/>
  <c r="BM425" i="2"/>
  <c r="BL425" i="2"/>
  <c r="AT425" i="2" a="1"/>
  <c r="BM424" i="2"/>
  <c r="BL424" i="2"/>
  <c r="AT424" i="2" a="1"/>
  <c r="BM423" i="2"/>
  <c r="BL423" i="2"/>
  <c r="AT423" i="2" a="1"/>
  <c r="BM422" i="2"/>
  <c r="BL422" i="2"/>
  <c r="AT422" i="2" a="1"/>
  <c r="BM421" i="2"/>
  <c r="BL421" i="2"/>
  <c r="AT421" i="2" a="1"/>
  <c r="BM420" i="2"/>
  <c r="BL420" i="2"/>
  <c r="AT420" i="2" a="1"/>
  <c r="BM419" i="2"/>
  <c r="BL419" i="2"/>
  <c r="AT419" i="2" a="1"/>
  <c r="BM418" i="2"/>
  <c r="BL418" i="2"/>
  <c r="AT418" i="2" a="1"/>
  <c r="BM417" i="2"/>
  <c r="BL417" i="2"/>
  <c r="AT417" i="2" a="1"/>
  <c r="BM416" i="2"/>
  <c r="BL416" i="2"/>
  <c r="AT416" i="2" a="1"/>
  <c r="BM415" i="2"/>
  <c r="BL415" i="2"/>
  <c r="AT415" i="2" a="1"/>
  <c r="BM414" i="2"/>
  <c r="BL414" i="2"/>
  <c r="AT414" i="2" a="1"/>
  <c r="BM413" i="2"/>
  <c r="BL413" i="2"/>
  <c r="AT413" i="2" a="1"/>
  <c r="BM412" i="2"/>
  <c r="BL412" i="2"/>
  <c r="AT412" i="2" a="1"/>
  <c r="BM411" i="2"/>
  <c r="BL411" i="2"/>
  <c r="AT411" i="2" a="1"/>
  <c r="BM410" i="2"/>
  <c r="BL410" i="2"/>
  <c r="AT410" i="2" a="1"/>
  <c r="BM409" i="2"/>
  <c r="BL409" i="2"/>
  <c r="AT409" i="2" a="1"/>
  <c r="BM408" i="2"/>
  <c r="BL408" i="2"/>
  <c r="AT408" i="2" a="1"/>
  <c r="BM407" i="2"/>
  <c r="BL407" i="2"/>
  <c r="AT407" i="2" a="1"/>
  <c r="BM406" i="2"/>
  <c r="BL406" i="2"/>
  <c r="AT406" i="2" a="1"/>
  <c r="BM405" i="2"/>
  <c r="BL405" i="2"/>
  <c r="AT405" i="2" a="1"/>
  <c r="BM404" i="2"/>
  <c r="BL404" i="2"/>
  <c r="AT404" i="2" a="1"/>
  <c r="BM403" i="2"/>
  <c r="BL403" i="2"/>
  <c r="AT403" i="2" a="1"/>
  <c r="BM402" i="2"/>
  <c r="BL402" i="2"/>
  <c r="AT402" i="2" a="1"/>
  <c r="BM401" i="2"/>
  <c r="BL401" i="2"/>
  <c r="AT401" i="2" a="1"/>
  <c r="BM400" i="2"/>
  <c r="BL400" i="2"/>
  <c r="AT400" i="2" a="1"/>
  <c r="BM399" i="2"/>
  <c r="BL399" i="2"/>
  <c r="AT399" i="2" a="1"/>
  <c r="BM398" i="2"/>
  <c r="BL398" i="2"/>
  <c r="AT398" i="2" a="1"/>
  <c r="BM397" i="2"/>
  <c r="BL397" i="2"/>
  <c r="AT397" i="2" a="1"/>
  <c r="BM396" i="2"/>
  <c r="BL396" i="2"/>
  <c r="AT396" i="2" a="1"/>
  <c r="BM395" i="2"/>
  <c r="BL395" i="2"/>
  <c r="AT395" i="2" a="1"/>
  <c r="BM394" i="2"/>
  <c r="BL394" i="2"/>
  <c r="AT394" i="2" a="1"/>
  <c r="BM393" i="2"/>
  <c r="BL393" i="2"/>
  <c r="AT393" i="2" a="1"/>
  <c r="BM392" i="2"/>
  <c r="BL392" i="2"/>
  <c r="AT392" i="2" a="1"/>
  <c r="BM391" i="2"/>
  <c r="BL391" i="2"/>
  <c r="AT391" i="2" a="1"/>
  <c r="BM390" i="2"/>
  <c r="BL390" i="2"/>
  <c r="AT390" i="2" a="1"/>
  <c r="BM389" i="2"/>
  <c r="BL389" i="2"/>
  <c r="AT389" i="2" a="1"/>
  <c r="BM388" i="2"/>
  <c r="BL388" i="2"/>
  <c r="AT388" i="2" a="1"/>
  <c r="BM387" i="2"/>
  <c r="BL387" i="2"/>
  <c r="AT387" i="2" a="1"/>
  <c r="BM386" i="2"/>
  <c r="BL386" i="2"/>
  <c r="AT386" i="2" a="1"/>
  <c r="BM385" i="2"/>
  <c r="BL385" i="2"/>
  <c r="AT385" i="2" a="1"/>
  <c r="BM384" i="2"/>
  <c r="BL384" i="2"/>
  <c r="AT384" i="2" a="1"/>
  <c r="BM383" i="2"/>
  <c r="BL383" i="2"/>
  <c r="AT383" i="2" a="1"/>
  <c r="BM382" i="2"/>
  <c r="BL382" i="2"/>
  <c r="AT382" i="2" a="1"/>
  <c r="BM381" i="2"/>
  <c r="BL381" i="2"/>
  <c r="AT381" i="2" a="1"/>
  <c r="BM380" i="2"/>
  <c r="BL380" i="2"/>
  <c r="AT380" i="2" a="1"/>
  <c r="BM379" i="2"/>
  <c r="BL379" i="2"/>
  <c r="AT379" i="2" a="1"/>
  <c r="BM378" i="2"/>
  <c r="BL378" i="2"/>
  <c r="AT378" i="2" a="1"/>
  <c r="BM377" i="2"/>
  <c r="BL377" i="2"/>
  <c r="AT377" i="2" a="1"/>
  <c r="BM376" i="2"/>
  <c r="BL376" i="2"/>
  <c r="AT376" i="2" a="1"/>
  <c r="BM375" i="2"/>
  <c r="BL375" i="2"/>
  <c r="AT375" i="2" a="1"/>
  <c r="BM374" i="2"/>
  <c r="BL374" i="2"/>
  <c r="AT374" i="2" a="1"/>
  <c r="BM373" i="2"/>
  <c r="BL373" i="2"/>
  <c r="AT373" i="2" a="1"/>
  <c r="BM372" i="2"/>
  <c r="BL372" i="2"/>
  <c r="AT372" i="2" a="1"/>
  <c r="BM371" i="2"/>
  <c r="BL371" i="2"/>
  <c r="AT371" i="2" a="1"/>
  <c r="BM370" i="2"/>
  <c r="BL370" i="2"/>
  <c r="AT370" i="2" a="1"/>
  <c r="BM369" i="2"/>
  <c r="BL369" i="2"/>
  <c r="AT369" i="2" a="1"/>
  <c r="BM368" i="2"/>
  <c r="BL368" i="2"/>
  <c r="AT368" i="2" a="1"/>
  <c r="BM367" i="2"/>
  <c r="BL367" i="2"/>
  <c r="AT367" i="2" a="1"/>
  <c r="BM366" i="2"/>
  <c r="BL366" i="2"/>
  <c r="AT366" i="2" a="1"/>
  <c r="BM365" i="2"/>
  <c r="BL365" i="2"/>
  <c r="AT365" i="2" a="1"/>
  <c r="BM364" i="2"/>
  <c r="BL364" i="2"/>
  <c r="AT364" i="2" a="1"/>
  <c r="BM363" i="2"/>
  <c r="BL363" i="2"/>
  <c r="AT363" i="2" a="1"/>
  <c r="BM362" i="2"/>
  <c r="BL362" i="2"/>
  <c r="AT362" i="2" a="1"/>
  <c r="BM361" i="2"/>
  <c r="BL361" i="2"/>
  <c r="AT361" i="2" a="1"/>
  <c r="BM360" i="2"/>
  <c r="BL360" i="2"/>
  <c r="AT360" i="2" a="1"/>
  <c r="BM359" i="2"/>
  <c r="BL359" i="2"/>
  <c r="AT359" i="2" a="1"/>
  <c r="BM358" i="2"/>
  <c r="BL358" i="2"/>
  <c r="AT358" i="2" a="1"/>
  <c r="BM357" i="2"/>
  <c r="BL357" i="2"/>
  <c r="AT357" i="2" a="1"/>
  <c r="BM356" i="2"/>
  <c r="BL356" i="2"/>
  <c r="AT356" i="2" a="1"/>
  <c r="BM355" i="2"/>
  <c r="BL355" i="2"/>
  <c r="AT355" i="2" a="1"/>
  <c r="BM354" i="2"/>
  <c r="BL354" i="2"/>
  <c r="AT354" i="2" a="1"/>
  <c r="BM353" i="2"/>
  <c r="BL353" i="2"/>
  <c r="AT353" i="2" a="1"/>
  <c r="BM352" i="2"/>
  <c r="BL352" i="2"/>
  <c r="AT352" i="2" a="1"/>
  <c r="BM351" i="2"/>
  <c r="BL351" i="2"/>
  <c r="AT351" i="2" a="1"/>
  <c r="BM350" i="2"/>
  <c r="BL350" i="2"/>
  <c r="AT350" i="2" a="1"/>
  <c r="BM349" i="2"/>
  <c r="BL349" i="2"/>
  <c r="AT349" i="2" a="1"/>
  <c r="BM348" i="2"/>
  <c r="BL348" i="2"/>
  <c r="AT348" i="2" a="1"/>
  <c r="BM347" i="2"/>
  <c r="BL347" i="2"/>
  <c r="AT347" i="2" a="1"/>
  <c r="BM346" i="2"/>
  <c r="BL346" i="2"/>
  <c r="AT346" i="2" a="1"/>
  <c r="BM345" i="2"/>
  <c r="BL345" i="2"/>
  <c r="AT345" i="2" a="1"/>
  <c r="BM344" i="2"/>
  <c r="BL344" i="2"/>
  <c r="AT344" i="2" a="1"/>
  <c r="BM343" i="2"/>
  <c r="BL343" i="2"/>
  <c r="AT343" i="2" a="1"/>
  <c r="BM342" i="2"/>
  <c r="BL342" i="2"/>
  <c r="AT342" i="2" a="1"/>
  <c r="BM341" i="2"/>
  <c r="BL341" i="2"/>
  <c r="AT341" i="2" a="1"/>
  <c r="BM340" i="2"/>
  <c r="BL340" i="2"/>
  <c r="AT340" i="2" a="1"/>
  <c r="BM339" i="2"/>
  <c r="BL339" i="2"/>
  <c r="AT339" i="2" a="1"/>
  <c r="BM338" i="2"/>
  <c r="BL338" i="2"/>
  <c r="AT338" i="2" a="1"/>
  <c r="BM337" i="2"/>
  <c r="BL337" i="2"/>
  <c r="AT337" i="2" a="1"/>
  <c r="BM336" i="2"/>
  <c r="BL336" i="2"/>
  <c r="AT336" i="2" a="1"/>
  <c r="BM335" i="2"/>
  <c r="BL335" i="2"/>
  <c r="AT335" i="2" a="1"/>
  <c r="BM334" i="2"/>
  <c r="BL334" i="2"/>
  <c r="AT334" i="2" a="1"/>
  <c r="BM333" i="2"/>
  <c r="BL333" i="2"/>
  <c r="AT333" i="2" a="1"/>
  <c r="BM332" i="2"/>
  <c r="BL332" i="2"/>
  <c r="AT332" i="2" a="1"/>
  <c r="BM331" i="2"/>
  <c r="BL331" i="2"/>
  <c r="AT331" i="2" a="1"/>
  <c r="BM330" i="2"/>
  <c r="BL330" i="2"/>
  <c r="AT330" i="2" a="1"/>
  <c r="BM329" i="2"/>
  <c r="BL329" i="2"/>
  <c r="AT329" i="2" a="1"/>
  <c r="BM328" i="2"/>
  <c r="BL328" i="2"/>
  <c r="BM327" i="2"/>
  <c r="BL327" i="2"/>
  <c r="BM326" i="2"/>
  <c r="BL326" i="2"/>
  <c r="BM325" i="2"/>
  <c r="BL325" i="2"/>
  <c r="BM324" i="2"/>
  <c r="BL324" i="2"/>
  <c r="BM323" i="2"/>
  <c r="BL323" i="2"/>
  <c r="BM322" i="2"/>
  <c r="BL322" i="2"/>
  <c r="BM321" i="2"/>
  <c r="BL321" i="2"/>
  <c r="BM320" i="2"/>
  <c r="BL320" i="2"/>
  <c r="BM319" i="2"/>
  <c r="BL319" i="2"/>
  <c r="BM318" i="2"/>
  <c r="BL318" i="2"/>
  <c r="BM317" i="2"/>
  <c r="BL317" i="2"/>
  <c r="BM316" i="2"/>
  <c r="BL316" i="2"/>
  <c r="BM315" i="2"/>
  <c r="BL315" i="2"/>
  <c r="BM314" i="2"/>
  <c r="BL314" i="2"/>
  <c r="BM313" i="2"/>
  <c r="BL313" i="2"/>
  <c r="BM312" i="2"/>
  <c r="BL312" i="2"/>
  <c r="BM311" i="2"/>
  <c r="BL311" i="2"/>
  <c r="BM310" i="2"/>
  <c r="BL310" i="2"/>
  <c r="BM309" i="2"/>
  <c r="BL309" i="2"/>
  <c r="BM308" i="2"/>
  <c r="BL308" i="2"/>
  <c r="BM307" i="2"/>
  <c r="BL307" i="2"/>
  <c r="BM306" i="2"/>
  <c r="BL306" i="2"/>
  <c r="BM305" i="2"/>
  <c r="BL305" i="2"/>
  <c r="BM304" i="2"/>
  <c r="BL304" i="2"/>
  <c r="BM303" i="2"/>
  <c r="BL303" i="2"/>
  <c r="BM302" i="2"/>
  <c r="BL302" i="2"/>
  <c r="BM301" i="2"/>
  <c r="BL301" i="2"/>
  <c r="BM300" i="2"/>
  <c r="BL300" i="2"/>
  <c r="BM299" i="2"/>
  <c r="BL299" i="2"/>
  <c r="BM298" i="2"/>
  <c r="BL298" i="2"/>
  <c r="BM297" i="2"/>
  <c r="BL297" i="2"/>
  <c r="BM296" i="2"/>
  <c r="BL296" i="2"/>
  <c r="BM295" i="2"/>
  <c r="BL295" i="2"/>
  <c r="BM294" i="2"/>
  <c r="BL294" i="2"/>
  <c r="BM293" i="2"/>
  <c r="BL293" i="2"/>
  <c r="BM292" i="2"/>
  <c r="BL292" i="2"/>
  <c r="BM291" i="2"/>
  <c r="BL291" i="2"/>
  <c r="BM290" i="2"/>
  <c r="BL290" i="2"/>
  <c r="BM289" i="2"/>
  <c r="BL289" i="2"/>
  <c r="BM288" i="2"/>
  <c r="BL288" i="2"/>
  <c r="BM287" i="2"/>
  <c r="BL287" i="2"/>
  <c r="BM286" i="2"/>
  <c r="BL286" i="2"/>
  <c r="BM285" i="2"/>
  <c r="BL285" i="2"/>
  <c r="BM284" i="2"/>
  <c r="BL284" i="2"/>
  <c r="BM283" i="2"/>
  <c r="BL283" i="2"/>
  <c r="BM282" i="2"/>
  <c r="BL282" i="2"/>
  <c r="BM281" i="2"/>
  <c r="BL281" i="2"/>
  <c r="BM280" i="2"/>
  <c r="BL280" i="2"/>
  <c r="BM279" i="2"/>
  <c r="BL279" i="2"/>
  <c r="BM278" i="2"/>
  <c r="BL278" i="2"/>
  <c r="BM277" i="2"/>
  <c r="BL277" i="2"/>
  <c r="BM276" i="2"/>
  <c r="BL276" i="2"/>
  <c r="BM275" i="2"/>
  <c r="BL275" i="2"/>
  <c r="BM274" i="2"/>
  <c r="BL274" i="2"/>
  <c r="BM273" i="2"/>
  <c r="BL273" i="2"/>
  <c r="BM272" i="2"/>
  <c r="BL272" i="2"/>
  <c r="BM271" i="2"/>
  <c r="BL271" i="2"/>
  <c r="BM270" i="2"/>
  <c r="BL270" i="2"/>
  <c r="BM269" i="2"/>
  <c r="BL269" i="2"/>
  <c r="BM268" i="2"/>
  <c r="BL268" i="2"/>
  <c r="BM267" i="2"/>
  <c r="BL267" i="2"/>
  <c r="BM266" i="2"/>
  <c r="BL266" i="2"/>
  <c r="BM265" i="2"/>
  <c r="BL265" i="2"/>
  <c r="BM264" i="2"/>
  <c r="BL264" i="2"/>
  <c r="BM263" i="2"/>
  <c r="BL263" i="2"/>
  <c r="BM262" i="2"/>
  <c r="BL262" i="2"/>
  <c r="BM261" i="2"/>
  <c r="BL261" i="2"/>
  <c r="BM260" i="2"/>
  <c r="BL260" i="2"/>
  <c r="BM259" i="2"/>
  <c r="BL259" i="2"/>
  <c r="BM258" i="2"/>
  <c r="BL258" i="2"/>
  <c r="BM257" i="2"/>
  <c r="BL257" i="2"/>
  <c r="BM256" i="2"/>
  <c r="BL256" i="2"/>
  <c r="BM255" i="2"/>
  <c r="BL255" i="2"/>
  <c r="BM254" i="2"/>
  <c r="BL254" i="2"/>
  <c r="BM253" i="2"/>
  <c r="BL253" i="2"/>
  <c r="BM252" i="2"/>
  <c r="BL252" i="2"/>
  <c r="BM251" i="2"/>
  <c r="BL251" i="2"/>
  <c r="BM250" i="2"/>
  <c r="BL250" i="2"/>
  <c r="BM249" i="2"/>
  <c r="BL249" i="2"/>
  <c r="BM248" i="2"/>
  <c r="BL248" i="2"/>
  <c r="BM247" i="2"/>
  <c r="BL247" i="2"/>
  <c r="BM246" i="2"/>
  <c r="BL246" i="2"/>
  <c r="BM245" i="2"/>
  <c r="BL245" i="2"/>
  <c r="BM244" i="2"/>
  <c r="BL244" i="2"/>
  <c r="BM243" i="2"/>
  <c r="BL243" i="2"/>
  <c r="BM242" i="2"/>
  <c r="BL242" i="2"/>
  <c r="BM241" i="2"/>
  <c r="BL241" i="2"/>
  <c r="BM240" i="2"/>
  <c r="BL240" i="2"/>
  <c r="BM239" i="2"/>
  <c r="BL239" i="2"/>
  <c r="BM238" i="2"/>
  <c r="BL238" i="2"/>
  <c r="BM237" i="2"/>
  <c r="BL237" i="2"/>
  <c r="BM236" i="2"/>
  <c r="BL236" i="2"/>
  <c r="BM235" i="2"/>
  <c r="BL235" i="2"/>
  <c r="BM234" i="2"/>
  <c r="BL234" i="2"/>
  <c r="BM233" i="2"/>
  <c r="BL233" i="2"/>
  <c r="BM232" i="2"/>
  <c r="BL232" i="2"/>
  <c r="BM231" i="2"/>
  <c r="BL231" i="2"/>
  <c r="BM230" i="2"/>
  <c r="BL230" i="2"/>
  <c r="BM229" i="2"/>
  <c r="BL229" i="2"/>
  <c r="BM228" i="2"/>
  <c r="BL228" i="2"/>
  <c r="BM227" i="2"/>
  <c r="BL227" i="2"/>
  <c r="BM226" i="2"/>
  <c r="BL226" i="2"/>
  <c r="BM225" i="2"/>
  <c r="BL225" i="2"/>
  <c r="BM224" i="2"/>
  <c r="BL224" i="2"/>
  <c r="BM223" i="2"/>
  <c r="BL223" i="2"/>
  <c r="BM222" i="2"/>
  <c r="BL222" i="2"/>
  <c r="BM221" i="2"/>
  <c r="BL221" i="2"/>
  <c r="BM220" i="2"/>
  <c r="BL220" i="2"/>
  <c r="BM219" i="2"/>
  <c r="BL219" i="2"/>
  <c r="BM218" i="2"/>
  <c r="BL218" i="2"/>
  <c r="BM217" i="2"/>
  <c r="BL217" i="2"/>
  <c r="BM216" i="2"/>
  <c r="BL216" i="2"/>
  <c r="BM215" i="2"/>
  <c r="BL215" i="2"/>
  <c r="BM214" i="2"/>
  <c r="BL214" i="2"/>
  <c r="BM213" i="2"/>
  <c r="BL213" i="2"/>
  <c r="BM212" i="2"/>
  <c r="BL212" i="2"/>
  <c r="BM211" i="2"/>
  <c r="BL211" i="2"/>
  <c r="BM210" i="2"/>
  <c r="BL210" i="2"/>
  <c r="BM209" i="2"/>
  <c r="BL209" i="2"/>
  <c r="BM208" i="2"/>
  <c r="BL208" i="2"/>
  <c r="BM207" i="2"/>
  <c r="BL207" i="2"/>
  <c r="BM206" i="2"/>
  <c r="BL206" i="2"/>
  <c r="BM205" i="2"/>
  <c r="BL205" i="2"/>
  <c r="BM204" i="2"/>
  <c r="BL204" i="2"/>
  <c r="BM203" i="2"/>
  <c r="BL203" i="2"/>
  <c r="BM202" i="2"/>
  <c r="BL202" i="2"/>
  <c r="BM201" i="2"/>
  <c r="BL201" i="2"/>
  <c r="BM200" i="2"/>
  <c r="BL200" i="2"/>
  <c r="BM199" i="2"/>
  <c r="BL199" i="2"/>
  <c r="BM198" i="2"/>
  <c r="BL198" i="2"/>
  <c r="BM197" i="2"/>
  <c r="BL197" i="2"/>
  <c r="BM196" i="2"/>
  <c r="BL196" i="2"/>
  <c r="AO185" i="2" a="1"/>
  <c r="L185" i="2" a="1"/>
  <c r="H185" i="2" a="1"/>
  <c r="G185" i="2" a="1"/>
  <c r="F185" i="2" a="1"/>
  <c r="E185" i="2" a="1"/>
  <c r="D185" i="2" a="1"/>
  <c r="C185" i="2" a="1"/>
  <c r="B185" i="2" a="1"/>
  <c r="A185" i="2"/>
  <c r="AO184" i="2" a="1"/>
  <c r="L184" i="2" a="1"/>
  <c r="H184" i="2" a="1"/>
  <c r="G184" i="2" a="1"/>
  <c r="F184" i="2" a="1"/>
  <c r="E184" i="2" a="1"/>
  <c r="D184" i="2" a="1"/>
  <c r="C184" i="2" a="1"/>
  <c r="B184" i="2" a="1"/>
  <c r="A184" i="2"/>
  <c r="AO183" i="2" a="1"/>
  <c r="L183" i="2" a="1"/>
  <c r="H183" i="2" a="1"/>
  <c r="G183" i="2" a="1"/>
  <c r="F183" i="2" a="1"/>
  <c r="E183" i="2" a="1"/>
  <c r="D183" i="2" a="1"/>
  <c r="C183" i="2" a="1"/>
  <c r="B183" i="2" a="1"/>
  <c r="A183" i="2"/>
  <c r="AO182" i="2" a="1"/>
  <c r="L182" i="2" a="1"/>
  <c r="H182" i="2" a="1"/>
  <c r="G182" i="2" a="1"/>
  <c r="F182" i="2" a="1"/>
  <c r="E182" i="2" a="1"/>
  <c r="D182" i="2" a="1"/>
  <c r="C182" i="2" a="1"/>
  <c r="B182" i="2" a="1"/>
  <c r="A182" i="2"/>
  <c r="AO181" i="2" a="1"/>
  <c r="L181" i="2" a="1"/>
  <c r="H181" i="2" a="1"/>
  <c r="G181" i="2" a="1"/>
  <c r="F181" i="2" a="1"/>
  <c r="E181" i="2" a="1"/>
  <c r="D181" i="2" a="1"/>
  <c r="C181" i="2" a="1"/>
  <c r="B181" i="2" a="1"/>
  <c r="A181" i="2"/>
  <c r="AO180" i="2" a="1"/>
  <c r="L180" i="2" a="1"/>
  <c r="H180" i="2" a="1"/>
  <c r="G180" i="2" a="1"/>
  <c r="F180" i="2" a="1"/>
  <c r="E180" i="2" a="1"/>
  <c r="D180" i="2" a="1"/>
  <c r="C180" i="2" a="1"/>
  <c r="B180" i="2" a="1"/>
  <c r="A180" i="2"/>
  <c r="AO179" i="2" a="1"/>
  <c r="L179" i="2" a="1"/>
  <c r="H179" i="2" a="1"/>
  <c r="G179" i="2" a="1"/>
  <c r="F179" i="2" a="1"/>
  <c r="E179" i="2" a="1"/>
  <c r="D179" i="2" a="1"/>
  <c r="C179" i="2" a="1"/>
  <c r="B179" i="2" a="1"/>
  <c r="A179" i="2"/>
  <c r="AO178" i="2" a="1"/>
  <c r="L178" i="2" a="1"/>
  <c r="H178" i="2" a="1"/>
  <c r="G178" i="2" a="1"/>
  <c r="F178" i="2" a="1"/>
  <c r="E178" i="2" a="1"/>
  <c r="D178" i="2" a="1"/>
  <c r="C178" i="2" a="1"/>
  <c r="B178" i="2" a="1"/>
  <c r="A178" i="2"/>
  <c r="AO177" i="2" a="1"/>
  <c r="L177" i="2" a="1"/>
  <c r="H177" i="2" a="1"/>
  <c r="G177" i="2" a="1"/>
  <c r="F177" i="2" a="1"/>
  <c r="E177" i="2" a="1"/>
  <c r="D177" i="2" a="1"/>
  <c r="C177" i="2" a="1"/>
  <c r="B177" i="2" a="1"/>
  <c r="A177" i="2"/>
  <c r="AO176" i="2" a="1"/>
  <c r="L176" i="2" a="1"/>
  <c r="H176" i="2" a="1"/>
  <c r="G176" i="2" a="1"/>
  <c r="F176" i="2" a="1"/>
  <c r="E176" i="2" a="1"/>
  <c r="D176" i="2" a="1"/>
  <c r="C176" i="2" a="1"/>
  <c r="B176" i="2" a="1"/>
  <c r="A176" i="2"/>
  <c r="AO175" i="2" a="1"/>
  <c r="L175" i="2" a="1"/>
  <c r="H175" i="2" a="1"/>
  <c r="G175" i="2" a="1"/>
  <c r="F175" i="2" a="1"/>
  <c r="E175" i="2" a="1"/>
  <c r="D175" i="2" a="1"/>
  <c r="C175" i="2" a="1"/>
  <c r="B175" i="2" a="1"/>
  <c r="A175" i="2"/>
  <c r="AO174" i="2" a="1"/>
  <c r="L174" i="2" a="1"/>
  <c r="H174" i="2" a="1"/>
  <c r="G174" i="2" a="1"/>
  <c r="F174" i="2" a="1"/>
  <c r="E174" i="2" a="1"/>
  <c r="D174" i="2" a="1"/>
  <c r="C174" i="2" a="1"/>
  <c r="B174" i="2" a="1"/>
  <c r="A174" i="2"/>
  <c r="AO173" i="2" a="1"/>
  <c r="L173" i="2" a="1"/>
  <c r="H173" i="2" a="1"/>
  <c r="G173" i="2" a="1"/>
  <c r="F173" i="2" a="1"/>
  <c r="E173" i="2" a="1"/>
  <c r="D173" i="2" a="1"/>
  <c r="C173" i="2" a="1"/>
  <c r="B173" i="2" a="1"/>
  <c r="A173" i="2"/>
  <c r="AO172" i="2" a="1"/>
  <c r="L172" i="2" a="1"/>
  <c r="H172" i="2" a="1"/>
  <c r="G172" i="2" a="1"/>
  <c r="F172" i="2" a="1"/>
  <c r="E172" i="2" a="1"/>
  <c r="D172" i="2" a="1"/>
  <c r="C172" i="2" a="1"/>
  <c r="B172" i="2" a="1"/>
  <c r="A172" i="2"/>
  <c r="AO171" i="2" a="1"/>
  <c r="L171" i="2" a="1"/>
  <c r="H171" i="2" a="1"/>
  <c r="G171" i="2" a="1"/>
  <c r="F171" i="2" a="1"/>
  <c r="E171" i="2" a="1"/>
  <c r="D171" i="2" a="1"/>
  <c r="C171" i="2" a="1"/>
  <c r="B171" i="2" a="1"/>
  <c r="A171" i="2"/>
  <c r="AO170" i="2" a="1"/>
  <c r="L170" i="2" a="1"/>
  <c r="H170" i="2" a="1"/>
  <c r="G170" i="2" a="1"/>
  <c r="F170" i="2" a="1"/>
  <c r="E170" i="2" a="1"/>
  <c r="D170" i="2" a="1"/>
  <c r="C170" i="2" a="1"/>
  <c r="B170" i="2" a="1"/>
  <c r="A170" i="2"/>
  <c r="AO169" i="2" a="1"/>
  <c r="L169" i="2" a="1"/>
  <c r="H169" i="2" a="1"/>
  <c r="G169" i="2" a="1"/>
  <c r="F169" i="2" a="1"/>
  <c r="E169" i="2" a="1"/>
  <c r="D169" i="2" a="1"/>
  <c r="C169" i="2" a="1"/>
  <c r="B169" i="2" a="1"/>
  <c r="A169" i="2"/>
  <c r="AO168" i="2" a="1"/>
  <c r="L168" i="2" a="1"/>
  <c r="H168" i="2" a="1"/>
  <c r="G168" i="2" a="1"/>
  <c r="F168" i="2" a="1"/>
  <c r="E168" i="2" a="1"/>
  <c r="D168" i="2" a="1"/>
  <c r="C168" i="2" a="1"/>
  <c r="B168" i="2" a="1"/>
  <c r="A168" i="2"/>
  <c r="BM167" i="2"/>
  <c r="BL167" i="2"/>
  <c r="AO167" i="2" a="1"/>
  <c r="L167" i="2" a="1"/>
  <c r="H167" i="2" a="1"/>
  <c r="G167" i="2" a="1"/>
  <c r="F167" i="2" a="1"/>
  <c r="E167" i="2" a="1"/>
  <c r="D167" i="2" a="1"/>
  <c r="C167" i="2" a="1"/>
  <c r="B167" i="2" a="1"/>
  <c r="A167" i="2"/>
  <c r="BM166" i="2"/>
  <c r="BL166" i="2"/>
  <c r="AO166" i="2" a="1"/>
  <c r="L166" i="2" a="1"/>
  <c r="H166" i="2" a="1"/>
  <c r="G166" i="2" a="1"/>
  <c r="F166" i="2" a="1"/>
  <c r="E166" i="2" a="1"/>
  <c r="D166" i="2" a="1"/>
  <c r="C166" i="2" a="1"/>
  <c r="B166" i="2" a="1"/>
  <c r="A166" i="2"/>
  <c r="BM165" i="2"/>
  <c r="BL165" i="2"/>
  <c r="AO165" i="2" a="1"/>
  <c r="L165" i="2" a="1"/>
  <c r="H165" i="2" a="1"/>
  <c r="G165" i="2" a="1"/>
  <c r="F165" i="2" a="1"/>
  <c r="E165" i="2" a="1"/>
  <c r="D165" i="2" a="1"/>
  <c r="C165" i="2" a="1"/>
  <c r="B165" i="2" a="1"/>
  <c r="A165" i="2"/>
  <c r="BM164" i="2"/>
  <c r="BL164" i="2"/>
  <c r="AO164" i="2" a="1"/>
  <c r="L164" i="2" a="1"/>
  <c r="H164" i="2" a="1"/>
  <c r="G164" i="2" a="1"/>
  <c r="F164" i="2" a="1"/>
  <c r="E164" i="2" a="1"/>
  <c r="D164" i="2" a="1"/>
  <c r="C164" i="2" a="1"/>
  <c r="B164" i="2" a="1"/>
  <c r="A164" i="2"/>
  <c r="BM163" i="2"/>
  <c r="BL163" i="2"/>
  <c r="AO163" i="2" a="1"/>
  <c r="L163" i="2" a="1"/>
  <c r="H163" i="2" a="1"/>
  <c r="G163" i="2" a="1"/>
  <c r="F163" i="2" a="1"/>
  <c r="E163" i="2" a="1"/>
  <c r="D163" i="2" a="1"/>
  <c r="C163" i="2" a="1"/>
  <c r="B163" i="2" a="1"/>
  <c r="A163" i="2"/>
  <c r="BM162" i="2"/>
  <c r="BL162" i="2"/>
  <c r="AO162" i="2" a="1"/>
  <c r="L162" i="2" a="1"/>
  <c r="H162" i="2" a="1"/>
  <c r="G162" i="2" a="1"/>
  <c r="F162" i="2" a="1"/>
  <c r="E162" i="2" a="1"/>
  <c r="D162" i="2" a="1"/>
  <c r="C162" i="2" a="1"/>
  <c r="B162" i="2" a="1"/>
  <c r="A162" i="2"/>
  <c r="BM161" i="2"/>
  <c r="BL161" i="2"/>
  <c r="AO161" i="2" a="1"/>
  <c r="L161" i="2" a="1"/>
  <c r="H161" i="2" a="1"/>
  <c r="G161" i="2" a="1"/>
  <c r="F161" i="2" a="1"/>
  <c r="E161" i="2" a="1"/>
  <c r="D161" i="2" a="1"/>
  <c r="C161" i="2" a="1"/>
  <c r="B161" i="2" a="1"/>
  <c r="A161" i="2"/>
  <c r="BM160" i="2"/>
  <c r="BL160" i="2"/>
  <c r="AO160" i="2" a="1"/>
  <c r="L160" i="2" a="1"/>
  <c r="H160" i="2" a="1"/>
  <c r="G160" i="2" a="1"/>
  <c r="F160" i="2" a="1"/>
  <c r="E160" i="2" a="1"/>
  <c r="D160" i="2" a="1"/>
  <c r="C160" i="2" a="1"/>
  <c r="B160" i="2" a="1"/>
  <c r="A160" i="2"/>
  <c r="BM159" i="2"/>
  <c r="BL159" i="2"/>
  <c r="AO159" i="2" a="1"/>
  <c r="L159" i="2" a="1"/>
  <c r="H159" i="2" a="1"/>
  <c r="G159" i="2" a="1"/>
  <c r="F159" i="2" a="1"/>
  <c r="E159" i="2" a="1"/>
  <c r="D159" i="2" a="1"/>
  <c r="C159" i="2" a="1"/>
  <c r="B159" i="2" a="1"/>
  <c r="A159" i="2"/>
  <c r="BM158" i="2"/>
  <c r="BL158" i="2"/>
  <c r="AO158" i="2" a="1"/>
  <c r="L158" i="2" a="1"/>
  <c r="H158" i="2" a="1"/>
  <c r="G158" i="2" a="1"/>
  <c r="F158" i="2" a="1"/>
  <c r="E158" i="2" a="1"/>
  <c r="D158" i="2" a="1"/>
  <c r="C158" i="2" a="1"/>
  <c r="B158" i="2" a="1"/>
  <c r="A158" i="2"/>
  <c r="AO157" i="2" a="1"/>
  <c r="L157" i="2" a="1"/>
  <c r="H157" i="2" a="1"/>
  <c r="G157" i="2" a="1"/>
  <c r="F157" i="2" a="1"/>
  <c r="E157" i="2" a="1"/>
  <c r="D157" i="2" a="1"/>
  <c r="C157" i="2" a="1"/>
  <c r="B157" i="2" a="1"/>
  <c r="A157" i="2"/>
  <c r="AO156" i="2" a="1"/>
  <c r="L156" i="2" a="1"/>
  <c r="H156" i="2" a="1"/>
  <c r="G156" i="2" a="1"/>
  <c r="F156" i="2" a="1"/>
  <c r="E156" i="2" a="1"/>
  <c r="D156" i="2" a="1"/>
  <c r="C156" i="2" a="1"/>
  <c r="B156" i="2" a="1"/>
  <c r="A156" i="2"/>
  <c r="AO155" i="2" a="1"/>
  <c r="L155" i="2" a="1"/>
  <c r="H155" i="2" a="1"/>
  <c r="G155" i="2" a="1"/>
  <c r="F155" i="2" a="1"/>
  <c r="E155" i="2" a="1"/>
  <c r="D155" i="2" a="1"/>
  <c r="C155" i="2" a="1"/>
  <c r="B155" i="2" a="1"/>
  <c r="A155" i="2"/>
  <c r="AO154" i="2" a="1"/>
  <c r="L154" i="2" a="1"/>
  <c r="H154" i="2" a="1"/>
  <c r="G154" i="2" a="1"/>
  <c r="F154" i="2" a="1"/>
  <c r="E154" i="2" a="1"/>
  <c r="D154" i="2" a="1"/>
  <c r="C154" i="2" a="1"/>
  <c r="B154" i="2" a="1"/>
  <c r="A154" i="2"/>
  <c r="AO153" i="2" a="1"/>
  <c r="L153" i="2" a="1"/>
  <c r="H153" i="2" a="1"/>
  <c r="G153" i="2" a="1"/>
  <c r="F153" i="2" a="1"/>
  <c r="E153" i="2" a="1"/>
  <c r="D153" i="2" a="1"/>
  <c r="C153" i="2" a="1"/>
  <c r="B153" i="2" a="1"/>
  <c r="A153" i="2"/>
  <c r="AO152" i="2" a="1"/>
  <c r="L152" i="2" a="1"/>
  <c r="H152" i="2" a="1"/>
  <c r="G152" i="2" a="1"/>
  <c r="F152" i="2" a="1"/>
  <c r="E152" i="2" a="1"/>
  <c r="D152" i="2" a="1"/>
  <c r="C152" i="2" a="1"/>
  <c r="B152" i="2" a="1"/>
  <c r="A152" i="2"/>
  <c r="AO151" i="2" a="1"/>
  <c r="L151" i="2" a="1"/>
  <c r="H151" i="2" a="1"/>
  <c r="G151" i="2" a="1"/>
  <c r="F151" i="2" a="1"/>
  <c r="E151" i="2" a="1"/>
  <c r="D151" i="2" a="1"/>
  <c r="C151" i="2" a="1"/>
  <c r="B151" i="2" a="1"/>
  <c r="A151" i="2"/>
  <c r="AO150" i="2" a="1"/>
  <c r="L150" i="2" a="1"/>
  <c r="H150" i="2" a="1"/>
  <c r="G150" i="2" a="1"/>
  <c r="F150" i="2" a="1"/>
  <c r="E150" i="2" a="1"/>
  <c r="D150" i="2" a="1"/>
  <c r="C150" i="2" a="1"/>
  <c r="B150" i="2" a="1"/>
  <c r="A150" i="2"/>
  <c r="AO149" i="2" a="1"/>
  <c r="L149" i="2" a="1"/>
  <c r="H149" i="2" a="1"/>
  <c r="G149" i="2" a="1"/>
  <c r="F149" i="2" a="1"/>
  <c r="E149" i="2" a="1"/>
  <c r="D149" i="2" a="1"/>
  <c r="C149" i="2" a="1"/>
  <c r="B149" i="2" a="1"/>
  <c r="A149" i="2"/>
  <c r="AO148" i="2" a="1"/>
  <c r="L148" i="2" a="1"/>
  <c r="H148" i="2" a="1"/>
  <c r="G148" i="2" a="1"/>
  <c r="F148" i="2" a="1"/>
  <c r="E148" i="2" a="1"/>
  <c r="D148" i="2" a="1"/>
  <c r="C148" i="2" a="1"/>
  <c r="B148" i="2" a="1"/>
  <c r="A148" i="2"/>
  <c r="AO147" i="2" a="1"/>
  <c r="L147" i="2" a="1"/>
  <c r="H147" i="2" a="1"/>
  <c r="G147" i="2" a="1"/>
  <c r="F147" i="2" a="1"/>
  <c r="E147" i="2" a="1"/>
  <c r="D147" i="2" a="1"/>
  <c r="C147" i="2" a="1"/>
  <c r="B147" i="2" a="1"/>
  <c r="A147" i="2"/>
  <c r="AO146" i="2" a="1"/>
  <c r="L146" i="2" a="1"/>
  <c r="H146" i="2" a="1"/>
  <c r="G146" i="2" a="1"/>
  <c r="F146" i="2" a="1"/>
  <c r="E146" i="2" a="1"/>
  <c r="D146" i="2" a="1"/>
  <c r="C146" i="2" a="1"/>
  <c r="B146" i="2" a="1"/>
  <c r="A146" i="2"/>
  <c r="AO145" i="2" a="1"/>
  <c r="L145" i="2" a="1"/>
  <c r="H145" i="2" a="1"/>
  <c r="G145" i="2" a="1"/>
  <c r="F145" i="2" a="1"/>
  <c r="E145" i="2" a="1"/>
  <c r="D145" i="2" a="1"/>
  <c r="C145" i="2" a="1"/>
  <c r="B145" i="2" a="1"/>
  <c r="A145" i="2"/>
  <c r="AO144" i="2" a="1"/>
  <c r="L144" i="2" a="1"/>
  <c r="H144" i="2" a="1"/>
  <c r="G144" i="2" a="1"/>
  <c r="F144" i="2" a="1"/>
  <c r="E144" i="2" a="1"/>
  <c r="D144" i="2" a="1"/>
  <c r="C144" i="2" a="1"/>
  <c r="B144" i="2" a="1"/>
  <c r="A144" i="2"/>
  <c r="AO143" i="2" a="1"/>
  <c r="L143" i="2" a="1"/>
  <c r="H143" i="2" a="1"/>
  <c r="G143" i="2" a="1"/>
  <c r="F143" i="2" a="1"/>
  <c r="E143" i="2" a="1"/>
  <c r="D143" i="2" a="1"/>
  <c r="C143" i="2" a="1"/>
  <c r="B143" i="2" a="1"/>
  <c r="A143" i="2"/>
  <c r="AO142" i="2" a="1"/>
  <c r="L142" i="2" a="1"/>
  <c r="H142" i="2" a="1"/>
  <c r="G142" i="2" a="1"/>
  <c r="F142" i="2" a="1"/>
  <c r="E142" i="2" a="1"/>
  <c r="D142" i="2" a="1"/>
  <c r="C142" i="2" a="1"/>
  <c r="B142" i="2" a="1"/>
  <c r="A142" i="2"/>
  <c r="AO141" i="2" a="1"/>
  <c r="L141" i="2" a="1"/>
  <c r="H141" i="2" a="1"/>
  <c r="G141" i="2" a="1"/>
  <c r="F141" i="2" a="1"/>
  <c r="E141" i="2" a="1"/>
  <c r="D141" i="2" a="1"/>
  <c r="C141" i="2" a="1"/>
  <c r="B141" i="2" a="1"/>
  <c r="A141" i="2"/>
  <c r="AO140" i="2" a="1"/>
  <c r="L140" i="2" a="1"/>
  <c r="H140" i="2" a="1"/>
  <c r="G140" i="2" a="1"/>
  <c r="F140" i="2" a="1"/>
  <c r="E140" i="2" a="1"/>
  <c r="D140" i="2" a="1"/>
  <c r="C140" i="2" a="1"/>
  <c r="B140" i="2" a="1"/>
  <c r="A140" i="2"/>
  <c r="AO139" i="2" a="1"/>
  <c r="L139" i="2" a="1"/>
  <c r="H139" i="2" a="1"/>
  <c r="G139" i="2" a="1"/>
  <c r="F139" i="2" a="1"/>
  <c r="E139" i="2" a="1"/>
  <c r="D139" i="2" a="1"/>
  <c r="C139" i="2" a="1"/>
  <c r="B139" i="2" a="1"/>
  <c r="A139" i="2"/>
  <c r="AO138" i="2" a="1"/>
  <c r="L138" i="2" a="1"/>
  <c r="H138" i="2" a="1"/>
  <c r="G138" i="2" a="1"/>
  <c r="F138" i="2" a="1"/>
  <c r="E138" i="2" a="1"/>
  <c r="D138" i="2" a="1"/>
  <c r="C138" i="2" a="1"/>
  <c r="B138" i="2" a="1"/>
  <c r="A138" i="2"/>
  <c r="AO137" i="2" a="1"/>
  <c r="L137" i="2" a="1"/>
  <c r="H137" i="2" a="1"/>
  <c r="G137" i="2" a="1"/>
  <c r="F137" i="2" a="1"/>
  <c r="E137" i="2" a="1"/>
  <c r="D137" i="2" a="1"/>
  <c r="C137" i="2" a="1"/>
  <c r="B137" i="2" a="1"/>
  <c r="A137" i="2"/>
  <c r="AO136" i="2" a="1"/>
  <c r="L136" i="2" a="1"/>
  <c r="H136" i="2" a="1"/>
  <c r="G136" i="2" a="1"/>
  <c r="F136" i="2" a="1"/>
  <c r="E136" i="2" a="1"/>
  <c r="D136" i="2" a="1"/>
  <c r="C136" i="2" a="1"/>
  <c r="B136" i="2" a="1"/>
  <c r="A136" i="2"/>
  <c r="AO135" i="2" a="1"/>
  <c r="L135" i="2" a="1"/>
  <c r="H135" i="2" a="1"/>
  <c r="G135" i="2" a="1"/>
  <c r="F135" i="2" a="1"/>
  <c r="E135" i="2" a="1"/>
  <c r="D135" i="2" a="1"/>
  <c r="C135" i="2" a="1"/>
  <c r="B135" i="2" a="1"/>
  <c r="A135" i="2"/>
  <c r="AO134" i="2" a="1"/>
  <c r="L134" i="2" a="1"/>
  <c r="H134" i="2" a="1"/>
  <c r="G134" i="2" a="1"/>
  <c r="F134" i="2" a="1"/>
  <c r="E134" i="2" a="1"/>
  <c r="D134" i="2" a="1"/>
  <c r="C134" i="2" a="1"/>
  <c r="B134" i="2" a="1"/>
  <c r="A134" i="2"/>
  <c r="AO133" i="2" a="1"/>
  <c r="L133" i="2" a="1"/>
  <c r="H133" i="2" a="1"/>
  <c r="G133" i="2" a="1"/>
  <c r="F133" i="2" a="1"/>
  <c r="E133" i="2" a="1"/>
  <c r="D133" i="2" a="1"/>
  <c r="C133" i="2" a="1"/>
  <c r="B133" i="2" a="1"/>
  <c r="A133" i="2"/>
  <c r="AO132" i="2" a="1"/>
  <c r="L132" i="2" a="1"/>
  <c r="H132" i="2" a="1"/>
  <c r="G132" i="2" a="1"/>
  <c r="F132" i="2" a="1"/>
  <c r="E132" i="2" a="1"/>
  <c r="D132" i="2" a="1"/>
  <c r="C132" i="2" a="1"/>
  <c r="B132" i="2" a="1"/>
  <c r="A132" i="2"/>
  <c r="AO131" i="2" a="1"/>
  <c r="L131" i="2" a="1"/>
  <c r="H131" i="2" a="1"/>
  <c r="G131" i="2" a="1"/>
  <c r="F131" i="2" a="1"/>
  <c r="E131" i="2" a="1"/>
  <c r="D131" i="2" a="1"/>
  <c r="C131" i="2" a="1"/>
  <c r="B131" i="2" a="1"/>
  <c r="A131" i="2"/>
  <c r="AO130" i="2" a="1"/>
  <c r="L130" i="2" a="1"/>
  <c r="H130" i="2" a="1"/>
  <c r="G130" i="2" a="1"/>
  <c r="F130" i="2" a="1"/>
  <c r="E130" i="2" a="1"/>
  <c r="D130" i="2" a="1"/>
  <c r="C130" i="2" a="1"/>
  <c r="B130" i="2" a="1"/>
  <c r="A130" i="2"/>
  <c r="AO129" i="2" a="1"/>
  <c r="L129" i="2" a="1"/>
  <c r="H129" i="2" a="1"/>
  <c r="G129" i="2" a="1"/>
  <c r="F129" i="2" a="1"/>
  <c r="E129" i="2" a="1"/>
  <c r="D129" i="2" a="1"/>
  <c r="C129" i="2" a="1"/>
  <c r="B129" i="2" a="1"/>
  <c r="A129" i="2"/>
  <c r="AO128" i="2" a="1"/>
  <c r="L128" i="2" a="1"/>
  <c r="H128" i="2" a="1"/>
  <c r="G128" i="2" a="1"/>
  <c r="F128" i="2" a="1"/>
  <c r="E128" i="2" a="1"/>
  <c r="D128" i="2" a="1"/>
  <c r="C128" i="2" a="1"/>
  <c r="B128" i="2" a="1"/>
  <c r="A128" i="2"/>
  <c r="AO127" i="2" a="1"/>
  <c r="L127" i="2" a="1"/>
  <c r="H127" i="2" a="1"/>
  <c r="G127" i="2" a="1"/>
  <c r="F127" i="2" a="1"/>
  <c r="E127" i="2" a="1"/>
  <c r="D127" i="2" a="1"/>
  <c r="C127" i="2" a="1"/>
  <c r="B127" i="2" a="1"/>
  <c r="A127" i="2"/>
  <c r="AO126" i="2" a="1"/>
  <c r="L126" i="2" a="1"/>
  <c r="H126" i="2" a="1"/>
  <c r="G126" i="2" a="1"/>
  <c r="F126" i="2" a="1"/>
  <c r="E126" i="2" a="1"/>
  <c r="D126" i="2" a="1"/>
  <c r="C126" i="2" a="1"/>
  <c r="B126" i="2" a="1"/>
  <c r="A126" i="2"/>
  <c r="AO125" i="2" a="1"/>
  <c r="L125" i="2" a="1"/>
  <c r="H125" i="2" a="1"/>
  <c r="G125" i="2" a="1"/>
  <c r="F125" i="2" a="1"/>
  <c r="E125" i="2" a="1"/>
  <c r="D125" i="2" a="1"/>
  <c r="C125" i="2" a="1"/>
  <c r="B125" i="2" a="1"/>
  <c r="A125" i="2"/>
  <c r="AO124" i="2" a="1"/>
  <c r="L124" i="2" a="1"/>
  <c r="H124" i="2" a="1"/>
  <c r="G124" i="2" a="1"/>
  <c r="F124" i="2" a="1"/>
  <c r="E124" i="2" a="1"/>
  <c r="D124" i="2" a="1"/>
  <c r="C124" i="2" a="1"/>
  <c r="B124" i="2" a="1"/>
  <c r="A124" i="2"/>
  <c r="AO123" i="2" a="1"/>
  <c r="L123" i="2" a="1"/>
  <c r="H123" i="2" a="1"/>
  <c r="G123" i="2" a="1"/>
  <c r="F123" i="2" a="1"/>
  <c r="E123" i="2" a="1"/>
  <c r="D123" i="2" a="1"/>
  <c r="C123" i="2" a="1"/>
  <c r="B123" i="2" a="1"/>
  <c r="A123" i="2"/>
  <c r="AO122" i="2" a="1"/>
  <c r="L122" i="2" a="1"/>
  <c r="H122" i="2" a="1"/>
  <c r="G122" i="2" a="1"/>
  <c r="F122" i="2" a="1"/>
  <c r="E122" i="2" a="1"/>
  <c r="D122" i="2" a="1"/>
  <c r="C122" i="2" a="1"/>
  <c r="B122" i="2" a="1"/>
  <c r="A122" i="2"/>
  <c r="AO121" i="2" a="1"/>
  <c r="L121" i="2" a="1"/>
  <c r="H121" i="2" a="1"/>
  <c r="G121" i="2" a="1"/>
  <c r="F121" i="2" a="1"/>
  <c r="E121" i="2" a="1"/>
  <c r="D121" i="2" a="1"/>
  <c r="C121" i="2" a="1"/>
  <c r="B121" i="2" a="1"/>
  <c r="A121" i="2"/>
  <c r="AO120" i="2" a="1"/>
  <c r="L120" i="2" a="1"/>
  <c r="H120" i="2" a="1"/>
  <c r="G120" i="2" a="1"/>
  <c r="F120" i="2" a="1"/>
  <c r="E120" i="2" a="1"/>
  <c r="D120" i="2" a="1"/>
  <c r="C120" i="2" a="1"/>
  <c r="B120" i="2" a="1"/>
  <c r="A120" i="2"/>
  <c r="AO119" i="2" a="1"/>
  <c r="L119" i="2" a="1"/>
  <c r="H119" i="2" a="1"/>
  <c r="G119" i="2" a="1"/>
  <c r="F119" i="2" a="1"/>
  <c r="E119" i="2" a="1"/>
  <c r="D119" i="2" a="1"/>
  <c r="C119" i="2" a="1"/>
  <c r="B119" i="2" a="1"/>
  <c r="A119" i="2"/>
  <c r="AO118" i="2" a="1"/>
  <c r="L118" i="2" a="1"/>
  <c r="H118" i="2" a="1"/>
  <c r="G118" i="2" a="1"/>
  <c r="F118" i="2" a="1"/>
  <c r="E118" i="2" a="1"/>
  <c r="D118" i="2" a="1"/>
  <c r="C118" i="2" a="1"/>
  <c r="B118" i="2" a="1"/>
  <c r="A118" i="2"/>
  <c r="AO117" i="2" a="1"/>
  <c r="L117" i="2" a="1"/>
  <c r="H117" i="2" a="1"/>
  <c r="G117" i="2" a="1"/>
  <c r="F117" i="2" a="1"/>
  <c r="E117" i="2" a="1"/>
  <c r="D117" i="2" a="1"/>
  <c r="C117" i="2" a="1"/>
  <c r="B117" i="2" a="1"/>
  <c r="A117" i="2"/>
  <c r="AO116" i="2" a="1"/>
  <c r="L116" i="2" a="1"/>
  <c r="H116" i="2" a="1"/>
  <c r="G116" i="2" a="1"/>
  <c r="F116" i="2" a="1"/>
  <c r="E116" i="2" a="1"/>
  <c r="D116" i="2" a="1"/>
  <c r="C116" i="2" a="1"/>
  <c r="B116" i="2" a="1"/>
  <c r="A116" i="2"/>
  <c r="AO115" i="2" a="1"/>
  <c r="L115" i="2" a="1"/>
  <c r="H115" i="2" a="1"/>
  <c r="G115" i="2" a="1"/>
  <c r="F115" i="2" a="1"/>
  <c r="E115" i="2" a="1"/>
  <c r="D115" i="2" a="1"/>
  <c r="C115" i="2" a="1"/>
  <c r="B115" i="2" a="1"/>
  <c r="A115" i="2"/>
  <c r="AO114" i="2" a="1"/>
  <c r="L114" i="2" a="1"/>
  <c r="H114" i="2" a="1"/>
  <c r="G114" i="2" a="1"/>
  <c r="F114" i="2" a="1"/>
  <c r="E114" i="2" a="1"/>
  <c r="D114" i="2" a="1"/>
  <c r="C114" i="2" a="1"/>
  <c r="B114" i="2" a="1"/>
  <c r="A114" i="2"/>
  <c r="AO113" i="2" a="1"/>
  <c r="L113" i="2" a="1"/>
  <c r="H113" i="2" a="1"/>
  <c r="G113" i="2" a="1"/>
  <c r="F113" i="2" a="1"/>
  <c r="E113" i="2" a="1"/>
  <c r="D113" i="2" a="1"/>
  <c r="C113" i="2" a="1"/>
  <c r="B113" i="2" a="1"/>
  <c r="A113" i="2"/>
  <c r="AO112" i="2" a="1"/>
  <c r="L112" i="2" a="1"/>
  <c r="H112" i="2" a="1"/>
  <c r="G112" i="2" a="1"/>
  <c r="F112" i="2" a="1"/>
  <c r="E112" i="2" a="1"/>
  <c r="D112" i="2" a="1"/>
  <c r="C112" i="2" a="1"/>
  <c r="B112" i="2" a="1"/>
  <c r="A112" i="2"/>
  <c r="AO111" i="2" a="1"/>
  <c r="L111" i="2" a="1"/>
  <c r="H111" i="2" a="1"/>
  <c r="G111" i="2" a="1"/>
  <c r="F111" i="2" a="1"/>
  <c r="E111" i="2" a="1"/>
  <c r="D111" i="2" a="1"/>
  <c r="C111" i="2" a="1"/>
  <c r="B111" i="2" a="1"/>
  <c r="A111" i="2"/>
  <c r="AO110" i="2" a="1"/>
  <c r="L110" i="2" a="1"/>
  <c r="H110" i="2" a="1"/>
  <c r="G110" i="2" a="1"/>
  <c r="F110" i="2" a="1"/>
  <c r="E110" i="2" a="1"/>
  <c r="D110" i="2" a="1"/>
  <c r="C110" i="2" a="1"/>
  <c r="B110" i="2" a="1"/>
  <c r="A110" i="2"/>
  <c r="AO109" i="2" a="1"/>
  <c r="L109" i="2" a="1"/>
  <c r="H109" i="2" a="1"/>
  <c r="G109" i="2" a="1"/>
  <c r="F109" i="2" a="1"/>
  <c r="E109" i="2" a="1"/>
  <c r="D109" i="2" a="1"/>
  <c r="C109" i="2" a="1"/>
  <c r="B109" i="2" a="1"/>
  <c r="A109" i="2"/>
  <c r="AO108" i="2" a="1"/>
  <c r="L108" i="2" a="1"/>
  <c r="H108" i="2" a="1"/>
  <c r="G108" i="2" a="1"/>
  <c r="F108" i="2" a="1"/>
  <c r="E108" i="2" a="1"/>
  <c r="D108" i="2" a="1"/>
  <c r="C108" i="2" a="1"/>
  <c r="B108" i="2" a="1"/>
  <c r="A108" i="2"/>
  <c r="AO107" i="2" a="1"/>
  <c r="L107" i="2" a="1"/>
  <c r="H107" i="2" a="1"/>
  <c r="G107" i="2" a="1"/>
  <c r="F107" i="2" a="1"/>
  <c r="E107" i="2" a="1"/>
  <c r="D107" i="2" a="1"/>
  <c r="C107" i="2" a="1"/>
  <c r="B107" i="2" a="1"/>
  <c r="A107" i="2"/>
  <c r="AO106" i="2" a="1"/>
  <c r="L106" i="2" a="1"/>
  <c r="H106" i="2" a="1"/>
  <c r="G106" i="2" a="1"/>
  <c r="F106" i="2" a="1"/>
  <c r="E106" i="2" a="1"/>
  <c r="D106" i="2" a="1"/>
  <c r="C106" i="2" a="1"/>
  <c r="B106" i="2" a="1"/>
  <c r="A106" i="2"/>
  <c r="AO105" i="2" a="1"/>
  <c r="L105" i="2" a="1"/>
  <c r="H105" i="2" a="1"/>
  <c r="G105" i="2" a="1"/>
  <c r="F105" i="2" a="1"/>
  <c r="E105" i="2" a="1"/>
  <c r="D105" i="2" a="1"/>
  <c r="C105" i="2" a="1"/>
  <c r="B105" i="2" a="1"/>
  <c r="A105" i="2"/>
  <c r="AO104" i="2" a="1"/>
  <c r="L104" i="2" a="1"/>
  <c r="H104" i="2" a="1"/>
  <c r="G104" i="2" a="1"/>
  <c r="F104" i="2" a="1"/>
  <c r="E104" i="2" a="1"/>
  <c r="D104" i="2" a="1"/>
  <c r="C104" i="2" a="1"/>
  <c r="B104" i="2" a="1"/>
  <c r="A104" i="2"/>
  <c r="AO103" i="2" a="1"/>
  <c r="L103" i="2" a="1"/>
  <c r="H103" i="2" a="1"/>
  <c r="G103" i="2" a="1"/>
  <c r="F103" i="2" a="1"/>
  <c r="E103" i="2" a="1"/>
  <c r="D103" i="2" a="1"/>
  <c r="C103" i="2" a="1"/>
  <c r="B103" i="2" a="1"/>
  <c r="A103" i="2"/>
  <c r="AO102" i="2" a="1"/>
  <c r="L102" i="2" a="1"/>
  <c r="H102" i="2" a="1"/>
  <c r="G102" i="2" a="1"/>
  <c r="F102" i="2" a="1"/>
  <c r="E102" i="2" a="1"/>
  <c r="D102" i="2" a="1"/>
  <c r="C102" i="2" a="1"/>
  <c r="B102" i="2" a="1"/>
  <c r="A102" i="2"/>
  <c r="AO101" i="2" a="1"/>
  <c r="L101" i="2" a="1"/>
  <c r="H101" i="2" a="1"/>
  <c r="G101" i="2" a="1"/>
  <c r="F101" i="2" a="1"/>
  <c r="E101" i="2" a="1"/>
  <c r="D101" i="2" a="1"/>
  <c r="C101" i="2" a="1"/>
  <c r="B101" i="2" a="1"/>
  <c r="A101" i="2"/>
  <c r="AO100" i="2" a="1"/>
  <c r="L100" i="2" a="1"/>
  <c r="H100" i="2" a="1"/>
  <c r="G100" i="2" a="1"/>
  <c r="F100" i="2" a="1"/>
  <c r="E100" i="2" a="1"/>
  <c r="D100" i="2" a="1"/>
  <c r="C100" i="2" a="1"/>
  <c r="B100" i="2" a="1"/>
  <c r="A100" i="2"/>
  <c r="AO99" i="2" a="1"/>
  <c r="L99" i="2" a="1"/>
  <c r="H99" i="2" a="1"/>
  <c r="G99" i="2" a="1"/>
  <c r="F99" i="2" a="1"/>
  <c r="E99" i="2" a="1"/>
  <c r="D99" i="2" a="1"/>
  <c r="C99" i="2" a="1"/>
  <c r="B99" i="2" a="1"/>
  <c r="A99" i="2"/>
  <c r="AO98" i="2" a="1"/>
  <c r="L98" i="2" a="1"/>
  <c r="H98" i="2" a="1"/>
  <c r="G98" i="2" a="1"/>
  <c r="F98" i="2" a="1"/>
  <c r="E98" i="2" a="1"/>
  <c r="D98" i="2" a="1"/>
  <c r="C98" i="2" a="1"/>
  <c r="B98" i="2" a="1"/>
  <c r="A98" i="2"/>
  <c r="AO97" i="2" a="1"/>
  <c r="L97" i="2" a="1"/>
  <c r="H97" i="2" a="1"/>
  <c r="G97" i="2" a="1"/>
  <c r="F97" i="2" a="1"/>
  <c r="E97" i="2" a="1"/>
  <c r="D97" i="2" a="1"/>
  <c r="C97" i="2" a="1"/>
  <c r="B97" i="2" a="1"/>
  <c r="A97" i="2"/>
  <c r="AO96" i="2" a="1"/>
  <c r="L96" i="2" a="1"/>
  <c r="H96" i="2" a="1"/>
  <c r="G96" i="2" a="1"/>
  <c r="F96" i="2" a="1"/>
  <c r="E96" i="2" a="1"/>
  <c r="D96" i="2" a="1"/>
  <c r="C96" i="2" a="1"/>
  <c r="B96" i="2" a="1"/>
  <c r="A96" i="2"/>
  <c r="AO95" i="2" a="1"/>
  <c r="L95" i="2" a="1"/>
  <c r="H95" i="2" a="1"/>
  <c r="G95" i="2" a="1"/>
  <c r="F95" i="2" a="1"/>
  <c r="E95" i="2" a="1"/>
  <c r="D95" i="2" a="1"/>
  <c r="C95" i="2" a="1"/>
  <c r="B95" i="2" a="1"/>
  <c r="A95" i="2"/>
  <c r="AO94" i="2" a="1"/>
  <c r="L94" i="2" a="1"/>
  <c r="H94" i="2" a="1"/>
  <c r="G94" i="2" a="1"/>
  <c r="F94" i="2" a="1"/>
  <c r="E94" i="2" a="1"/>
  <c r="D94" i="2" a="1"/>
  <c r="C94" i="2" a="1"/>
  <c r="B94" i="2" a="1"/>
  <c r="A94" i="2"/>
  <c r="AO93" i="2" a="1"/>
  <c r="L93" i="2" a="1"/>
  <c r="H93" i="2" a="1"/>
  <c r="G93" i="2" a="1"/>
  <c r="F93" i="2" a="1"/>
  <c r="E93" i="2" a="1"/>
  <c r="D93" i="2" a="1"/>
  <c r="C93" i="2" a="1"/>
  <c r="B93" i="2" a="1"/>
  <c r="A93" i="2"/>
  <c r="AO92" i="2" a="1"/>
  <c r="L92" i="2" a="1"/>
  <c r="H92" i="2" a="1"/>
  <c r="G92" i="2" a="1"/>
  <c r="F92" i="2" a="1"/>
  <c r="E92" i="2" a="1"/>
  <c r="D92" i="2" a="1"/>
  <c r="C92" i="2" a="1"/>
  <c r="B92" i="2" a="1"/>
  <c r="A92" i="2"/>
  <c r="AO91" i="2" a="1"/>
  <c r="L91" i="2" a="1"/>
  <c r="H91" i="2" a="1"/>
  <c r="G91" i="2" a="1"/>
  <c r="F91" i="2" a="1"/>
  <c r="E91" i="2" a="1"/>
  <c r="D91" i="2" a="1"/>
  <c r="C91" i="2" a="1"/>
  <c r="B91" i="2" a="1"/>
  <c r="A91" i="2"/>
  <c r="AO90" i="2" a="1"/>
  <c r="L90" i="2" a="1"/>
  <c r="H90" i="2" a="1"/>
  <c r="G90" i="2" a="1"/>
  <c r="F90" i="2" a="1"/>
  <c r="E90" i="2" a="1"/>
  <c r="D90" i="2" a="1"/>
  <c r="C90" i="2" a="1"/>
  <c r="B90" i="2" a="1"/>
  <c r="A90" i="2"/>
  <c r="AO89" i="2" a="1"/>
  <c r="L89" i="2" a="1"/>
  <c r="H89" i="2" a="1"/>
  <c r="G89" i="2" a="1"/>
  <c r="F89" i="2" a="1"/>
  <c r="E89" i="2" a="1"/>
  <c r="D89" i="2" a="1"/>
  <c r="C89" i="2" a="1"/>
  <c r="B89" i="2" a="1"/>
  <c r="A89" i="2"/>
  <c r="AO88" i="2" a="1"/>
  <c r="L88" i="2" a="1"/>
  <c r="H88" i="2" a="1"/>
  <c r="G88" i="2" a="1"/>
  <c r="F88" i="2" a="1"/>
  <c r="E88" i="2" a="1"/>
  <c r="D88" i="2" a="1"/>
  <c r="C88" i="2" a="1"/>
  <c r="B88" i="2" a="1"/>
  <c r="A88" i="2"/>
  <c r="AO87" i="2" a="1"/>
  <c r="L87" i="2" a="1"/>
  <c r="H87" i="2" a="1"/>
  <c r="G87" i="2" a="1"/>
  <c r="F87" i="2" a="1"/>
  <c r="E87" i="2" a="1"/>
  <c r="D87" i="2" a="1"/>
  <c r="C87" i="2" a="1"/>
  <c r="B87" i="2" a="1"/>
  <c r="A87" i="2"/>
  <c r="AO86" i="2" a="1"/>
  <c r="L86" i="2" a="1"/>
  <c r="H86" i="2" a="1"/>
  <c r="G86" i="2" a="1"/>
  <c r="F86" i="2" a="1"/>
  <c r="E86" i="2" a="1"/>
  <c r="D86" i="2" a="1"/>
  <c r="C86" i="2" a="1"/>
  <c r="B86" i="2" a="1"/>
  <c r="A86" i="2"/>
  <c r="AO85" i="2" a="1"/>
  <c r="L85" i="2" a="1"/>
  <c r="H85" i="2" a="1"/>
  <c r="G85" i="2" a="1"/>
  <c r="F85" i="2" a="1"/>
  <c r="E85" i="2" a="1"/>
  <c r="D85" i="2" a="1"/>
  <c r="C85" i="2" a="1"/>
  <c r="B85" i="2" a="1"/>
  <c r="A85" i="2"/>
  <c r="AO84" i="2" a="1"/>
  <c r="L84" i="2" a="1"/>
  <c r="H84" i="2" a="1"/>
  <c r="G84" i="2" a="1"/>
  <c r="F84" i="2" a="1"/>
  <c r="E84" i="2" a="1"/>
  <c r="D84" i="2" a="1"/>
  <c r="C84" i="2" a="1"/>
  <c r="B84" i="2" a="1"/>
  <c r="A84" i="2"/>
  <c r="AO83" i="2" a="1"/>
  <c r="L83" i="2" a="1"/>
  <c r="H83" i="2" a="1"/>
  <c r="G83" i="2" a="1"/>
  <c r="F83" i="2" a="1"/>
  <c r="E83" i="2" a="1"/>
  <c r="D83" i="2" a="1"/>
  <c r="C83" i="2" a="1"/>
  <c r="B83" i="2" a="1"/>
  <c r="A83" i="2"/>
  <c r="AO82" i="2" a="1"/>
  <c r="L82" i="2" a="1"/>
  <c r="H82" i="2" a="1"/>
  <c r="G82" i="2" a="1"/>
  <c r="F82" i="2" a="1"/>
  <c r="E82" i="2" a="1"/>
  <c r="D82" i="2" a="1"/>
  <c r="C82" i="2" a="1"/>
  <c r="B82" i="2" a="1"/>
  <c r="A82" i="2"/>
  <c r="AO81" i="2" a="1"/>
  <c r="L81" i="2" a="1"/>
  <c r="H81" i="2" a="1"/>
  <c r="G81" i="2" a="1"/>
  <c r="F81" i="2" a="1"/>
  <c r="E81" i="2" a="1"/>
  <c r="D81" i="2" a="1"/>
  <c r="C81" i="2" a="1"/>
  <c r="B81" i="2" a="1"/>
  <c r="A81" i="2"/>
  <c r="AO80" i="2" a="1"/>
  <c r="L80" i="2" a="1"/>
  <c r="H80" i="2" a="1"/>
  <c r="G80" i="2" a="1"/>
  <c r="F80" i="2" a="1"/>
  <c r="E80" i="2" a="1"/>
  <c r="D80" i="2" a="1"/>
  <c r="C80" i="2" a="1"/>
  <c r="B80" i="2" a="1"/>
  <c r="A80" i="2"/>
  <c r="AO79" i="2" a="1"/>
  <c r="L79" i="2" a="1"/>
  <c r="H79" i="2" a="1"/>
  <c r="G79" i="2" a="1"/>
  <c r="F79" i="2" a="1"/>
  <c r="E79" i="2" a="1"/>
  <c r="D79" i="2" a="1"/>
  <c r="C79" i="2" a="1"/>
  <c r="B79" i="2" a="1"/>
  <c r="A79" i="2"/>
  <c r="AO78" i="2" a="1"/>
  <c r="L78" i="2" a="1"/>
  <c r="H78" i="2" a="1"/>
  <c r="G78" i="2" a="1"/>
  <c r="F78" i="2" a="1"/>
  <c r="E78" i="2" a="1"/>
  <c r="D78" i="2" a="1"/>
  <c r="C78" i="2" a="1"/>
  <c r="B78" i="2" a="1"/>
  <c r="A78" i="2"/>
  <c r="AO77" i="2" a="1"/>
  <c r="L77" i="2" a="1"/>
  <c r="H77" i="2" a="1"/>
  <c r="G77" i="2" a="1"/>
  <c r="F77" i="2" a="1"/>
  <c r="E77" i="2" a="1"/>
  <c r="D77" i="2" a="1"/>
  <c r="C77" i="2" a="1"/>
  <c r="B77" i="2" a="1"/>
  <c r="A77" i="2"/>
  <c r="AO76" i="2" a="1"/>
  <c r="L76" i="2" a="1"/>
  <c r="H76" i="2" a="1"/>
  <c r="G76" i="2" a="1"/>
  <c r="F76" i="2" a="1"/>
  <c r="E76" i="2" a="1"/>
  <c r="D76" i="2" a="1"/>
  <c r="C76" i="2" a="1"/>
  <c r="B76" i="2" a="1"/>
  <c r="A76" i="2"/>
  <c r="AO75" i="2" a="1"/>
  <c r="L75" i="2" a="1"/>
  <c r="H75" i="2" a="1"/>
  <c r="G75" i="2" a="1"/>
  <c r="F75" i="2" a="1"/>
  <c r="E75" i="2" a="1"/>
  <c r="D75" i="2" a="1"/>
  <c r="C75" i="2" a="1"/>
  <c r="B75" i="2" a="1"/>
  <c r="A75" i="2"/>
  <c r="AO74" i="2" a="1"/>
  <c r="L74" i="2" a="1"/>
  <c r="H74" i="2" a="1"/>
  <c r="G74" i="2" a="1"/>
  <c r="F74" i="2" a="1"/>
  <c r="E74" i="2" a="1"/>
  <c r="D74" i="2" a="1"/>
  <c r="C74" i="2" a="1"/>
  <c r="B74" i="2" a="1"/>
  <c r="A74" i="2"/>
  <c r="AO73" i="2" a="1"/>
  <c r="L73" i="2" a="1"/>
  <c r="H73" i="2" a="1"/>
  <c r="G73" i="2" a="1"/>
  <c r="F73" i="2" a="1"/>
  <c r="E73" i="2" a="1"/>
  <c r="D73" i="2" a="1"/>
  <c r="C73" i="2" a="1"/>
  <c r="B73" i="2" a="1"/>
  <c r="A73" i="2"/>
  <c r="AO72" i="2" a="1"/>
  <c r="L72" i="2" a="1"/>
  <c r="H72" i="2" a="1"/>
  <c r="G72" i="2" a="1"/>
  <c r="F72" i="2" a="1"/>
  <c r="E72" i="2" a="1"/>
  <c r="D72" i="2" a="1"/>
  <c r="C72" i="2" a="1"/>
  <c r="B72" i="2" a="1"/>
  <c r="A72" i="2"/>
  <c r="AO71" i="2" a="1"/>
  <c r="L71" i="2" a="1"/>
  <c r="H71" i="2" a="1"/>
  <c r="G71" i="2" a="1"/>
  <c r="F71" i="2" a="1"/>
  <c r="E71" i="2" a="1"/>
  <c r="D71" i="2" a="1"/>
  <c r="C71" i="2" a="1"/>
  <c r="B71" i="2" a="1"/>
  <c r="A71" i="2"/>
  <c r="AO70" i="2" a="1"/>
  <c r="L70" i="2" a="1"/>
  <c r="H70" i="2" a="1"/>
  <c r="G70" i="2" a="1"/>
  <c r="F70" i="2" a="1"/>
  <c r="E70" i="2" a="1"/>
  <c r="D70" i="2" a="1"/>
  <c r="C70" i="2" a="1"/>
  <c r="B70" i="2" a="1"/>
  <c r="A70" i="2"/>
  <c r="AO69" i="2" a="1"/>
  <c r="L69" i="2" a="1"/>
  <c r="H69" i="2" a="1"/>
  <c r="G69" i="2" a="1"/>
  <c r="F69" i="2" a="1"/>
  <c r="E69" i="2" a="1"/>
  <c r="D69" i="2" a="1"/>
  <c r="C69" i="2" a="1"/>
  <c r="B69" i="2" a="1"/>
  <c r="A69" i="2"/>
  <c r="AO68" i="2" a="1"/>
  <c r="L68" i="2" a="1"/>
  <c r="H68" i="2" a="1"/>
  <c r="G68" i="2" a="1"/>
  <c r="F68" i="2" a="1"/>
  <c r="E68" i="2" a="1"/>
  <c r="D68" i="2" a="1"/>
  <c r="C68" i="2" a="1"/>
  <c r="B68" i="2" a="1"/>
  <c r="A68" i="2"/>
  <c r="AO67" i="2" a="1"/>
  <c r="L67" i="2" a="1"/>
  <c r="H67" i="2" a="1"/>
  <c r="G67" i="2" a="1"/>
  <c r="F67" i="2" a="1"/>
  <c r="E67" i="2" a="1"/>
  <c r="D67" i="2" a="1"/>
  <c r="C67" i="2" a="1"/>
  <c r="B67" i="2" a="1"/>
  <c r="A67" i="2"/>
  <c r="AO66" i="2" a="1"/>
  <c r="L66" i="2" a="1"/>
  <c r="H66" i="2" a="1"/>
  <c r="G66" i="2" a="1"/>
  <c r="F66" i="2" a="1"/>
  <c r="E66" i="2" a="1"/>
  <c r="D66" i="2" a="1"/>
  <c r="C66" i="2" a="1"/>
  <c r="B66" i="2" a="1"/>
  <c r="A66" i="2"/>
  <c r="AO65" i="2" a="1"/>
  <c r="L65" i="2" a="1"/>
  <c r="H65" i="2" a="1"/>
  <c r="G65" i="2" a="1"/>
  <c r="F65" i="2" a="1"/>
  <c r="E65" i="2" a="1"/>
  <c r="D65" i="2" a="1"/>
  <c r="C65" i="2" a="1"/>
  <c r="B65" i="2" a="1"/>
  <c r="A65" i="2"/>
  <c r="AO64" i="2" a="1"/>
  <c r="L64" i="2" a="1"/>
  <c r="H64" i="2" a="1"/>
  <c r="G64" i="2" a="1"/>
  <c r="F64" i="2" a="1"/>
  <c r="E64" i="2" a="1"/>
  <c r="D64" i="2" a="1"/>
  <c r="C64" i="2" a="1"/>
  <c r="B64" i="2" a="1"/>
  <c r="A64" i="2"/>
  <c r="AO63" i="2" a="1"/>
  <c r="L63" i="2" a="1"/>
  <c r="H63" i="2" a="1"/>
  <c r="G63" i="2" a="1"/>
  <c r="F63" i="2" a="1"/>
  <c r="E63" i="2" a="1"/>
  <c r="D63" i="2" a="1"/>
  <c r="C63" i="2" a="1"/>
  <c r="B63" i="2" a="1"/>
  <c r="A63" i="2"/>
  <c r="AO62" i="2" a="1"/>
  <c r="L62" i="2" a="1"/>
  <c r="H62" i="2" a="1"/>
  <c r="G62" i="2" a="1"/>
  <c r="F62" i="2" a="1"/>
  <c r="E62" i="2" a="1"/>
  <c r="D62" i="2" a="1"/>
  <c r="C62" i="2" a="1"/>
  <c r="B62" i="2" a="1"/>
  <c r="A62" i="2"/>
  <c r="AO61" i="2" a="1"/>
  <c r="L61" i="2" a="1"/>
  <c r="H61" i="2" a="1"/>
  <c r="G61" i="2" a="1"/>
  <c r="F61" i="2" a="1"/>
  <c r="E61" i="2" a="1"/>
  <c r="D61" i="2" a="1"/>
  <c r="C61" i="2" a="1"/>
  <c r="B61" i="2" a="1"/>
  <c r="A61" i="2"/>
  <c r="AO60" i="2" a="1"/>
  <c r="L60" i="2" a="1"/>
  <c r="H60" i="2" a="1"/>
  <c r="G60" i="2" a="1"/>
  <c r="F60" i="2" a="1"/>
  <c r="E60" i="2" a="1"/>
  <c r="D60" i="2" a="1"/>
  <c r="C60" i="2" a="1"/>
  <c r="B60" i="2" a="1"/>
  <c r="A60" i="2"/>
  <c r="AO59" i="2" a="1"/>
  <c r="L59" i="2" a="1"/>
  <c r="H59" i="2" a="1"/>
  <c r="G59" i="2" a="1"/>
  <c r="F59" i="2" a="1"/>
  <c r="E59" i="2" a="1"/>
  <c r="D59" i="2" a="1"/>
  <c r="C59" i="2" a="1"/>
  <c r="B59" i="2" a="1"/>
  <c r="A59" i="2"/>
  <c r="AO58" i="2" a="1"/>
  <c r="L58" i="2" a="1"/>
  <c r="H58" i="2" a="1"/>
  <c r="G58" i="2" a="1"/>
  <c r="F58" i="2" a="1"/>
  <c r="E58" i="2" a="1"/>
  <c r="D58" i="2" a="1"/>
  <c r="C58" i="2" a="1"/>
  <c r="B58" i="2" a="1"/>
  <c r="A58" i="2"/>
  <c r="AO57" i="2" a="1"/>
  <c r="L57" i="2" a="1"/>
  <c r="H57" i="2" a="1"/>
  <c r="G57" i="2" a="1"/>
  <c r="F57" i="2" a="1"/>
  <c r="E57" i="2" a="1"/>
  <c r="D57" i="2" a="1"/>
  <c r="C57" i="2" a="1"/>
  <c r="B57" i="2" a="1"/>
  <c r="A57" i="2"/>
  <c r="AO56" i="2" a="1"/>
  <c r="L56" i="2" a="1"/>
  <c r="H56" i="2" a="1"/>
  <c r="G56" i="2" a="1"/>
  <c r="F56" i="2" a="1"/>
  <c r="E56" i="2" a="1"/>
  <c r="D56" i="2" a="1"/>
  <c r="C56" i="2" a="1"/>
  <c r="B56" i="2" a="1"/>
  <c r="A56" i="2"/>
  <c r="AO55" i="2" a="1"/>
  <c r="L55" i="2" a="1"/>
  <c r="H55" i="2" a="1"/>
  <c r="G55" i="2" a="1"/>
  <c r="F55" i="2" a="1"/>
  <c r="E55" i="2" a="1"/>
  <c r="D55" i="2" a="1"/>
  <c r="C55" i="2" a="1"/>
  <c r="B55" i="2" a="1"/>
  <c r="A55" i="2"/>
  <c r="AO54" i="2" a="1"/>
  <c r="L54" i="2" a="1"/>
  <c r="H54" i="2" a="1"/>
  <c r="G54" i="2" a="1"/>
  <c r="F54" i="2" a="1"/>
  <c r="E54" i="2" a="1"/>
  <c r="D54" i="2" a="1"/>
  <c r="C54" i="2" a="1"/>
  <c r="B54" i="2" a="1"/>
  <c r="A54" i="2"/>
  <c r="AO53" i="2" a="1"/>
  <c r="L53" i="2" a="1"/>
  <c r="H53" i="2" a="1"/>
  <c r="G53" i="2" a="1"/>
  <c r="F53" i="2" a="1"/>
  <c r="E53" i="2" a="1"/>
  <c r="D53" i="2" a="1"/>
  <c r="C53" i="2" a="1"/>
  <c r="B53" i="2" a="1"/>
  <c r="A53" i="2"/>
  <c r="AO52" i="2" a="1"/>
  <c r="L52" i="2" a="1"/>
  <c r="H52" i="2" a="1"/>
  <c r="G52" i="2" a="1"/>
  <c r="F52" i="2" a="1"/>
  <c r="E52" i="2" a="1"/>
  <c r="D52" i="2" a="1"/>
  <c r="C52" i="2" a="1"/>
  <c r="B52" i="2" a="1"/>
  <c r="A52" i="2"/>
  <c r="AO51" i="2" a="1"/>
  <c r="L51" i="2" a="1"/>
  <c r="H51" i="2" a="1"/>
  <c r="G51" i="2" a="1"/>
  <c r="F51" i="2" a="1"/>
  <c r="E51" i="2" a="1"/>
  <c r="D51" i="2" a="1"/>
  <c r="C51" i="2" a="1"/>
  <c r="B51" i="2" a="1"/>
  <c r="A51" i="2"/>
  <c r="AO50" i="2" a="1"/>
  <c r="L50" i="2" a="1"/>
  <c r="H50" i="2" a="1"/>
  <c r="G50" i="2" a="1"/>
  <c r="F50" i="2" a="1"/>
  <c r="E50" i="2" a="1"/>
  <c r="D50" i="2" a="1"/>
  <c r="C50" i="2" a="1"/>
  <c r="B50" i="2" a="1"/>
  <c r="A50" i="2"/>
  <c r="AO49" i="2" a="1"/>
  <c r="L49" i="2" a="1"/>
  <c r="H49" i="2" a="1"/>
  <c r="G49" i="2" a="1"/>
  <c r="F49" i="2" a="1"/>
  <c r="E49" i="2" a="1"/>
  <c r="D49" i="2" a="1"/>
  <c r="C49" i="2" a="1"/>
  <c r="B49" i="2" a="1"/>
  <c r="A49" i="2"/>
  <c r="AO48" i="2" a="1"/>
  <c r="L48" i="2" a="1"/>
  <c r="H48" i="2" a="1"/>
  <c r="G48" i="2" a="1"/>
  <c r="F48" i="2" a="1"/>
  <c r="E48" i="2" a="1"/>
  <c r="D48" i="2" a="1"/>
  <c r="C48" i="2" a="1"/>
  <c r="B48" i="2" a="1"/>
  <c r="A48" i="2"/>
  <c r="AO47" i="2" a="1"/>
  <c r="L47" i="2" a="1"/>
  <c r="H47" i="2" a="1"/>
  <c r="G47" i="2" a="1"/>
  <c r="F47" i="2" a="1"/>
  <c r="E47" i="2" a="1"/>
  <c r="D47" i="2" a="1"/>
  <c r="C47" i="2" a="1"/>
  <c r="B47" i="2" a="1"/>
  <c r="A47" i="2"/>
  <c r="AO46" i="2" a="1"/>
  <c r="L46" i="2" a="1"/>
  <c r="H46" i="2" a="1"/>
  <c r="G46" i="2" a="1"/>
  <c r="F46" i="2" a="1"/>
  <c r="E46" i="2" a="1"/>
  <c r="D46" i="2" a="1"/>
  <c r="C46" i="2" a="1"/>
  <c r="B46" i="2" a="1"/>
  <c r="A46" i="2"/>
  <c r="AO45" i="2" a="1"/>
  <c r="L45" i="2" a="1"/>
  <c r="H45" i="2" a="1"/>
  <c r="G45" i="2" a="1"/>
  <c r="F45" i="2" a="1"/>
  <c r="E45" i="2" a="1"/>
  <c r="D45" i="2" a="1"/>
  <c r="C45" i="2" a="1"/>
  <c r="B45" i="2" a="1"/>
  <c r="A45" i="2"/>
  <c r="AO44" i="2" a="1"/>
  <c r="L44" i="2" a="1"/>
  <c r="H44" i="2" a="1"/>
  <c r="G44" i="2" a="1"/>
  <c r="F44" i="2" a="1"/>
  <c r="E44" i="2" a="1"/>
  <c r="D44" i="2" a="1"/>
  <c r="C44" i="2" a="1"/>
  <c r="B44" i="2" a="1"/>
  <c r="A44" i="2"/>
  <c r="AO43" i="2" a="1"/>
  <c r="L43" i="2" a="1"/>
  <c r="H43" i="2" a="1"/>
  <c r="G43" i="2" a="1"/>
  <c r="F43" i="2" a="1"/>
  <c r="E43" i="2" a="1"/>
  <c r="D43" i="2" a="1"/>
  <c r="C43" i="2" a="1"/>
  <c r="B43" i="2" a="1"/>
  <c r="A43" i="2"/>
  <c r="AO42" i="2" a="1"/>
  <c r="L42" i="2" a="1"/>
  <c r="H42" i="2" a="1"/>
  <c r="G42" i="2" a="1"/>
  <c r="F42" i="2" a="1"/>
  <c r="E42" i="2" a="1"/>
  <c r="D42" i="2" a="1"/>
  <c r="C42" i="2" a="1"/>
  <c r="B42" i="2" a="1"/>
  <c r="A42" i="2"/>
  <c r="AO41" i="2" a="1"/>
  <c r="L41" i="2" a="1"/>
  <c r="H41" i="2" a="1"/>
  <c r="G41" i="2" a="1"/>
  <c r="F41" i="2" a="1"/>
  <c r="E41" i="2" a="1"/>
  <c r="D41" i="2" a="1"/>
  <c r="C41" i="2" a="1"/>
  <c r="B41" i="2" a="1"/>
  <c r="A41" i="2"/>
  <c r="AO40" i="2" a="1"/>
  <c r="L40" i="2" a="1"/>
  <c r="H40" i="2" a="1"/>
  <c r="G40" i="2" a="1"/>
  <c r="F40" i="2" a="1"/>
  <c r="E40" i="2" a="1"/>
  <c r="D40" i="2" a="1"/>
  <c r="C40" i="2" a="1"/>
  <c r="B40" i="2" a="1"/>
  <c r="A40" i="2"/>
  <c r="AO39" i="2" a="1"/>
  <c r="L39" i="2" a="1"/>
  <c r="H39" i="2" a="1"/>
  <c r="G39" i="2" a="1"/>
  <c r="F39" i="2" a="1"/>
  <c r="E39" i="2" a="1"/>
  <c r="D39" i="2" a="1"/>
  <c r="C39" i="2" a="1"/>
  <c r="B39" i="2" a="1"/>
  <c r="A39" i="2"/>
  <c r="AO38" i="2" a="1"/>
  <c r="L38" i="2" a="1"/>
  <c r="H38" i="2" a="1"/>
  <c r="G38" i="2" a="1"/>
  <c r="F38" i="2" a="1"/>
  <c r="E38" i="2" a="1"/>
  <c r="D38" i="2" a="1"/>
  <c r="C38" i="2" a="1"/>
  <c r="B38" i="2" a="1"/>
  <c r="A38" i="2"/>
  <c r="AO37" i="2" a="1"/>
  <c r="L37" i="2" a="1"/>
  <c r="H37" i="2" a="1"/>
  <c r="G37" i="2" a="1"/>
  <c r="F37" i="2" a="1"/>
  <c r="E37" i="2" a="1"/>
  <c r="D37" i="2" a="1"/>
  <c r="C37" i="2" a="1"/>
  <c r="B37" i="2" a="1"/>
  <c r="A37" i="2"/>
  <c r="AO36" i="2" a="1"/>
  <c r="L36" i="2" a="1"/>
  <c r="H36" i="2" a="1"/>
  <c r="G36" i="2" a="1"/>
  <c r="F36" i="2" a="1"/>
  <c r="E36" i="2" a="1"/>
  <c r="D36" i="2" a="1"/>
  <c r="C36" i="2" a="1"/>
  <c r="B36" i="2" a="1"/>
  <c r="A36" i="2"/>
  <c r="AO35" i="2" a="1"/>
  <c r="L35" i="2" a="1"/>
  <c r="H35" i="2" a="1"/>
  <c r="G35" i="2" a="1"/>
  <c r="F35" i="2" a="1"/>
  <c r="E35" i="2" a="1"/>
  <c r="D35" i="2" a="1"/>
  <c r="C35" i="2" a="1"/>
  <c r="B35" i="2" a="1"/>
  <c r="A35" i="2"/>
  <c r="AO34" i="2" a="1"/>
  <c r="L34" i="2" a="1"/>
  <c r="H34" i="2" a="1"/>
  <c r="G34" i="2" a="1"/>
  <c r="F34" i="2" a="1"/>
  <c r="E34" i="2" a="1"/>
  <c r="D34" i="2" a="1"/>
  <c r="C34" i="2" a="1"/>
  <c r="B34" i="2" a="1"/>
  <c r="A34" i="2"/>
  <c r="AO33" i="2" a="1"/>
  <c r="L33" i="2" a="1"/>
  <c r="H33" i="2" a="1"/>
  <c r="G33" i="2" a="1"/>
  <c r="F33" i="2" a="1"/>
  <c r="E33" i="2" a="1"/>
  <c r="D33" i="2" a="1"/>
  <c r="C33" i="2" a="1"/>
  <c r="B33" i="2" a="1"/>
  <c r="A33" i="2"/>
  <c r="AO32" i="2" a="1"/>
  <c r="L32" i="2" a="1"/>
  <c r="H32" i="2" a="1"/>
  <c r="G32" i="2" a="1"/>
  <c r="F32" i="2" a="1"/>
  <c r="E32" i="2" a="1"/>
  <c r="D32" i="2" a="1"/>
  <c r="C32" i="2" a="1"/>
  <c r="B32" i="2" a="1"/>
  <c r="A32" i="2"/>
  <c r="AO31" i="2" a="1"/>
  <c r="L31" i="2" a="1"/>
  <c r="H31" i="2" a="1"/>
  <c r="G31" i="2" a="1"/>
  <c r="F31" i="2" a="1"/>
  <c r="E31" i="2" a="1"/>
  <c r="D31" i="2" a="1"/>
  <c r="C31" i="2" a="1"/>
  <c r="B31" i="2" a="1"/>
  <c r="A31" i="2"/>
  <c r="AO30" i="2" a="1"/>
  <c r="L30" i="2" a="1"/>
  <c r="H30" i="2" a="1"/>
  <c r="G30" i="2" a="1"/>
  <c r="F30" i="2" a="1"/>
  <c r="E30" i="2" a="1"/>
  <c r="D30" i="2" a="1"/>
  <c r="C30" i="2" a="1"/>
  <c r="B30" i="2" a="1"/>
  <c r="A30" i="2"/>
  <c r="AO29" i="2" a="1"/>
  <c r="L29" i="2" a="1"/>
  <c r="H29" i="2" a="1"/>
  <c r="G29" i="2" a="1"/>
  <c r="F29" i="2" a="1"/>
  <c r="E29" i="2" a="1"/>
  <c r="D29" i="2" a="1"/>
  <c r="C29" i="2" a="1"/>
  <c r="B29" i="2" a="1"/>
  <c r="A29" i="2"/>
  <c r="AO28" i="2" a="1"/>
  <c r="L28" i="2" a="1"/>
  <c r="H28" i="2" a="1"/>
  <c r="G28" i="2" a="1"/>
  <c r="F28" i="2" a="1"/>
  <c r="E28" i="2" a="1"/>
  <c r="D28" i="2" a="1"/>
  <c r="C28" i="2" a="1"/>
  <c r="B28" i="2" a="1"/>
  <c r="A28" i="2"/>
  <c r="AO27" i="2" a="1"/>
  <c r="L27" i="2" a="1"/>
  <c r="H27" i="2" a="1"/>
  <c r="G27" i="2" a="1"/>
  <c r="F27" i="2" a="1"/>
  <c r="E27" i="2" a="1"/>
  <c r="D27" i="2" a="1"/>
  <c r="C27" i="2" a="1"/>
  <c r="B27" i="2" a="1"/>
  <c r="A27" i="2"/>
  <c r="AO26" i="2" a="1"/>
  <c r="L26" i="2" a="1"/>
  <c r="H26" i="2" a="1"/>
  <c r="G26" i="2" a="1"/>
  <c r="F26" i="2" a="1"/>
  <c r="E26" i="2" a="1"/>
  <c r="D26" i="2" a="1"/>
  <c r="C26" i="2" a="1"/>
  <c r="B26" i="2" a="1"/>
  <c r="A26" i="2"/>
  <c r="AO25" i="2" a="1"/>
  <c r="L25" i="2" a="1"/>
  <c r="H25" i="2" a="1"/>
  <c r="G25" i="2" a="1"/>
  <c r="F25" i="2" a="1"/>
  <c r="E25" i="2" a="1"/>
  <c r="D25" i="2" a="1"/>
  <c r="C25" i="2" a="1"/>
  <c r="B25" i="2" a="1"/>
  <c r="A25" i="2"/>
  <c r="AO24" i="2" a="1"/>
  <c r="L24" i="2" a="1"/>
  <c r="H24" i="2" a="1"/>
  <c r="G24" i="2" a="1"/>
  <c r="F24" i="2" a="1"/>
  <c r="E24" i="2" a="1"/>
  <c r="D24" i="2" a="1"/>
  <c r="C24" i="2" a="1"/>
  <c r="B24" i="2" a="1"/>
  <c r="A24" i="2"/>
  <c r="AO23" i="2" a="1"/>
  <c r="L23" i="2" a="1"/>
  <c r="H23" i="2" a="1"/>
  <c r="G23" i="2" a="1"/>
  <c r="F23" i="2" a="1"/>
  <c r="E23" i="2" a="1"/>
  <c r="D23" i="2" a="1"/>
  <c r="C23" i="2" a="1"/>
  <c r="B23" i="2" a="1"/>
  <c r="A23" i="2"/>
  <c r="AO22" i="2" a="1"/>
  <c r="L22" i="2" a="1"/>
  <c r="H22" i="2" a="1"/>
  <c r="G22" i="2" a="1"/>
  <c r="F22" i="2" a="1"/>
  <c r="E22" i="2" a="1"/>
  <c r="D22" i="2" a="1"/>
  <c r="C22" i="2" a="1"/>
  <c r="B22" i="2" a="1"/>
  <c r="A22" i="2"/>
  <c r="AO21" i="2" a="1"/>
  <c r="L21" i="2" a="1"/>
  <c r="H21" i="2" a="1"/>
  <c r="G21" i="2" a="1"/>
  <c r="F21" i="2" a="1"/>
  <c r="E21" i="2" a="1"/>
  <c r="D21" i="2" a="1"/>
  <c r="C21" i="2" a="1"/>
  <c r="B21" i="2" a="1"/>
  <c r="A21" i="2"/>
  <c r="AO20" i="2" a="1"/>
  <c r="L20" i="2" a="1"/>
  <c r="H20" i="2" a="1"/>
  <c r="G20" i="2" a="1"/>
  <c r="F20" i="2" a="1"/>
  <c r="E20" i="2" a="1"/>
  <c r="D20" i="2" a="1"/>
  <c r="C20" i="2" a="1"/>
  <c r="B20" i="2" a="1"/>
  <c r="A20" i="2"/>
  <c r="AO19" i="2" a="1"/>
  <c r="L19" i="2" a="1"/>
  <c r="H19" i="2" a="1"/>
  <c r="G19" i="2" a="1"/>
  <c r="F19" i="2" a="1"/>
  <c r="E19" i="2" a="1"/>
  <c r="D19" i="2" a="1"/>
  <c r="C19" i="2" a="1"/>
  <c r="B19" i="2" a="1"/>
  <c r="A19" i="2"/>
  <c r="AO18" i="2" a="1"/>
  <c r="L18" i="2" a="1"/>
  <c r="H18" i="2" a="1"/>
  <c r="G18" i="2" a="1"/>
  <c r="F18" i="2" a="1"/>
  <c r="E18" i="2" a="1"/>
  <c r="D18" i="2" a="1"/>
  <c r="C18" i="2" a="1"/>
  <c r="B18" i="2" a="1"/>
  <c r="A18" i="2"/>
  <c r="AO17" i="2" a="1"/>
  <c r="AO16" i="2" a="1"/>
  <c r="AO15" i="2" a="1"/>
  <c r="AO14" i="2" a="1"/>
  <c r="AO13" i="2" a="1"/>
  <c r="AO12" i="2" a="1"/>
  <c r="AO11" i="2" a="1"/>
  <c r="AO10" i="2" a="1"/>
  <c r="AO9" i="2" a="1"/>
  <c r="AO8" i="2" a="1"/>
  <c r="AO7" i="2" a="1"/>
  <c r="AO6" i="2" a="1"/>
  <c r="AO5" i="2" a="1"/>
  <c r="CA4" i="2"/>
  <c r="BX4" i="2"/>
  <c r="BT4" i="2"/>
  <c r="BQ4" i="2"/>
  <c r="AO4" i="2" a="1"/>
  <c r="CA3" i="2"/>
  <c r="BZ3" i="2"/>
  <c r="BX3" i="2"/>
  <c r="BT3" i="2"/>
  <c r="BQ3" i="2"/>
  <c r="AO3" i="2" a="1"/>
  <c r="CA2" i="2"/>
  <c r="BX2" i="2"/>
  <c r="BT2" i="2"/>
  <c r="BQ2" i="2"/>
  <c r="AO2" i="2" a="1"/>
  <c r="AP333" i="2" l="1"/>
  <c r="AP354" i="2"/>
  <c r="AP355" i="2"/>
  <c r="AP356" i="2"/>
  <c r="AP385" i="2"/>
  <c r="AP393" i="2"/>
  <c r="AP394" i="2"/>
  <c r="AP407" i="2"/>
  <c r="AP409" i="2"/>
  <c r="AP410" i="2"/>
  <c r="AM162" i="2"/>
  <c r="AM173" i="2"/>
  <c r="AM174" i="2"/>
  <c r="AM175" i="2"/>
  <c r="AM217" i="2"/>
  <c r="AM227" i="2"/>
  <c r="AM228" i="2"/>
  <c r="AM239" i="2"/>
  <c r="AM247" i="2"/>
  <c r="AM248" i="2"/>
  <c r="AM249" i="2"/>
  <c r="AM270" i="2"/>
  <c r="AM278" i="2"/>
  <c r="AM279" i="2"/>
  <c r="AP314" i="2"/>
  <c r="AP343" i="2"/>
  <c r="AP353" i="2"/>
  <c r="AP363" i="2"/>
  <c r="AP374" i="2"/>
  <c r="AP375" i="2"/>
  <c r="AP376" i="2"/>
  <c r="AP377" i="2"/>
  <c r="AP380" i="2"/>
  <c r="AP402" i="2"/>
  <c r="AP403" i="2"/>
  <c r="AM178" i="2"/>
  <c r="AM179" i="2"/>
  <c r="AM180" i="2"/>
  <c r="AM181" i="2"/>
  <c r="AM202" i="2"/>
  <c r="AM214" i="2"/>
  <c r="AM216" i="2"/>
  <c r="AM236" i="2"/>
  <c r="AM246" i="2"/>
  <c r="AM269" i="2"/>
  <c r="AM277" i="2"/>
  <c r="AM154" i="2"/>
  <c r="AM155" i="2"/>
  <c r="AM167" i="2"/>
  <c r="AM189" i="2"/>
  <c r="AM199" i="2"/>
  <c r="AM218" i="2"/>
  <c r="AM237" i="2"/>
  <c r="AM257" i="2"/>
  <c r="AM268" i="2"/>
  <c r="AM283" i="2"/>
  <c r="AP320" i="2"/>
  <c r="AP321" i="2"/>
  <c r="AP322" i="2"/>
  <c r="AP323" i="2"/>
  <c r="AP324" i="2"/>
  <c r="AP334" i="2"/>
  <c r="AP335" i="2"/>
  <c r="AP395" i="2"/>
  <c r="AP404" i="2"/>
  <c r="AP411" i="2"/>
  <c r="AP414" i="2"/>
  <c r="AP415" i="2"/>
  <c r="AM182" i="2"/>
  <c r="AM183" i="2"/>
  <c r="AM190" i="2"/>
  <c r="AM191" i="2"/>
  <c r="AM208" i="2"/>
  <c r="AM219" i="2"/>
  <c r="AM240" i="2"/>
  <c r="AM241" i="2"/>
  <c r="AM251" i="2"/>
  <c r="AM272" i="2"/>
  <c r="AM281" i="2"/>
  <c r="AP315" i="2"/>
  <c r="AP316" i="2"/>
  <c r="AP317" i="2"/>
  <c r="AP326" i="2"/>
  <c r="AP327" i="2"/>
  <c r="AP336" i="2"/>
  <c r="AP337" i="2"/>
  <c r="AP364" i="2"/>
  <c r="AP365" i="2"/>
  <c r="AP366" i="2"/>
  <c r="AP368" i="2"/>
  <c r="AP369" i="2"/>
  <c r="AP378" i="2"/>
  <c r="AP379" i="2"/>
  <c r="AP398" i="2"/>
  <c r="AP406" i="2"/>
  <c r="AP408" i="2"/>
  <c r="AP412" i="2"/>
  <c r="AM147" i="2"/>
  <c r="AM158" i="2"/>
  <c r="AM168" i="2"/>
  <c r="AM188" i="2"/>
  <c r="AM198" i="2"/>
  <c r="AM209" i="2"/>
  <c r="AM220" i="2"/>
  <c r="AM229" i="2"/>
  <c r="AM230" i="2"/>
  <c r="AM232" i="2"/>
  <c r="AM233" i="2"/>
  <c r="AM256" i="2"/>
  <c r="AM258" i="2"/>
  <c r="AM260" i="2"/>
  <c r="AM261" i="2"/>
  <c r="AM271" i="2"/>
  <c r="AM280" i="2"/>
  <c r="AP325" i="2"/>
  <c r="AP344" i="2"/>
  <c r="AP345" i="2"/>
  <c r="AP346" i="2"/>
  <c r="AP347" i="2"/>
  <c r="AP392" i="2"/>
  <c r="AP401" i="2"/>
  <c r="AM148" i="2"/>
  <c r="AM150" i="2"/>
  <c r="AM184" i="2"/>
  <c r="AM185" i="2"/>
  <c r="AM196" i="2"/>
  <c r="AM204" i="2"/>
  <c r="AM222" i="2"/>
  <c r="AM234" i="2"/>
  <c r="AM235" i="2"/>
  <c r="AM252" i="2"/>
  <c r="AM264" i="2"/>
  <c r="AM265" i="2"/>
  <c r="AP332" i="2"/>
  <c r="AP342" i="2"/>
  <c r="AP358" i="2"/>
  <c r="AP360" i="2"/>
  <c r="AP362" i="2"/>
  <c r="AP381" i="2"/>
  <c r="AP389" i="2"/>
  <c r="AP399" i="2"/>
  <c r="AP418" i="2"/>
  <c r="AM149" i="2"/>
  <c r="AM161" i="2"/>
  <c r="AM170" i="2"/>
  <c r="AM187" i="2"/>
  <c r="AM197" i="2"/>
  <c r="AM205" i="2"/>
  <c r="AM224" i="2"/>
  <c r="AM225" i="2"/>
  <c r="AM226" i="2"/>
  <c r="AM238" i="2"/>
  <c r="AM250" i="2"/>
  <c r="AM259" i="2"/>
  <c r="AP357" i="2"/>
  <c r="AP367" i="2"/>
  <c r="AP386" i="2"/>
  <c r="AP396" i="2"/>
  <c r="AP416" i="2"/>
  <c r="AM146" i="2"/>
  <c r="AM164" i="2"/>
  <c r="AM165" i="2"/>
  <c r="AM192" i="2"/>
  <c r="AM193" i="2"/>
  <c r="AM194" i="2"/>
  <c r="AM195" i="2"/>
  <c r="AM203" i="2"/>
  <c r="AM212" i="2"/>
  <c r="AM213" i="2"/>
  <c r="AM223" i="2"/>
  <c r="AM242" i="2"/>
  <c r="AM267" i="2"/>
  <c r="AM274" i="2"/>
  <c r="AM275" i="2"/>
  <c r="AM276" i="2"/>
  <c r="AP312" i="2"/>
  <c r="AP313" i="2"/>
  <c r="AP331" i="2"/>
  <c r="AP338" i="2"/>
  <c r="AP341" i="2"/>
  <c r="AP359" i="2"/>
  <c r="AP361" i="2"/>
  <c r="AP397" i="2"/>
  <c r="AP405" i="2"/>
  <c r="AM145" i="2"/>
  <c r="AM153" i="2"/>
  <c r="AM163" i="2"/>
  <c r="AM176" i="2"/>
  <c r="AM244" i="2"/>
  <c r="AM245" i="2"/>
  <c r="AM255" i="2"/>
  <c r="AM266" i="2"/>
  <c r="AP318" i="2"/>
  <c r="AP319" i="2"/>
  <c r="AP329" i="2"/>
  <c r="AP330" i="2"/>
  <c r="AP339" i="2"/>
  <c r="AP351" i="2"/>
  <c r="AP352" i="2"/>
  <c r="AP370" i="2"/>
  <c r="AP371" i="2"/>
  <c r="AP372" i="2"/>
  <c r="AP373" i="2"/>
  <c r="AP382" i="2"/>
  <c r="AP383" i="2"/>
  <c r="AP384" i="2"/>
  <c r="AP400" i="2"/>
  <c r="AP417" i="2"/>
  <c r="AM151" i="2"/>
  <c r="AM152" i="2"/>
  <c r="AM156" i="2"/>
  <c r="AM157" i="2"/>
  <c r="AM166" i="2"/>
  <c r="AM177" i="2"/>
  <c r="AM186" i="2"/>
  <c r="AM206" i="2"/>
  <c r="AM207" i="2"/>
  <c r="AM215" i="2"/>
  <c r="AM231" i="2"/>
  <c r="AM243" i="2"/>
  <c r="AM253" i="2"/>
  <c r="AM254" i="2"/>
  <c r="AM273" i="2"/>
  <c r="AM282" i="2"/>
  <c r="AP328" i="2"/>
  <c r="AP340" i="2"/>
  <c r="AP348" i="2"/>
  <c r="AP349" i="2"/>
  <c r="AP350" i="2"/>
  <c r="AP387" i="2"/>
  <c r="AP388" i="2"/>
  <c r="AP390" i="2"/>
  <c r="AP391" i="2"/>
  <c r="AP413" i="2"/>
  <c r="AM159" i="2"/>
  <c r="AM160" i="2"/>
  <c r="AM169" i="2"/>
  <c r="AM171" i="2"/>
  <c r="AM172" i="2"/>
  <c r="AM200" i="2"/>
  <c r="AM201" i="2"/>
  <c r="AM210" i="2"/>
  <c r="AM211" i="2"/>
  <c r="AM221" i="2"/>
  <c r="AM262" i="2"/>
  <c r="AM263" i="2"/>
  <c r="AR92" i="2"/>
  <c r="AR118" i="2"/>
  <c r="AR171" i="2"/>
  <c r="AR179" i="2"/>
  <c r="AR196" i="2"/>
  <c r="AR212" i="2"/>
  <c r="AR281" i="2"/>
  <c r="AR300" i="2"/>
  <c r="AQ443" i="2"/>
  <c r="AQ444" i="2"/>
  <c r="AQ446" i="2"/>
  <c r="AQ464" i="2"/>
  <c r="AQ493" i="2"/>
  <c r="AQ495" i="2"/>
  <c r="AQ496" i="2"/>
  <c r="AP33" i="2"/>
  <c r="AP35" i="2"/>
  <c r="AP55" i="2"/>
  <c r="AP56" i="2"/>
  <c r="AP65" i="2"/>
  <c r="AP75" i="2"/>
  <c r="AP86" i="2"/>
  <c r="AP96" i="2"/>
  <c r="AP166" i="2"/>
  <c r="AP237" i="2"/>
  <c r="AP256" i="2"/>
  <c r="AP257" i="2"/>
  <c r="AP258" i="2"/>
  <c r="AP269" i="2"/>
  <c r="AP276" i="2"/>
  <c r="AP277" i="2"/>
  <c r="AP279" i="2"/>
  <c r="AP306" i="2"/>
  <c r="AP307" i="2"/>
  <c r="AM61" i="2"/>
  <c r="AM62" i="2"/>
  <c r="AM74" i="2"/>
  <c r="AM75" i="2"/>
  <c r="AM107" i="2"/>
  <c r="AM117" i="2"/>
  <c r="AM142" i="2"/>
  <c r="AQ422" i="2"/>
  <c r="AQ442" i="2"/>
  <c r="AQ456" i="2"/>
  <c r="AQ457" i="2"/>
  <c r="AQ467" i="2"/>
  <c r="AQ468" i="2"/>
  <c r="AQ478" i="2"/>
  <c r="AQ489" i="2"/>
  <c r="AQ491" i="2"/>
  <c r="AQ492" i="2"/>
  <c r="AQ494" i="2"/>
  <c r="AP15" i="2"/>
  <c r="AP27" i="2"/>
  <c r="AP37" i="2"/>
  <c r="AP46" i="2"/>
  <c r="AP47" i="2"/>
  <c r="AP58" i="2"/>
  <c r="AP69" i="2"/>
  <c r="AP81" i="2"/>
  <c r="AP233" i="2"/>
  <c r="AP285" i="2"/>
  <c r="AP296" i="2"/>
  <c r="AP297" i="2"/>
  <c r="AM55" i="2"/>
  <c r="AM91" i="2"/>
  <c r="AM92" i="2"/>
  <c r="AM105" i="2"/>
  <c r="AM106" i="2"/>
  <c r="AP311" i="2"/>
  <c r="AM64" i="2"/>
  <c r="AM66" i="2"/>
  <c r="AM71" i="2"/>
  <c r="AM80" i="2"/>
  <c r="AM81" i="2"/>
  <c r="AM83" i="2"/>
  <c r="AM84" i="2"/>
  <c r="AM99" i="2"/>
  <c r="AM100" i="2"/>
  <c r="AM121" i="2"/>
  <c r="AM122" i="2"/>
  <c r="AM143" i="2"/>
  <c r="AP59" i="2"/>
  <c r="AP62" i="2"/>
  <c r="AP73" i="2"/>
  <c r="AP74" i="2"/>
  <c r="AP76" i="2"/>
  <c r="AP78" i="2"/>
  <c r="AP243" i="2"/>
  <c r="AP252" i="2"/>
  <c r="AP262" i="2"/>
  <c r="AP270" i="2"/>
  <c r="AP286" i="2"/>
  <c r="AP287" i="2"/>
  <c r="AP289" i="2"/>
  <c r="AP292" i="2"/>
  <c r="AM60" i="2"/>
  <c r="AM76" i="2"/>
  <c r="AM87" i="2"/>
  <c r="AM129" i="2"/>
  <c r="AM131" i="2"/>
  <c r="AM137" i="2"/>
  <c r="AM139" i="2"/>
  <c r="AR181" i="2"/>
  <c r="AR215" i="2"/>
  <c r="AR244" i="2"/>
  <c r="AR270" i="2"/>
  <c r="AR315" i="2"/>
  <c r="AR322" i="2"/>
  <c r="AQ435" i="2"/>
  <c r="AQ445" i="2"/>
  <c r="AQ471" i="2"/>
  <c r="AQ479" i="2"/>
  <c r="AQ480" i="2"/>
  <c r="AQ487" i="2"/>
  <c r="AQ497" i="2"/>
  <c r="AP10" i="2"/>
  <c r="AP12" i="2"/>
  <c r="AP31" i="2"/>
  <c r="AP41" i="2"/>
  <c r="AP51" i="2"/>
  <c r="AP71" i="2"/>
  <c r="AP72" i="2"/>
  <c r="AP163" i="2"/>
  <c r="AP234" i="2"/>
  <c r="AP235" i="2"/>
  <c r="AP236" i="2"/>
  <c r="AP259" i="2"/>
  <c r="AP271" i="2"/>
  <c r="AP302" i="2"/>
  <c r="AP303" i="2"/>
  <c r="AM68" i="2"/>
  <c r="AM113" i="2"/>
  <c r="AM116" i="2"/>
  <c r="AM135" i="2"/>
  <c r="AR200" i="2"/>
  <c r="AR250" i="2"/>
  <c r="AR252" i="2"/>
  <c r="AQ448" i="2"/>
  <c r="AQ469" i="2"/>
  <c r="AQ470" i="2"/>
  <c r="AQ490" i="2"/>
  <c r="AP13" i="2"/>
  <c r="AP38" i="2"/>
  <c r="AP48" i="2"/>
  <c r="AP57" i="2"/>
  <c r="AP68" i="2"/>
  <c r="AP79" i="2"/>
  <c r="AP80" i="2"/>
  <c r="AP91" i="2"/>
  <c r="AP102" i="2"/>
  <c r="AP141" i="2"/>
  <c r="AP232" i="2"/>
  <c r="AP264" i="2"/>
  <c r="AP295" i="2"/>
  <c r="AP308" i="2"/>
  <c r="AP309" i="2"/>
  <c r="AM23" i="2"/>
  <c r="AM69" i="2"/>
  <c r="AM103" i="2"/>
  <c r="AM123" i="2"/>
  <c r="AM125" i="2"/>
  <c r="AR103" i="2"/>
  <c r="AR246" i="2"/>
  <c r="AR248" i="2"/>
  <c r="AQ500" i="2"/>
  <c r="AP5" i="2"/>
  <c r="AP6" i="2"/>
  <c r="AP18" i="2"/>
  <c r="AP19" i="2"/>
  <c r="AP20" i="2"/>
  <c r="AP42" i="2"/>
  <c r="AP43" i="2"/>
  <c r="AP53" i="2"/>
  <c r="AP54" i="2"/>
  <c r="AP219" i="2"/>
  <c r="AP229" i="2"/>
  <c r="AP230" i="2"/>
  <c r="AP244" i="2"/>
  <c r="AP245" i="2"/>
  <c r="AP263" i="2"/>
  <c r="AP274" i="2"/>
  <c r="AP275" i="2"/>
  <c r="AP288" i="2"/>
  <c r="AM93" i="2"/>
  <c r="AM95" i="2"/>
  <c r="AM108" i="2"/>
  <c r="AM124" i="2"/>
  <c r="AM126" i="2"/>
  <c r="AM136" i="2"/>
  <c r="AR169" i="2"/>
  <c r="AR177" i="2"/>
  <c r="AQ438" i="2"/>
  <c r="AQ439" i="2"/>
  <c r="AQ449" i="2"/>
  <c r="AQ458" i="2"/>
  <c r="AQ476" i="2"/>
  <c r="AQ486" i="2"/>
  <c r="AP9" i="2"/>
  <c r="AP16" i="2"/>
  <c r="AP26" i="2"/>
  <c r="AP28" i="2"/>
  <c r="AP29" i="2"/>
  <c r="AP30" i="2"/>
  <c r="AP32" i="2"/>
  <c r="AP52" i="2"/>
  <c r="AP63" i="2"/>
  <c r="AP64" i="2"/>
  <c r="AP84" i="2"/>
  <c r="AP85" i="2"/>
  <c r="AP127" i="2"/>
  <c r="AP144" i="2"/>
  <c r="AP188" i="2"/>
  <c r="AP238" i="2"/>
  <c r="AP239" i="2"/>
  <c r="AP248" i="2"/>
  <c r="AP249" i="2"/>
  <c r="AP265" i="2"/>
  <c r="AP266" i="2"/>
  <c r="AP267" i="2"/>
  <c r="AP268" i="2"/>
  <c r="AP281" i="2"/>
  <c r="AP290" i="2"/>
  <c r="AP291" i="2"/>
  <c r="AP300" i="2"/>
  <c r="AP301" i="2"/>
  <c r="AN458" i="2"/>
  <c r="AM56" i="2"/>
  <c r="AM57" i="2"/>
  <c r="AM58" i="2"/>
  <c r="AM73" i="2"/>
  <c r="AM82" i="2"/>
  <c r="AM89" i="2"/>
  <c r="AM90" i="2"/>
  <c r="AM102" i="2"/>
  <c r="AM104" i="2"/>
  <c r="AM115" i="2"/>
  <c r="AM140" i="2"/>
  <c r="AM141" i="2"/>
  <c r="AR213" i="2"/>
  <c r="AR329" i="2"/>
  <c r="AQ417" i="2"/>
  <c r="AQ447" i="2"/>
  <c r="AQ455" i="2"/>
  <c r="AQ473" i="2"/>
  <c r="AQ474" i="2"/>
  <c r="AQ475" i="2"/>
  <c r="AQ483" i="2"/>
  <c r="AQ485" i="2"/>
  <c r="AP14" i="2"/>
  <c r="AP17" i="2"/>
  <c r="AP45" i="2"/>
  <c r="AP66" i="2"/>
  <c r="AP67" i="2"/>
  <c r="AP278" i="2"/>
  <c r="AP280" i="2"/>
  <c r="AP282" i="2"/>
  <c r="AP298" i="2"/>
  <c r="AP299" i="2"/>
  <c r="AM85" i="2"/>
  <c r="AM86" i="2"/>
  <c r="AM88" i="2"/>
  <c r="AM96" i="2"/>
  <c r="AM120" i="2"/>
  <c r="AM144" i="2"/>
  <c r="AR198" i="2"/>
  <c r="AR274" i="2"/>
  <c r="AR276" i="2"/>
  <c r="AQ423" i="2"/>
  <c r="AQ434" i="2"/>
  <c r="AQ441" i="2"/>
  <c r="AQ461" i="2"/>
  <c r="AQ482" i="2"/>
  <c r="AQ484" i="2"/>
  <c r="AP4" i="2"/>
  <c r="AP7" i="2"/>
  <c r="AP8" i="2"/>
  <c r="AP24" i="2"/>
  <c r="AP25" i="2"/>
  <c r="AP34" i="2"/>
  <c r="AP36" i="2"/>
  <c r="AP44" i="2"/>
  <c r="AP77" i="2"/>
  <c r="AP99" i="2"/>
  <c r="AP113" i="2"/>
  <c r="AP231" i="2"/>
  <c r="AP246" i="2"/>
  <c r="AP247" i="2"/>
  <c r="AP253" i="2"/>
  <c r="AP254" i="2"/>
  <c r="AP255" i="2"/>
  <c r="AP284" i="2"/>
  <c r="AP310" i="2"/>
  <c r="AM54" i="2"/>
  <c r="AM63" i="2"/>
  <c r="AM65" i="2"/>
  <c r="AM67" i="2"/>
  <c r="AM77" i="2"/>
  <c r="AM78" i="2"/>
  <c r="AM97" i="2"/>
  <c r="AM109" i="2"/>
  <c r="AM110" i="2"/>
  <c r="AM133" i="2"/>
  <c r="AM134" i="2"/>
  <c r="AQ437" i="2"/>
  <c r="AQ440" i="2"/>
  <c r="AQ451" i="2"/>
  <c r="AQ452" i="2"/>
  <c r="AQ453" i="2"/>
  <c r="AQ454" i="2"/>
  <c r="AQ463" i="2"/>
  <c r="AQ465" i="2"/>
  <c r="AQ466" i="2"/>
  <c r="AQ477" i="2"/>
  <c r="AQ488" i="2"/>
  <c r="AQ499" i="2"/>
  <c r="AP21" i="2"/>
  <c r="AP22" i="2"/>
  <c r="AP23" i="2"/>
  <c r="AP40" i="2"/>
  <c r="AP49" i="2"/>
  <c r="AP82" i="2"/>
  <c r="AP83" i="2"/>
  <c r="AP149" i="2"/>
  <c r="AP240" i="2"/>
  <c r="AP241" i="2"/>
  <c r="AP242" i="2"/>
  <c r="AP260" i="2"/>
  <c r="AP272" i="2"/>
  <c r="AP273" i="2"/>
  <c r="AP283" i="2"/>
  <c r="AP304" i="2"/>
  <c r="AP305" i="2"/>
  <c r="AM59" i="2"/>
  <c r="AM70" i="2"/>
  <c r="AM72" i="2"/>
  <c r="AM98" i="2"/>
  <c r="AM101" i="2"/>
  <c r="AM111" i="2"/>
  <c r="AM112" i="2"/>
  <c r="AM114" i="2"/>
  <c r="AM132" i="2"/>
  <c r="AQ436" i="2"/>
  <c r="AQ450" i="2"/>
  <c r="AQ459" i="2"/>
  <c r="AQ460" i="2"/>
  <c r="AQ462" i="2"/>
  <c r="AQ472" i="2"/>
  <c r="AQ481" i="2"/>
  <c r="AQ498" i="2"/>
  <c r="AP11" i="2"/>
  <c r="AP39" i="2"/>
  <c r="AP50" i="2"/>
  <c r="AP60" i="2"/>
  <c r="AP61" i="2"/>
  <c r="AP70" i="2"/>
  <c r="AP250" i="2"/>
  <c r="AP251" i="2"/>
  <c r="AP261" i="2"/>
  <c r="AP293" i="2"/>
  <c r="AP294" i="2"/>
  <c r="AM79" i="2"/>
  <c r="AM94" i="2"/>
  <c r="AM118" i="2"/>
  <c r="AM119" i="2"/>
  <c r="AM127" i="2"/>
  <c r="AM128" i="2"/>
  <c r="AM130" i="2"/>
  <c r="AM138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F358" i="2"/>
  <c r="BF359" i="2"/>
  <c r="BF360" i="2"/>
  <c r="BF361" i="2"/>
  <c r="BF362" i="2"/>
  <c r="BF363" i="2"/>
  <c r="BF364" i="2"/>
  <c r="BF365" i="2"/>
  <c r="BF366" i="2"/>
  <c r="BF367" i="2"/>
  <c r="BF368" i="2"/>
  <c r="BF369" i="2"/>
  <c r="BF370" i="2"/>
  <c r="BF371" i="2"/>
  <c r="BF372" i="2"/>
  <c r="BF373" i="2"/>
  <c r="BF374" i="2"/>
  <c r="BF375" i="2"/>
  <c r="BF376" i="2"/>
  <c r="BF377" i="2"/>
  <c r="BF378" i="2"/>
  <c r="BF379" i="2"/>
  <c r="BF380" i="2"/>
  <c r="BF381" i="2"/>
  <c r="BF382" i="2"/>
  <c r="BF383" i="2"/>
  <c r="BF384" i="2"/>
  <c r="BF385" i="2"/>
  <c r="BF386" i="2"/>
  <c r="BF387" i="2"/>
  <c r="BF388" i="2"/>
  <c r="BF389" i="2"/>
  <c r="BF390" i="2"/>
  <c r="BF391" i="2"/>
  <c r="BF392" i="2"/>
  <c r="BF393" i="2"/>
  <c r="BF394" i="2"/>
  <c r="BF395" i="2"/>
  <c r="BF396" i="2"/>
  <c r="BF397" i="2"/>
  <c r="BF398" i="2"/>
  <c r="BF399" i="2"/>
  <c r="BF400" i="2"/>
  <c r="BF401" i="2"/>
  <c r="BF402" i="2"/>
  <c r="BF403" i="2"/>
  <c r="BF404" i="2"/>
  <c r="BF405" i="2"/>
  <c r="BF406" i="2"/>
  <c r="BF407" i="2"/>
  <c r="BF408" i="2"/>
  <c r="BF409" i="2"/>
  <c r="BF410" i="2"/>
  <c r="BF411" i="2"/>
  <c r="BF412" i="2"/>
  <c r="BF413" i="2"/>
  <c r="BF414" i="2"/>
  <c r="BF415" i="2"/>
  <c r="BF416" i="2"/>
  <c r="BF417" i="2"/>
  <c r="BF418" i="2"/>
  <c r="BF419" i="2"/>
  <c r="BF420" i="2"/>
  <c r="BF421" i="2"/>
  <c r="BF422" i="2"/>
  <c r="BF423" i="2"/>
  <c r="BF424" i="2"/>
  <c r="BF425" i="2"/>
  <c r="BF426" i="2"/>
  <c r="BF427" i="2"/>
  <c r="BF428" i="2"/>
  <c r="BF429" i="2"/>
  <c r="BF430" i="2"/>
  <c r="BF431" i="2"/>
  <c r="BF432" i="2"/>
  <c r="BF433" i="2"/>
  <c r="BF434" i="2"/>
  <c r="BF435" i="2"/>
  <c r="BF436" i="2"/>
  <c r="BF437" i="2"/>
  <c r="BF438" i="2"/>
  <c r="BF439" i="2"/>
  <c r="BF440" i="2"/>
  <c r="BF441" i="2"/>
  <c r="BF442" i="2"/>
  <c r="BF443" i="2"/>
  <c r="BF444" i="2"/>
  <c r="BF445" i="2"/>
  <c r="BF446" i="2"/>
  <c r="BF447" i="2"/>
  <c r="BF448" i="2"/>
  <c r="BF449" i="2"/>
  <c r="BF450" i="2"/>
  <c r="BF451" i="2"/>
  <c r="BF452" i="2"/>
  <c r="BF453" i="2"/>
  <c r="BF454" i="2"/>
  <c r="BF455" i="2"/>
  <c r="BF456" i="2"/>
  <c r="BF457" i="2"/>
  <c r="BF458" i="2"/>
  <c r="BF459" i="2"/>
  <c r="BF460" i="2"/>
  <c r="BF461" i="2"/>
  <c r="BF462" i="2"/>
  <c r="BF463" i="2"/>
  <c r="BF464" i="2"/>
  <c r="BF465" i="2"/>
  <c r="BF466" i="2"/>
  <c r="BF467" i="2"/>
  <c r="BF468" i="2"/>
  <c r="BF469" i="2"/>
  <c r="BF470" i="2"/>
  <c r="BF471" i="2"/>
  <c r="BF472" i="2"/>
  <c r="BF473" i="2"/>
  <c r="BF474" i="2"/>
  <c r="BF475" i="2"/>
  <c r="BF476" i="2"/>
  <c r="BF477" i="2"/>
  <c r="BF478" i="2"/>
  <c r="BF479" i="2"/>
  <c r="BF480" i="2"/>
  <c r="BF481" i="2"/>
  <c r="BF482" i="2"/>
  <c r="BF483" i="2"/>
  <c r="BF484" i="2"/>
  <c r="BF485" i="2"/>
  <c r="BF486" i="2"/>
  <c r="BF487" i="2"/>
  <c r="BF488" i="2"/>
  <c r="BF489" i="2"/>
  <c r="BF490" i="2"/>
  <c r="BF491" i="2"/>
  <c r="BF492" i="2"/>
  <c r="BF493" i="2"/>
  <c r="BF494" i="2"/>
  <c r="BF495" i="2"/>
  <c r="BF496" i="2"/>
  <c r="BF497" i="2"/>
  <c r="BF498" i="2"/>
  <c r="BF499" i="2"/>
  <c r="BF500" i="2"/>
  <c r="AR467" i="2"/>
  <c r="AR469" i="2"/>
  <c r="AR473" i="2"/>
  <c r="AR475" i="2"/>
  <c r="AR478" i="2"/>
  <c r="AR480" i="2"/>
  <c r="AR482" i="2"/>
  <c r="AR484" i="2"/>
  <c r="AR486" i="2"/>
  <c r="AR488" i="2"/>
  <c r="AR491" i="2"/>
  <c r="AR493" i="2"/>
  <c r="AR495" i="2"/>
  <c r="AR497" i="2"/>
  <c r="AR499" i="2"/>
  <c r="AQ5" i="2"/>
  <c r="AQ7" i="2"/>
  <c r="AQ9" i="2"/>
  <c r="AQ11" i="2"/>
  <c r="AQ14" i="2"/>
  <c r="AQ16" i="2"/>
  <c r="AQ18" i="2"/>
  <c r="AQ21" i="2"/>
  <c r="AQ23" i="2"/>
  <c r="AQ25" i="2"/>
  <c r="AQ27" i="2"/>
  <c r="AQ29" i="2"/>
  <c r="AQ32" i="2"/>
  <c r="AQ34" i="2"/>
  <c r="AQ36" i="2"/>
  <c r="AQ38" i="2"/>
  <c r="AQ40" i="2"/>
  <c r="AQ42" i="2"/>
  <c r="AQ45" i="2"/>
  <c r="AQ48" i="2"/>
  <c r="AQ51" i="2"/>
  <c r="AQ71" i="2"/>
  <c r="AQ73" i="2"/>
  <c r="AQ75" i="2"/>
  <c r="AQ78" i="2"/>
  <c r="AQ80" i="2"/>
  <c r="AQ82" i="2"/>
  <c r="AQ84" i="2"/>
  <c r="AQ109" i="2"/>
  <c r="AQ112" i="2"/>
  <c r="AQ114" i="2"/>
  <c r="AQ116" i="2"/>
  <c r="AQ119" i="2"/>
  <c r="AQ121" i="2"/>
  <c r="AQ123" i="2"/>
  <c r="AQ126" i="2"/>
  <c r="AQ128" i="2"/>
  <c r="AQ130" i="2"/>
  <c r="AQ133" i="2"/>
  <c r="AQ135" i="2"/>
  <c r="AQ138" i="2"/>
  <c r="AQ140" i="2"/>
  <c r="AQ142" i="2"/>
  <c r="AQ145" i="2"/>
  <c r="AQ147" i="2"/>
  <c r="AQ149" i="2"/>
  <c r="AQ152" i="2"/>
  <c r="AQ154" i="2"/>
  <c r="AQ156" i="2"/>
  <c r="AQ158" i="2"/>
  <c r="AQ160" i="2"/>
  <c r="AQ163" i="2"/>
  <c r="AQ165" i="2"/>
  <c r="AQ167" i="2"/>
  <c r="AQ169" i="2"/>
  <c r="AQ171" i="2"/>
  <c r="AQ173" i="2"/>
  <c r="AQ176" i="2"/>
  <c r="AQ178" i="2"/>
  <c r="AQ181" i="2"/>
  <c r="AQ183" i="2"/>
  <c r="AQ185" i="2"/>
  <c r="AQ187" i="2"/>
  <c r="AQ190" i="2"/>
  <c r="AQ192" i="2"/>
  <c r="AQ194" i="2"/>
  <c r="AQ197" i="2"/>
  <c r="AQ199" i="2"/>
  <c r="AQ201" i="2"/>
  <c r="AQ203" i="2"/>
  <c r="AQ205" i="2"/>
  <c r="AQ207" i="2"/>
  <c r="AQ211" i="2"/>
  <c r="AQ213" i="2"/>
  <c r="AQ215" i="2"/>
  <c r="AQ217" i="2"/>
  <c r="AQ219" i="2"/>
  <c r="AQ221" i="2"/>
  <c r="AQ223" i="2"/>
  <c r="AQ225" i="2"/>
  <c r="AQ227" i="2"/>
  <c r="AQ230" i="2"/>
  <c r="AQ232" i="2"/>
  <c r="AQ234" i="2"/>
  <c r="AQ236" i="2"/>
  <c r="AQ239" i="2"/>
  <c r="AQ241" i="2"/>
  <c r="AQ243" i="2"/>
  <c r="AQ245" i="2"/>
  <c r="AQ247" i="2"/>
  <c r="AQ249" i="2"/>
  <c r="AQ251" i="2"/>
  <c r="AQ253" i="2"/>
  <c r="AQ256" i="2"/>
  <c r="AQ258" i="2"/>
  <c r="AQ261" i="2"/>
  <c r="AQ263" i="2"/>
  <c r="AQ288" i="2"/>
  <c r="AQ291" i="2"/>
  <c r="AQ293" i="2"/>
  <c r="AQ295" i="2"/>
  <c r="AQ297" i="2"/>
  <c r="AQ300" i="2"/>
  <c r="AQ302" i="2"/>
  <c r="AQ304" i="2"/>
  <c r="AQ307" i="2"/>
  <c r="AQ309" i="2"/>
  <c r="AQ311" i="2"/>
  <c r="AQ314" i="2"/>
  <c r="AQ316" i="2"/>
  <c r="AQ318" i="2"/>
  <c r="AQ320" i="2"/>
  <c r="AQ322" i="2"/>
  <c r="AQ324" i="2"/>
  <c r="AQ326" i="2"/>
  <c r="AQ329" i="2"/>
  <c r="AQ331" i="2"/>
  <c r="AQ333" i="2"/>
  <c r="AQ335" i="2"/>
  <c r="AQ337" i="2"/>
  <c r="AQ339" i="2"/>
  <c r="AQ341" i="2"/>
  <c r="AQ343" i="2"/>
  <c r="AQ345" i="2"/>
  <c r="AQ347" i="2"/>
  <c r="AQ349" i="2"/>
  <c r="AQ351" i="2"/>
  <c r="AQ353" i="2"/>
  <c r="AQ355" i="2"/>
  <c r="AQ358" i="2"/>
  <c r="AQ360" i="2"/>
  <c r="AQ362" i="2"/>
  <c r="AQ364" i="2"/>
  <c r="AQ366" i="2"/>
  <c r="AQ369" i="2"/>
  <c r="AQ371" i="2"/>
  <c r="AQ373" i="2"/>
  <c r="AQ375" i="2"/>
  <c r="AQ379" i="2"/>
  <c r="AQ382" i="2"/>
  <c r="AQ384" i="2"/>
  <c r="AQ386" i="2"/>
  <c r="AQ388" i="2"/>
  <c r="AQ391" i="2"/>
  <c r="AQ393" i="2"/>
  <c r="AQ395" i="2"/>
  <c r="AQ397" i="2"/>
  <c r="AQ401" i="2"/>
  <c r="AQ404" i="2"/>
  <c r="AQ406" i="2"/>
  <c r="AQ408" i="2"/>
  <c r="AQ410" i="2"/>
  <c r="AQ412" i="2"/>
  <c r="AQ414" i="2"/>
  <c r="AQ416" i="2"/>
  <c r="AQ419" i="2"/>
  <c r="AQ421" i="2"/>
  <c r="AQ425" i="2"/>
  <c r="AQ427" i="2"/>
  <c r="AQ429" i="2"/>
  <c r="AQ431" i="2"/>
  <c r="AN111" i="2"/>
  <c r="AN119" i="2"/>
  <c r="AN139" i="2"/>
  <c r="AN148" i="2"/>
  <c r="AN156" i="2"/>
  <c r="AN166" i="2"/>
  <c r="AN176" i="2"/>
  <c r="AN177" i="2"/>
  <c r="AN197" i="2"/>
  <c r="AN207" i="2"/>
  <c r="AN217" i="2"/>
  <c r="AN235" i="2"/>
  <c r="AL13" i="2"/>
  <c r="AL23" i="2"/>
  <c r="AL43" i="2"/>
  <c r="AR468" i="2"/>
  <c r="AR471" i="2"/>
  <c r="AR474" i="2"/>
  <c r="AR477" i="2"/>
  <c r="AR479" i="2"/>
  <c r="AR481" i="2"/>
  <c r="AR483" i="2"/>
  <c r="AR485" i="2"/>
  <c r="AR487" i="2"/>
  <c r="AR490" i="2"/>
  <c r="AR492" i="2"/>
  <c r="AR494" i="2"/>
  <c r="AR496" i="2"/>
  <c r="AR498" i="2"/>
  <c r="AQ4" i="2"/>
  <c r="AQ6" i="2"/>
  <c r="AQ8" i="2"/>
  <c r="AQ10" i="2"/>
  <c r="AQ13" i="2"/>
  <c r="AQ15" i="2"/>
  <c r="AQ17" i="2"/>
  <c r="AQ20" i="2"/>
  <c r="AQ22" i="2"/>
  <c r="AQ24" i="2"/>
  <c r="AQ26" i="2"/>
  <c r="AQ28" i="2"/>
  <c r="AQ31" i="2"/>
  <c r="AQ33" i="2"/>
  <c r="AQ35" i="2"/>
  <c r="AQ37" i="2"/>
  <c r="AQ39" i="2"/>
  <c r="AQ41" i="2"/>
  <c r="AQ44" i="2"/>
  <c r="AQ46" i="2"/>
  <c r="AQ50" i="2"/>
  <c r="AQ70" i="2"/>
  <c r="AQ72" i="2"/>
  <c r="AQ77" i="2"/>
  <c r="AQ79" i="2"/>
  <c r="AQ81" i="2"/>
  <c r="AQ83" i="2"/>
  <c r="AQ108" i="2"/>
  <c r="AQ111" i="2"/>
  <c r="AQ113" i="2"/>
  <c r="AQ115" i="2"/>
  <c r="AQ118" i="2"/>
  <c r="AQ120" i="2"/>
  <c r="AQ122" i="2"/>
  <c r="AQ125" i="2"/>
  <c r="AQ127" i="2"/>
  <c r="AQ129" i="2"/>
  <c r="AQ132" i="2"/>
  <c r="AQ134" i="2"/>
  <c r="AQ137" i="2"/>
  <c r="AQ139" i="2"/>
  <c r="AQ141" i="2"/>
  <c r="AQ144" i="2"/>
  <c r="AQ146" i="2"/>
  <c r="AQ148" i="2"/>
  <c r="AQ151" i="2"/>
  <c r="AQ153" i="2"/>
  <c r="AQ155" i="2"/>
  <c r="AQ157" i="2"/>
  <c r="AQ159" i="2"/>
  <c r="AQ162" i="2"/>
  <c r="AQ164" i="2"/>
  <c r="AQ166" i="2"/>
  <c r="AQ168" i="2"/>
  <c r="AQ170" i="2"/>
  <c r="AQ172" i="2"/>
  <c r="AQ175" i="2"/>
  <c r="AQ177" i="2"/>
  <c r="AQ180" i="2"/>
  <c r="AQ182" i="2"/>
  <c r="AQ184" i="2"/>
  <c r="AQ186" i="2"/>
  <c r="AQ189" i="2"/>
  <c r="AQ191" i="2"/>
  <c r="AQ193" i="2"/>
  <c r="AQ196" i="2"/>
  <c r="AQ198" i="2"/>
  <c r="AQ200" i="2"/>
  <c r="AQ202" i="2"/>
  <c r="AQ204" i="2"/>
  <c r="AQ206" i="2"/>
  <c r="AQ210" i="2"/>
  <c r="AQ212" i="2"/>
  <c r="AQ214" i="2"/>
  <c r="AQ216" i="2"/>
  <c r="AQ218" i="2"/>
  <c r="AQ220" i="2"/>
  <c r="AQ222" i="2"/>
  <c r="AQ224" i="2"/>
  <c r="AQ226" i="2"/>
  <c r="AQ229" i="2"/>
  <c r="AQ231" i="2"/>
  <c r="AQ233" i="2"/>
  <c r="AQ235" i="2"/>
  <c r="AQ238" i="2"/>
  <c r="AQ240" i="2"/>
  <c r="AQ242" i="2"/>
  <c r="AQ244" i="2"/>
  <c r="AQ246" i="2"/>
  <c r="AQ248" i="2"/>
  <c r="AQ250" i="2"/>
  <c r="AQ252" i="2"/>
  <c r="AQ255" i="2"/>
  <c r="AQ257" i="2"/>
  <c r="AQ260" i="2"/>
  <c r="AQ262" i="2"/>
  <c r="AQ287" i="2"/>
  <c r="AQ290" i="2"/>
  <c r="AQ292" i="2"/>
  <c r="AQ294" i="2"/>
  <c r="AQ296" i="2"/>
  <c r="AQ299" i="2"/>
  <c r="AQ301" i="2"/>
  <c r="AQ303" i="2"/>
  <c r="AQ306" i="2"/>
  <c r="AQ308" i="2"/>
  <c r="AQ310" i="2"/>
  <c r="AQ313" i="2"/>
  <c r="AQ315" i="2"/>
  <c r="AQ317" i="2"/>
  <c r="AQ319" i="2"/>
  <c r="AQ321" i="2"/>
  <c r="AQ323" i="2"/>
  <c r="AQ325" i="2"/>
  <c r="AQ328" i="2"/>
  <c r="AQ330" i="2"/>
  <c r="AQ332" i="2"/>
  <c r="AQ334" i="2"/>
  <c r="AQ336" i="2"/>
  <c r="AQ338" i="2"/>
  <c r="AQ340" i="2"/>
  <c r="AQ342" i="2"/>
  <c r="AQ344" i="2"/>
  <c r="AQ346" i="2"/>
  <c r="AQ348" i="2"/>
  <c r="AQ350" i="2"/>
  <c r="AQ352" i="2"/>
  <c r="AQ354" i="2"/>
  <c r="AQ357" i="2"/>
  <c r="AQ359" i="2"/>
  <c r="AQ361" i="2"/>
  <c r="AQ363" i="2"/>
  <c r="AQ365" i="2"/>
  <c r="AQ368" i="2"/>
  <c r="AQ370" i="2"/>
  <c r="AQ372" i="2"/>
  <c r="AQ374" i="2"/>
  <c r="AQ377" i="2"/>
  <c r="AQ381" i="2"/>
  <c r="AQ383" i="2"/>
  <c r="AQ385" i="2"/>
  <c r="AQ387" i="2"/>
  <c r="AQ390" i="2"/>
  <c r="AQ392" i="2"/>
  <c r="AQ394" i="2"/>
  <c r="AQ396" i="2"/>
  <c r="AQ399" i="2"/>
  <c r="AQ403" i="2"/>
  <c r="AQ405" i="2"/>
  <c r="AQ407" i="2"/>
  <c r="AQ409" i="2"/>
  <c r="AQ411" i="2"/>
  <c r="AQ413" i="2"/>
  <c r="AQ415" i="2"/>
  <c r="AQ418" i="2"/>
  <c r="AQ420" i="2"/>
  <c r="AQ424" i="2"/>
  <c r="AQ426" i="2"/>
  <c r="AQ428" i="2"/>
  <c r="AQ430" i="2"/>
  <c r="AQ432" i="2"/>
  <c r="AN108" i="2"/>
  <c r="AN109" i="2"/>
  <c r="AN110" i="2"/>
  <c r="AN112" i="2"/>
  <c r="AN118" i="2"/>
  <c r="AN124" i="2"/>
  <c r="AN125" i="2"/>
  <c r="AN130" i="2"/>
  <c r="AN131" i="2"/>
  <c r="AN141" i="2"/>
  <c r="AN142" i="2"/>
  <c r="AN150" i="2"/>
  <c r="AN151" i="2"/>
  <c r="AN152" i="2"/>
  <c r="AN181" i="2"/>
  <c r="AN182" i="2"/>
  <c r="AN190" i="2"/>
  <c r="AN211" i="2"/>
  <c r="AN212" i="2"/>
  <c r="AN220" i="2"/>
  <c r="AN221" i="2"/>
  <c r="AN222" i="2"/>
  <c r="AN238" i="2"/>
  <c r="AQ433" i="2"/>
  <c r="AN113" i="2"/>
  <c r="AN114" i="2"/>
  <c r="AN120" i="2"/>
  <c r="AN126" i="2"/>
  <c r="AN135" i="2"/>
  <c r="AN145" i="2"/>
  <c r="AN158" i="2"/>
  <c r="AN160" i="2"/>
  <c r="AN162" i="2"/>
  <c r="AN173" i="2"/>
  <c r="AN174" i="2"/>
  <c r="AN183" i="2"/>
  <c r="AN195" i="2"/>
  <c r="AN218" i="2"/>
  <c r="AN231" i="2"/>
  <c r="AN232" i="2"/>
  <c r="AN233" i="2"/>
  <c r="AL19" i="2"/>
  <c r="AL36" i="2"/>
  <c r="AL37" i="2"/>
  <c r="AN117" i="2"/>
  <c r="AN121" i="2"/>
  <c r="AN128" i="2"/>
  <c r="AN129" i="2"/>
  <c r="AN136" i="2"/>
  <c r="AN146" i="2"/>
  <c r="AN147" i="2"/>
  <c r="AN155" i="2"/>
  <c r="AN165" i="2"/>
  <c r="AN175" i="2"/>
  <c r="AN185" i="2"/>
  <c r="AN186" i="2"/>
  <c r="AN187" i="2"/>
  <c r="AN196" i="2"/>
  <c r="AN205" i="2"/>
  <c r="AN216" i="2"/>
  <c r="AN223" i="2"/>
  <c r="AN234" i="2"/>
  <c r="AL14" i="2"/>
  <c r="AL16" i="2"/>
  <c r="AL17" i="2"/>
  <c r="AL27" i="2"/>
  <c r="AN140" i="2"/>
  <c r="AN159" i="2"/>
  <c r="AN169" i="2"/>
  <c r="AN170" i="2"/>
  <c r="AN171" i="2"/>
  <c r="AN201" i="2"/>
  <c r="AN202" i="2"/>
  <c r="AN209" i="2"/>
  <c r="AN228" i="2"/>
  <c r="AN229" i="2"/>
  <c r="AN230" i="2"/>
  <c r="AL24" i="2"/>
  <c r="AL25" i="2"/>
  <c r="AL26" i="2"/>
  <c r="AL28" i="2"/>
  <c r="AL31" i="2"/>
  <c r="AN179" i="2"/>
  <c r="AN189" i="2"/>
  <c r="AN199" i="2"/>
  <c r="AN200" i="2"/>
  <c r="AN210" i="2"/>
  <c r="AL44" i="2"/>
  <c r="AN132" i="2"/>
  <c r="AN153" i="2"/>
  <c r="AN154" i="2"/>
  <c r="AN161" i="2"/>
  <c r="AN163" i="2"/>
  <c r="AN164" i="2"/>
  <c r="AN184" i="2"/>
  <c r="AN193" i="2"/>
  <c r="AN203" i="2"/>
  <c r="AN214" i="2"/>
  <c r="AN226" i="2"/>
  <c r="AN227" i="2"/>
  <c r="AN236" i="2"/>
  <c r="AL20" i="2"/>
  <c r="AL21" i="2"/>
  <c r="AL32" i="2"/>
  <c r="AL33" i="2"/>
  <c r="AL34" i="2"/>
  <c r="AL35" i="2"/>
  <c r="AL45" i="2"/>
  <c r="AL46" i="2"/>
  <c r="AN133" i="2"/>
  <c r="AN134" i="2"/>
  <c r="AN143" i="2"/>
  <c r="AN144" i="2"/>
  <c r="AN172" i="2"/>
  <c r="AN180" i="2"/>
  <c r="AN191" i="2"/>
  <c r="AN192" i="2"/>
  <c r="AN208" i="2"/>
  <c r="AN219" i="2"/>
  <c r="AN237" i="2"/>
  <c r="AL22" i="2"/>
  <c r="AL30" i="2"/>
  <c r="AL40" i="2"/>
  <c r="AL42" i="2"/>
  <c r="AN122" i="2"/>
  <c r="AN123" i="2"/>
  <c r="AN127" i="2"/>
  <c r="AN168" i="2"/>
  <c r="AN178" i="2"/>
  <c r="AN188" i="2"/>
  <c r="AN198" i="2"/>
  <c r="AN206" i="2"/>
  <c r="AN215" i="2"/>
  <c r="AL38" i="2"/>
  <c r="AL39" i="2"/>
  <c r="AN115" i="2"/>
  <c r="AN116" i="2"/>
  <c r="AN137" i="2"/>
  <c r="AN138" i="2"/>
  <c r="AN149" i="2"/>
  <c r="AN157" i="2"/>
  <c r="AN167" i="2"/>
  <c r="AN194" i="2"/>
  <c r="AN204" i="2"/>
  <c r="AN213" i="2"/>
  <c r="AN224" i="2"/>
  <c r="AN225" i="2"/>
  <c r="AL15" i="2"/>
  <c r="AL18" i="2"/>
  <c r="AL29" i="2"/>
  <c r="AL41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F355" i="2"/>
  <c r="BF356" i="2"/>
  <c r="BF357" i="2"/>
  <c r="AS3" i="2" a="1"/>
  <c r="AS3" i="2" s="1"/>
  <c r="AR29" i="2"/>
  <c r="AR31" i="2"/>
  <c r="AR33" i="2"/>
  <c r="AR37" i="2"/>
  <c r="AR39" i="2"/>
  <c r="AR41" i="2"/>
  <c r="AR43" i="2"/>
  <c r="AR45" i="2"/>
  <c r="AR48" i="2"/>
  <c r="AR51" i="2"/>
  <c r="AR53" i="2"/>
  <c r="AR55" i="2"/>
  <c r="AR57" i="2"/>
  <c r="AR59" i="2"/>
  <c r="AR61" i="2"/>
  <c r="AR63" i="2"/>
  <c r="AR65" i="2"/>
  <c r="AR67" i="2"/>
  <c r="AR69" i="2"/>
  <c r="AR72" i="2"/>
  <c r="AR76" i="2"/>
  <c r="AR80" i="2"/>
  <c r="AR82" i="2"/>
  <c r="AR84" i="2"/>
  <c r="AR86" i="2"/>
  <c r="AR88" i="2"/>
  <c r="AR90" i="2"/>
  <c r="AR93" i="2"/>
  <c r="AR95" i="2"/>
  <c r="AR97" i="2"/>
  <c r="AR99" i="2"/>
  <c r="AR101" i="2"/>
  <c r="AR104" i="2"/>
  <c r="AR106" i="2"/>
  <c r="AR108" i="2"/>
  <c r="AR110" i="2"/>
  <c r="AR112" i="2"/>
  <c r="AR114" i="2"/>
  <c r="AR116" i="2"/>
  <c r="AR119" i="2"/>
  <c r="AR121" i="2"/>
  <c r="AR123" i="2"/>
  <c r="AR125" i="2"/>
  <c r="AR127" i="2"/>
  <c r="AR129" i="2"/>
  <c r="AR131" i="2"/>
  <c r="AR133" i="2"/>
  <c r="AR135" i="2"/>
  <c r="AR137" i="2"/>
  <c r="AR139" i="2"/>
  <c r="AR141" i="2"/>
  <c r="AR143" i="2"/>
  <c r="AR145" i="2"/>
  <c r="AR147" i="2"/>
  <c r="AR149" i="2"/>
  <c r="AR151" i="2"/>
  <c r="AR153" i="2"/>
  <c r="AR155" i="2"/>
  <c r="AR157" i="2"/>
  <c r="AR159" i="2"/>
  <c r="AR161" i="2"/>
  <c r="AR163" i="2"/>
  <c r="AR165" i="2"/>
  <c r="AR167" i="2"/>
  <c r="AR170" i="2"/>
  <c r="AR173" i="2"/>
  <c r="AR175" i="2"/>
  <c r="AR178" i="2"/>
  <c r="AR182" i="2"/>
  <c r="AR184" i="2"/>
  <c r="AR186" i="2"/>
  <c r="AR188" i="2"/>
  <c r="AR190" i="2"/>
  <c r="AR192" i="2"/>
  <c r="AR194" i="2"/>
  <c r="AR197" i="2"/>
  <c r="AR201" i="2"/>
  <c r="AR203" i="2"/>
  <c r="AR205" i="2"/>
  <c r="AR207" i="2"/>
  <c r="AR209" i="2"/>
  <c r="AR211" i="2"/>
  <c r="AR216" i="2"/>
  <c r="AR218" i="2"/>
  <c r="AR220" i="2"/>
  <c r="AR222" i="2"/>
  <c r="AR224" i="2"/>
  <c r="AR226" i="2"/>
  <c r="AR228" i="2"/>
  <c r="AR230" i="2"/>
  <c r="AR232" i="2"/>
  <c r="AR234" i="2"/>
  <c r="AR236" i="2"/>
  <c r="AR238" i="2"/>
  <c r="AR240" i="2"/>
  <c r="AR242" i="2"/>
  <c r="AR245" i="2"/>
  <c r="AR249" i="2"/>
  <c r="AR253" i="2"/>
  <c r="AR255" i="2"/>
  <c r="AR257" i="2"/>
  <c r="AR258" i="2"/>
  <c r="AR260" i="2"/>
  <c r="AR262" i="2"/>
  <c r="AR264" i="2"/>
  <c r="AR266" i="2"/>
  <c r="AR268" i="2"/>
  <c r="AR271" i="2"/>
  <c r="AR273" i="2"/>
  <c r="AR277" i="2"/>
  <c r="AR279" i="2"/>
  <c r="AR282" i="2"/>
  <c r="AR284" i="2"/>
  <c r="AR286" i="2"/>
  <c r="AR288" i="2"/>
  <c r="AR290" i="2"/>
  <c r="AR292" i="2"/>
  <c r="AR294" i="2"/>
  <c r="AR296" i="2"/>
  <c r="AR298" i="2"/>
  <c r="AR301" i="2"/>
  <c r="AR303" i="2"/>
  <c r="AR305" i="2"/>
  <c r="AR307" i="2"/>
  <c r="AR309" i="2"/>
  <c r="AR311" i="2"/>
  <c r="AR313" i="2"/>
  <c r="AR316" i="2"/>
  <c r="AR318" i="2"/>
  <c r="AR320" i="2"/>
  <c r="AR323" i="2"/>
  <c r="AR325" i="2"/>
  <c r="AR327" i="2"/>
  <c r="AR330" i="2"/>
  <c r="AR332" i="2"/>
  <c r="AR334" i="2"/>
  <c r="AR336" i="2"/>
  <c r="AR338" i="2"/>
  <c r="AR340" i="2"/>
  <c r="AR342" i="2"/>
  <c r="AR344" i="2"/>
  <c r="AR346" i="2"/>
  <c r="AR348" i="2"/>
  <c r="AR350" i="2"/>
  <c r="AR352" i="2"/>
  <c r="AR354" i="2"/>
  <c r="AR356" i="2"/>
  <c r="AR358" i="2"/>
  <c r="AR360" i="2"/>
  <c r="AR363" i="2"/>
  <c r="AR365" i="2"/>
  <c r="AR367" i="2"/>
  <c r="AR369" i="2"/>
  <c r="AR372" i="2"/>
  <c r="AR374" i="2"/>
  <c r="AR376" i="2"/>
  <c r="AR379" i="2"/>
  <c r="AR381" i="2"/>
  <c r="AR383" i="2"/>
  <c r="AR385" i="2"/>
  <c r="AR387" i="2"/>
  <c r="AR390" i="2"/>
  <c r="AR392" i="2"/>
  <c r="AR394" i="2"/>
  <c r="AR396" i="2"/>
  <c r="AR399" i="2"/>
  <c r="AR401" i="2"/>
  <c r="AP89" i="2"/>
  <c r="AP92" i="2"/>
  <c r="AP94" i="2"/>
  <c r="AP104" i="2"/>
  <c r="AP107" i="2"/>
  <c r="AP110" i="2"/>
  <c r="AP115" i="2"/>
  <c r="AP118" i="2"/>
  <c r="AP121" i="2"/>
  <c r="AP124" i="2"/>
  <c r="AP129" i="2"/>
  <c r="AP132" i="2"/>
  <c r="AP135" i="2"/>
  <c r="AP138" i="2"/>
  <c r="AP146" i="2"/>
  <c r="AP151" i="2"/>
  <c r="AP154" i="2"/>
  <c r="AP157" i="2"/>
  <c r="AP160" i="2"/>
  <c r="AP168" i="2"/>
  <c r="AP171" i="2"/>
  <c r="AP174" i="2"/>
  <c r="AP176" i="2"/>
  <c r="AP179" i="2"/>
  <c r="AP182" i="2"/>
  <c r="AP185" i="2"/>
  <c r="AP190" i="2"/>
  <c r="AP193" i="2"/>
  <c r="AP196" i="2"/>
  <c r="AP200" i="2"/>
  <c r="AP201" i="2"/>
  <c r="AP204" i="2"/>
  <c r="AP207" i="2"/>
  <c r="AP210" i="2"/>
  <c r="AP213" i="2"/>
  <c r="AP216" i="2"/>
  <c r="AP221" i="2"/>
  <c r="AP224" i="2"/>
  <c r="AP227" i="2"/>
  <c r="AN423" i="2"/>
  <c r="AN427" i="2"/>
  <c r="AN431" i="2"/>
  <c r="AN435" i="2"/>
  <c r="AN441" i="2"/>
  <c r="AN442" i="2"/>
  <c r="AN446" i="2"/>
  <c r="AN450" i="2"/>
  <c r="AN454" i="2"/>
  <c r="AN455" i="2"/>
  <c r="AN460" i="2"/>
  <c r="AN468" i="2"/>
  <c r="AN469" i="2"/>
  <c r="AN474" i="2"/>
  <c r="AN475" i="2"/>
  <c r="AN485" i="2"/>
  <c r="AN486" i="2"/>
  <c r="AN492" i="2"/>
  <c r="AN496" i="2"/>
  <c r="AN500" i="2"/>
  <c r="AM7" i="2"/>
  <c r="AM11" i="2"/>
  <c r="AM15" i="2"/>
  <c r="AM26" i="2"/>
  <c r="AM30" i="2"/>
  <c r="AM34" i="2"/>
  <c r="AM36" i="2"/>
  <c r="AM37" i="2"/>
  <c r="AM41" i="2"/>
  <c r="AM44" i="2"/>
  <c r="AM47" i="2"/>
  <c r="AM52" i="2"/>
  <c r="AS2" i="2" a="1"/>
  <c r="AS2" i="2" s="1"/>
  <c r="AR3" i="2" a="1"/>
  <c r="AR3" i="2" s="1"/>
  <c r="AR30" i="2"/>
  <c r="AR32" i="2"/>
  <c r="AR35" i="2"/>
  <c r="AR38" i="2"/>
  <c r="AR40" i="2"/>
  <c r="AR42" i="2"/>
  <c r="AR44" i="2"/>
  <c r="AR46" i="2"/>
  <c r="AR50" i="2"/>
  <c r="AR52" i="2"/>
  <c r="AR54" i="2"/>
  <c r="AR56" i="2"/>
  <c r="AR58" i="2"/>
  <c r="AR60" i="2"/>
  <c r="AR62" i="2"/>
  <c r="AR64" i="2"/>
  <c r="AR66" i="2"/>
  <c r="AR68" i="2"/>
  <c r="AR70" i="2"/>
  <c r="AR74" i="2"/>
  <c r="AR78" i="2"/>
  <c r="AR81" i="2"/>
  <c r="AR83" i="2"/>
  <c r="AR85" i="2"/>
  <c r="AR87" i="2"/>
  <c r="AR89" i="2"/>
  <c r="AR91" i="2"/>
  <c r="AR94" i="2"/>
  <c r="AR96" i="2"/>
  <c r="AR98" i="2"/>
  <c r="AR100" i="2"/>
  <c r="AR102" i="2"/>
  <c r="AR105" i="2"/>
  <c r="AR107" i="2"/>
  <c r="AR109" i="2"/>
  <c r="AR111" i="2"/>
  <c r="AR113" i="2"/>
  <c r="AR115" i="2"/>
  <c r="AR117" i="2"/>
  <c r="AR120" i="2"/>
  <c r="AR122" i="2"/>
  <c r="AR124" i="2"/>
  <c r="AR126" i="2"/>
  <c r="AR128" i="2"/>
  <c r="AR130" i="2"/>
  <c r="AR132" i="2"/>
  <c r="AR134" i="2"/>
  <c r="AR136" i="2"/>
  <c r="AR138" i="2"/>
  <c r="AR140" i="2"/>
  <c r="AR142" i="2"/>
  <c r="AR144" i="2"/>
  <c r="AR146" i="2"/>
  <c r="AR148" i="2"/>
  <c r="AR150" i="2"/>
  <c r="AR152" i="2"/>
  <c r="AR154" i="2"/>
  <c r="AR156" i="2"/>
  <c r="AR158" i="2"/>
  <c r="AR160" i="2"/>
  <c r="AR162" i="2"/>
  <c r="AR164" i="2"/>
  <c r="AR166" i="2"/>
  <c r="AR168" i="2"/>
  <c r="AR172" i="2"/>
  <c r="AR174" i="2"/>
  <c r="AR176" i="2"/>
  <c r="AR180" i="2"/>
  <c r="AR183" i="2"/>
  <c r="AR185" i="2"/>
  <c r="AR187" i="2"/>
  <c r="AR189" i="2"/>
  <c r="AR191" i="2"/>
  <c r="AR193" i="2"/>
  <c r="AR195" i="2"/>
  <c r="AR199" i="2"/>
  <c r="AR202" i="2"/>
  <c r="AR204" i="2"/>
  <c r="AR206" i="2"/>
  <c r="AR208" i="2"/>
  <c r="AR210" i="2"/>
  <c r="AR214" i="2"/>
  <c r="AR217" i="2"/>
  <c r="AR219" i="2"/>
  <c r="AR221" i="2"/>
  <c r="AR223" i="2"/>
  <c r="AR225" i="2"/>
  <c r="AR227" i="2"/>
  <c r="AR229" i="2"/>
  <c r="AR231" i="2"/>
  <c r="AR233" i="2"/>
  <c r="AR235" i="2"/>
  <c r="AR237" i="2"/>
  <c r="AR239" i="2"/>
  <c r="AR241" i="2"/>
  <c r="AR243" i="2"/>
  <c r="AR247" i="2"/>
  <c r="AR251" i="2"/>
  <c r="AR254" i="2"/>
  <c r="AR256" i="2"/>
  <c r="AR259" i="2"/>
  <c r="AR261" i="2"/>
  <c r="AR263" i="2"/>
  <c r="AR265" i="2"/>
  <c r="AR267" i="2"/>
  <c r="AR269" i="2"/>
  <c r="AR272" i="2"/>
  <c r="AR275" i="2"/>
  <c r="AR278" i="2"/>
  <c r="AR280" i="2"/>
  <c r="AR283" i="2"/>
  <c r="AR285" i="2"/>
  <c r="AR287" i="2"/>
  <c r="AR289" i="2"/>
  <c r="AR291" i="2"/>
  <c r="AR293" i="2"/>
  <c r="AR295" i="2"/>
  <c r="AR297" i="2"/>
  <c r="AR299" i="2"/>
  <c r="AR302" i="2"/>
  <c r="AR304" i="2"/>
  <c r="AR306" i="2"/>
  <c r="AR308" i="2"/>
  <c r="AR310" i="2"/>
  <c r="AR312" i="2"/>
  <c r="AR314" i="2"/>
  <c r="AR317" i="2"/>
  <c r="AR319" i="2"/>
  <c r="AR321" i="2"/>
  <c r="AR324" i="2"/>
  <c r="AR326" i="2"/>
  <c r="AR328" i="2"/>
  <c r="AR331" i="2"/>
  <c r="AR333" i="2"/>
  <c r="AR335" i="2"/>
  <c r="AR337" i="2"/>
  <c r="AR339" i="2"/>
  <c r="AR341" i="2"/>
  <c r="AR343" i="2"/>
  <c r="AR345" i="2"/>
  <c r="AR347" i="2"/>
  <c r="AR349" i="2"/>
  <c r="AR351" i="2"/>
  <c r="AR353" i="2"/>
  <c r="AR355" i="2"/>
  <c r="AR357" i="2"/>
  <c r="AR359" i="2"/>
  <c r="AR361" i="2"/>
  <c r="AR364" i="2"/>
  <c r="AR366" i="2"/>
  <c r="AR368" i="2"/>
  <c r="AR370" i="2"/>
  <c r="AR373" i="2"/>
  <c r="AR375" i="2"/>
  <c r="AR377" i="2"/>
  <c r="AR380" i="2"/>
  <c r="AR382" i="2"/>
  <c r="AR384" i="2"/>
  <c r="AR386" i="2"/>
  <c r="AR388" i="2"/>
  <c r="AR391" i="2"/>
  <c r="AR393" i="2"/>
  <c r="AR395" i="2"/>
  <c r="AR397" i="2"/>
  <c r="AR400" i="2"/>
  <c r="AP87" i="2"/>
  <c r="AP97" i="2"/>
  <c r="AP100" i="2"/>
  <c r="AP101" i="2"/>
  <c r="AP105" i="2"/>
  <c r="AP106" i="2"/>
  <c r="AP109" i="2"/>
  <c r="AP111" i="2"/>
  <c r="AP120" i="2"/>
  <c r="AP123" i="2"/>
  <c r="AP128" i="2"/>
  <c r="AP133" i="2"/>
  <c r="AP134" i="2"/>
  <c r="AP139" i="2"/>
  <c r="AP148" i="2"/>
  <c r="AP156" i="2"/>
  <c r="AP159" i="2"/>
  <c r="AP162" i="2"/>
  <c r="AP164" i="2"/>
  <c r="AP165" i="2"/>
  <c r="AP170" i="2"/>
  <c r="AP173" i="2"/>
  <c r="AP175" i="2"/>
  <c r="AP177" i="2"/>
  <c r="AP181" i="2"/>
  <c r="AP183" i="2"/>
  <c r="AP186" i="2"/>
  <c r="AP189" i="2"/>
  <c r="AP192" i="2"/>
  <c r="AP198" i="2"/>
  <c r="AP202" i="2"/>
  <c r="AP203" i="2"/>
  <c r="AP206" i="2"/>
  <c r="AP212" i="2"/>
  <c r="AP215" i="2"/>
  <c r="AP218" i="2"/>
  <c r="AP220" i="2"/>
  <c r="AP222" i="2"/>
  <c r="AP223" i="2"/>
  <c r="AP226" i="2"/>
  <c r="AN413" i="2"/>
  <c r="AN414" i="2"/>
  <c r="AN417" i="2"/>
  <c r="AN424" i="2"/>
  <c r="AN429" i="2"/>
  <c r="AN432" i="2"/>
  <c r="AN436" i="2"/>
  <c r="AN448" i="2"/>
  <c r="AN451" i="2"/>
  <c r="AN459" i="2"/>
  <c r="AN463" i="2"/>
  <c r="AN467" i="2"/>
  <c r="AN470" i="2"/>
  <c r="AN478" i="2"/>
  <c r="AN482" i="2"/>
  <c r="AN487" i="2"/>
  <c r="AN494" i="2"/>
  <c r="AN498" i="2"/>
  <c r="AN2" i="2"/>
  <c r="AM3" i="2" a="1"/>
  <c r="AM3" i="2" s="1"/>
  <c r="AM6" i="2"/>
  <c r="AM9" i="2"/>
  <c r="AM10" i="2"/>
  <c r="AM14" i="2"/>
  <c r="AM18" i="2"/>
  <c r="AM27" i="2"/>
  <c r="AM32" i="2"/>
  <c r="AM35" i="2"/>
  <c r="AM38" i="2"/>
  <c r="AM39" i="2"/>
  <c r="AM42" i="2"/>
  <c r="AM43" i="2"/>
  <c r="AM46" i="2"/>
  <c r="AM50" i="2"/>
  <c r="BW2" i="1"/>
  <c r="AR402" i="2"/>
  <c r="AR2" i="2" a="1"/>
  <c r="AR2" i="2" s="1"/>
  <c r="AP3" i="2" a="1"/>
  <c r="AP3" i="2" s="1"/>
  <c r="AP88" i="2"/>
  <c r="AP90" i="2"/>
  <c r="AP93" i="2"/>
  <c r="AP95" i="2"/>
  <c r="AP98" i="2"/>
  <c r="AP103" i="2"/>
  <c r="AP108" i="2"/>
  <c r="AP112" i="2"/>
  <c r="AP114" i="2"/>
  <c r="AP116" i="2"/>
  <c r="AP117" i="2"/>
  <c r="AP119" i="2"/>
  <c r="AP122" i="2"/>
  <c r="AP125" i="2"/>
  <c r="AP126" i="2"/>
  <c r="AP130" i="2"/>
  <c r="AP131" i="2"/>
  <c r="AP136" i="2"/>
  <c r="AP137" i="2"/>
  <c r="AP140" i="2"/>
  <c r="AP142" i="2"/>
  <c r="AP143" i="2"/>
  <c r="AP145" i="2"/>
  <c r="AP147" i="2"/>
  <c r="AP150" i="2"/>
  <c r="AP152" i="2"/>
  <c r="AP153" i="2"/>
  <c r="AP155" i="2"/>
  <c r="AP158" i="2"/>
  <c r="AP161" i="2"/>
  <c r="AP167" i="2"/>
  <c r="AP169" i="2"/>
  <c r="AP172" i="2"/>
  <c r="AP178" i="2"/>
  <c r="AP180" i="2"/>
  <c r="AP184" i="2"/>
  <c r="AP187" i="2"/>
  <c r="AP191" i="2"/>
  <c r="AP194" i="2"/>
  <c r="AP195" i="2"/>
  <c r="AP197" i="2"/>
  <c r="AP199" i="2"/>
  <c r="AP205" i="2"/>
  <c r="AP208" i="2"/>
  <c r="AP209" i="2"/>
  <c r="AP211" i="2"/>
  <c r="AP214" i="2"/>
  <c r="AP217" i="2"/>
  <c r="AP225" i="2"/>
  <c r="AN418" i="2"/>
  <c r="AN421" i="2"/>
  <c r="AN422" i="2"/>
  <c r="AN425" i="2"/>
  <c r="AN428" i="2"/>
  <c r="AN433" i="2"/>
  <c r="AN439" i="2"/>
  <c r="AN440" i="2"/>
  <c r="AN443" i="2"/>
  <c r="AN444" i="2"/>
  <c r="AN447" i="2"/>
  <c r="AN452" i="2"/>
  <c r="AN456" i="2"/>
  <c r="AN457" i="2"/>
  <c r="AN462" i="2"/>
  <c r="AN466" i="2"/>
  <c r="AN471" i="2"/>
  <c r="AN473" i="2"/>
  <c r="AN476" i="2"/>
  <c r="AN479" i="2"/>
  <c r="AN483" i="2"/>
  <c r="AN488" i="2"/>
  <c r="AN489" i="2"/>
  <c r="AN490" i="2"/>
  <c r="AN493" i="2"/>
  <c r="AN497" i="2"/>
  <c r="AM4" i="2"/>
  <c r="AM13" i="2"/>
  <c r="AM17" i="2"/>
  <c r="AM21" i="2"/>
  <c r="AM24" i="2"/>
  <c r="AM25" i="2"/>
  <c r="AM28" i="2"/>
  <c r="AM31" i="2"/>
  <c r="AM49" i="2"/>
  <c r="AM53" i="2"/>
  <c r="BQ2" i="1"/>
  <c r="BU2" i="1" s="1"/>
  <c r="AP228" i="2"/>
  <c r="AP2" i="2" a="1"/>
  <c r="AP2" i="2" s="1"/>
  <c r="AN415" i="2"/>
  <c r="AN416" i="2"/>
  <c r="AN419" i="2"/>
  <c r="AN426" i="2"/>
  <c r="AN430" i="2"/>
  <c r="AN434" i="2"/>
  <c r="AN437" i="2"/>
  <c r="AN438" i="2"/>
  <c r="AN445" i="2"/>
  <c r="AN449" i="2"/>
  <c r="AN453" i="2"/>
  <c r="AN461" i="2"/>
  <c r="AN464" i="2"/>
  <c r="AN465" i="2"/>
  <c r="AN472" i="2"/>
  <c r="AN477" i="2"/>
  <c r="AN480" i="2"/>
  <c r="AN481" i="2"/>
  <c r="AN484" i="2"/>
  <c r="AN491" i="2"/>
  <c r="AN495" i="2"/>
  <c r="AN499" i="2"/>
  <c r="AM5" i="2"/>
  <c r="AM8" i="2"/>
  <c r="AM12" i="2"/>
  <c r="AM16" i="2"/>
  <c r="AM19" i="2"/>
  <c r="AM20" i="2"/>
  <c r="AM22" i="2"/>
  <c r="AM29" i="2"/>
  <c r="AM33" i="2"/>
  <c r="AM40" i="2"/>
  <c r="AM45" i="2"/>
  <c r="AM48" i="2"/>
  <c r="AM51" i="2"/>
  <c r="AM2" i="2" a="1"/>
  <c r="AM2" i="2" s="1"/>
  <c r="BQ3" i="1"/>
  <c r="BU3" i="1" s="1"/>
  <c r="AK3" i="2" a="1"/>
  <c r="AK3" i="2" s="1"/>
  <c r="AK4" i="2" a="1"/>
  <c r="AK4" i="2" s="1"/>
  <c r="AK5" i="2" a="1"/>
  <c r="AK5" i="2" s="1"/>
  <c r="AK6" i="2" a="1"/>
  <c r="AK6" i="2" s="1"/>
  <c r="AK7" i="2" a="1"/>
  <c r="AK7" i="2" s="1"/>
  <c r="AK8" i="2" a="1"/>
  <c r="AK8" i="2" s="1"/>
  <c r="AK9" i="2" a="1"/>
  <c r="AK9" i="2" s="1"/>
  <c r="AK10" i="2" a="1"/>
  <c r="AK10" i="2" s="1"/>
  <c r="AK11" i="2" a="1"/>
  <c r="AK11" i="2" s="1"/>
  <c r="AK12" i="2" a="1"/>
  <c r="AK12" i="2" s="1"/>
  <c r="AK13" i="2" a="1"/>
  <c r="AK13" i="2" s="1"/>
  <c r="AK14" i="2" a="1"/>
  <c r="AK14" i="2" s="1"/>
  <c r="AK15" i="2" a="1"/>
  <c r="AK15" i="2" s="1"/>
  <c r="AK16" i="2" a="1"/>
  <c r="AK16" i="2" s="1"/>
  <c r="AK17" i="2" a="1"/>
  <c r="AK17" i="2" s="1"/>
  <c r="AK18" i="2" a="1"/>
  <c r="AK18" i="2" s="1"/>
  <c r="AK19" i="2" a="1"/>
  <c r="AK19" i="2" s="1"/>
  <c r="AK20" i="2" a="1"/>
  <c r="AK20" i="2" s="1"/>
  <c r="AK21" i="2" a="1"/>
  <c r="AK21" i="2" s="1"/>
  <c r="AK22" i="2" a="1"/>
  <c r="AK22" i="2" s="1"/>
  <c r="AK23" i="2" a="1"/>
  <c r="AK23" i="2" s="1"/>
  <c r="AK24" i="2" a="1"/>
  <c r="AK24" i="2" s="1"/>
  <c r="AK25" i="2" a="1"/>
  <c r="AK25" i="2" s="1"/>
  <c r="AK26" i="2" a="1"/>
  <c r="AK26" i="2" s="1"/>
  <c r="AK27" i="2" a="1"/>
  <c r="AK27" i="2" s="1"/>
  <c r="AK28" i="2" a="1"/>
  <c r="AK28" i="2" s="1"/>
  <c r="AK29" i="2" a="1"/>
  <c r="AK29" i="2" s="1"/>
  <c r="AK30" i="2" a="1"/>
  <c r="AK30" i="2" s="1"/>
  <c r="AK31" i="2" a="1"/>
  <c r="AK31" i="2" s="1"/>
  <c r="AK32" i="2" a="1"/>
  <c r="AK32" i="2" s="1"/>
  <c r="AK33" i="2" a="1"/>
  <c r="AK33" i="2" s="1"/>
  <c r="AK34" i="2" a="1"/>
  <c r="AK34" i="2" s="1"/>
  <c r="AK35" i="2" a="1"/>
  <c r="AK35" i="2" s="1"/>
  <c r="AK36" i="2" a="1"/>
  <c r="AK36" i="2" s="1"/>
  <c r="AK37" i="2" a="1"/>
  <c r="AK37" i="2" s="1"/>
  <c r="AK38" i="2" a="1"/>
  <c r="AK38" i="2" s="1"/>
  <c r="AK39" i="2" a="1"/>
  <c r="AK39" i="2" s="1"/>
  <c r="AK40" i="2" a="1"/>
  <c r="AK40" i="2" s="1"/>
  <c r="AK41" i="2" a="1"/>
  <c r="AK41" i="2" s="1"/>
  <c r="AK42" i="2" a="1"/>
  <c r="AK42" i="2" s="1"/>
  <c r="AK43" i="2" a="1"/>
  <c r="AK43" i="2" s="1"/>
  <c r="AK44" i="2" a="1"/>
  <c r="AK44" i="2" s="1"/>
  <c r="AK45" i="2" a="1"/>
  <c r="AK45" i="2" s="1"/>
  <c r="AK46" i="2" a="1"/>
  <c r="AK46" i="2" s="1"/>
  <c r="AK47" i="2" a="1"/>
  <c r="AK47" i="2" s="1"/>
  <c r="AK48" i="2" a="1"/>
  <c r="AK48" i="2" s="1"/>
  <c r="AK49" i="2" a="1"/>
  <c r="AK49" i="2" s="1"/>
  <c r="AK50" i="2" a="1"/>
  <c r="AK50" i="2" s="1"/>
  <c r="AK51" i="2" a="1"/>
  <c r="AK51" i="2" s="1"/>
  <c r="AK52" i="2" a="1"/>
  <c r="AK52" i="2" s="1"/>
  <c r="AK53" i="2" a="1"/>
  <c r="AK53" i="2" s="1"/>
  <c r="AK54" i="2" a="1"/>
  <c r="AK54" i="2" s="1"/>
  <c r="AK55" i="2" a="1"/>
  <c r="AK55" i="2" s="1"/>
  <c r="AK56" i="2" a="1"/>
  <c r="AK56" i="2" s="1"/>
  <c r="AK57" i="2" a="1"/>
  <c r="AK57" i="2" s="1"/>
  <c r="AK58" i="2" a="1"/>
  <c r="AK58" i="2" s="1"/>
  <c r="AK59" i="2" a="1"/>
  <c r="AK59" i="2" s="1"/>
  <c r="AK60" i="2" a="1"/>
  <c r="AK60" i="2" s="1"/>
  <c r="AK61" i="2" a="1"/>
  <c r="AK61" i="2" s="1"/>
  <c r="AK62" i="2" a="1"/>
  <c r="AK62" i="2" s="1"/>
  <c r="AK63" i="2" a="1"/>
  <c r="AK63" i="2" s="1"/>
  <c r="AK64" i="2" a="1"/>
  <c r="AK64" i="2" s="1"/>
  <c r="AK65" i="2" a="1"/>
  <c r="AK65" i="2" s="1"/>
  <c r="AK66" i="2" a="1"/>
  <c r="AK66" i="2" s="1"/>
  <c r="AK67" i="2" a="1"/>
  <c r="AK67" i="2" s="1"/>
  <c r="AK68" i="2" a="1"/>
  <c r="AK68" i="2" s="1"/>
  <c r="AK69" i="2" a="1"/>
  <c r="AK69" i="2" s="1"/>
  <c r="AK70" i="2" a="1"/>
  <c r="AK70" i="2" s="1"/>
  <c r="AK71" i="2" a="1"/>
  <c r="AK71" i="2" s="1"/>
  <c r="AK72" i="2" a="1"/>
  <c r="AK72" i="2" s="1"/>
  <c r="AK73" i="2" a="1"/>
  <c r="AK73" i="2" s="1"/>
  <c r="AK74" i="2" a="1"/>
  <c r="AK74" i="2" s="1"/>
  <c r="AK75" i="2" a="1"/>
  <c r="AK75" i="2" s="1"/>
  <c r="AK76" i="2" a="1"/>
  <c r="AK76" i="2" s="1"/>
  <c r="AK77" i="2" a="1"/>
  <c r="AK77" i="2" s="1"/>
  <c r="AK78" i="2" a="1"/>
  <c r="AK78" i="2" s="1"/>
  <c r="AK79" i="2" a="1"/>
  <c r="AK79" i="2" s="1"/>
  <c r="AK80" i="2" a="1"/>
  <c r="AK80" i="2" s="1"/>
  <c r="AK81" i="2" a="1"/>
  <c r="AK81" i="2" s="1"/>
  <c r="AK82" i="2" a="1"/>
  <c r="AK82" i="2" s="1"/>
  <c r="AK83" i="2" a="1"/>
  <c r="AK83" i="2" s="1"/>
  <c r="AK84" i="2" a="1"/>
  <c r="AK84" i="2" s="1"/>
  <c r="AK85" i="2" a="1"/>
  <c r="AK85" i="2" s="1"/>
  <c r="AK86" i="2" a="1"/>
  <c r="AK86" i="2" s="1"/>
  <c r="AK87" i="2" a="1"/>
  <c r="AK87" i="2" s="1"/>
  <c r="AK88" i="2" a="1"/>
  <c r="AK88" i="2" s="1"/>
  <c r="AK89" i="2" a="1"/>
  <c r="AK89" i="2" s="1"/>
  <c r="AK90" i="2" a="1"/>
  <c r="AK90" i="2" s="1"/>
  <c r="AK91" i="2" a="1"/>
  <c r="AK91" i="2" s="1"/>
  <c r="AK92" i="2" a="1"/>
  <c r="AK92" i="2" s="1"/>
  <c r="AK93" i="2" a="1"/>
  <c r="AK93" i="2" s="1"/>
  <c r="AK94" i="2" a="1"/>
  <c r="AK94" i="2" s="1"/>
  <c r="AK95" i="2" a="1"/>
  <c r="AK95" i="2" s="1"/>
  <c r="AK96" i="2" a="1"/>
  <c r="AK96" i="2" s="1"/>
  <c r="AK97" i="2" a="1"/>
  <c r="AK97" i="2" s="1"/>
  <c r="AK98" i="2" a="1"/>
  <c r="AK98" i="2" s="1"/>
  <c r="AK99" i="2" a="1"/>
  <c r="AK99" i="2" s="1"/>
  <c r="AK100" i="2" a="1"/>
  <c r="AK100" i="2" s="1"/>
  <c r="AK101" i="2" a="1"/>
  <c r="AK101" i="2" s="1"/>
  <c r="AK102" i="2" a="1"/>
  <c r="AK102" i="2" s="1"/>
  <c r="AK103" i="2" a="1"/>
  <c r="AK103" i="2" s="1"/>
  <c r="AK104" i="2" a="1"/>
  <c r="AK104" i="2" s="1"/>
  <c r="AK105" i="2" a="1"/>
  <c r="AK105" i="2" s="1"/>
  <c r="AK106" i="2" a="1"/>
  <c r="AK106" i="2" s="1"/>
  <c r="AK107" i="2" a="1"/>
  <c r="AK107" i="2" s="1"/>
  <c r="AK108" i="2" a="1"/>
  <c r="AK108" i="2" s="1"/>
  <c r="AK109" i="2" a="1"/>
  <c r="AK109" i="2" s="1"/>
  <c r="AK110" i="2" a="1"/>
  <c r="AK110" i="2" s="1"/>
  <c r="AK111" i="2" a="1"/>
  <c r="AK111" i="2" s="1"/>
  <c r="AK112" i="2" a="1"/>
  <c r="AK112" i="2" s="1"/>
  <c r="AK113" i="2" a="1"/>
  <c r="AK113" i="2" s="1"/>
  <c r="AK114" i="2" a="1"/>
  <c r="AK114" i="2" s="1"/>
  <c r="AK115" i="2" a="1"/>
  <c r="AK115" i="2" s="1"/>
  <c r="AK116" i="2" a="1"/>
  <c r="AK116" i="2" s="1"/>
  <c r="AK117" i="2" a="1"/>
  <c r="AK117" i="2" s="1"/>
  <c r="AK118" i="2" a="1"/>
  <c r="AK118" i="2" s="1"/>
  <c r="AK119" i="2" a="1"/>
  <c r="AK119" i="2" s="1"/>
  <c r="AK120" i="2" a="1"/>
  <c r="AK120" i="2" s="1"/>
  <c r="AK121" i="2" a="1"/>
  <c r="AK121" i="2" s="1"/>
  <c r="AK122" i="2" a="1"/>
  <c r="AK122" i="2" s="1"/>
  <c r="AK123" i="2" a="1"/>
  <c r="AK123" i="2" s="1"/>
  <c r="AK124" i="2" a="1"/>
  <c r="AK124" i="2" s="1"/>
  <c r="AK125" i="2" a="1"/>
  <c r="AK125" i="2" s="1"/>
  <c r="AK126" i="2" a="1"/>
  <c r="AK126" i="2" s="1"/>
  <c r="AK127" i="2" a="1"/>
  <c r="AK127" i="2" s="1"/>
  <c r="AK128" i="2" a="1"/>
  <c r="AK128" i="2" s="1"/>
  <c r="AK129" i="2" a="1"/>
  <c r="AK129" i="2" s="1"/>
  <c r="AK130" i="2" a="1"/>
  <c r="AK130" i="2" s="1"/>
  <c r="AK131" i="2" a="1"/>
  <c r="AK131" i="2" s="1"/>
  <c r="AK132" i="2" a="1"/>
  <c r="AK132" i="2" s="1"/>
  <c r="AK133" i="2" a="1"/>
  <c r="AK133" i="2" s="1"/>
  <c r="AK134" i="2" a="1"/>
  <c r="AK134" i="2" s="1"/>
  <c r="AK135" i="2" a="1"/>
  <c r="AK135" i="2" s="1"/>
  <c r="AK136" i="2" a="1"/>
  <c r="AK136" i="2" s="1"/>
  <c r="AK137" i="2" a="1"/>
  <c r="AK137" i="2" s="1"/>
  <c r="AK138" i="2" a="1"/>
  <c r="AK138" i="2" s="1"/>
  <c r="AK139" i="2" a="1"/>
  <c r="AK139" i="2" s="1"/>
  <c r="AK140" i="2" a="1"/>
  <c r="AK140" i="2" s="1"/>
  <c r="AK141" i="2" a="1"/>
  <c r="AK141" i="2" s="1"/>
  <c r="AK142" i="2" a="1"/>
  <c r="AK142" i="2" s="1"/>
  <c r="AK143" i="2" a="1"/>
  <c r="AK143" i="2" s="1"/>
  <c r="AK144" i="2" a="1"/>
  <c r="AK144" i="2" s="1"/>
  <c r="AK145" i="2" a="1"/>
  <c r="AK145" i="2" s="1"/>
  <c r="AK146" i="2" a="1"/>
  <c r="AK146" i="2" s="1"/>
  <c r="AK147" i="2" a="1"/>
  <c r="AK147" i="2" s="1"/>
  <c r="AK148" i="2" a="1"/>
  <c r="AK148" i="2" s="1"/>
  <c r="AK149" i="2" a="1"/>
  <c r="AK149" i="2" s="1"/>
  <c r="AK150" i="2" a="1"/>
  <c r="AK150" i="2" s="1"/>
  <c r="AK151" i="2" a="1"/>
  <c r="AK151" i="2" s="1"/>
  <c r="AK152" i="2" a="1"/>
  <c r="AK152" i="2" s="1"/>
  <c r="AK153" i="2" a="1"/>
  <c r="AK153" i="2" s="1"/>
  <c r="AK154" i="2" a="1"/>
  <c r="AK154" i="2" s="1"/>
  <c r="AK155" i="2" a="1"/>
  <c r="AK155" i="2" s="1"/>
  <c r="AK156" i="2" a="1"/>
  <c r="AK156" i="2" s="1"/>
  <c r="AK157" i="2" a="1"/>
  <c r="AK157" i="2" s="1"/>
  <c r="AK158" i="2" a="1"/>
  <c r="AK158" i="2" s="1"/>
  <c r="AK159" i="2" a="1"/>
  <c r="AK159" i="2" s="1"/>
  <c r="AK160" i="2" a="1"/>
  <c r="AK160" i="2" s="1"/>
  <c r="AK161" i="2" a="1"/>
  <c r="AK161" i="2" s="1"/>
  <c r="AK162" i="2" a="1"/>
  <c r="AK162" i="2" s="1"/>
  <c r="AK163" i="2" a="1"/>
  <c r="AK163" i="2" s="1"/>
  <c r="AK164" i="2" a="1"/>
  <c r="AK164" i="2" s="1"/>
  <c r="AK165" i="2" a="1"/>
  <c r="AK165" i="2" s="1"/>
  <c r="AK166" i="2" a="1"/>
  <c r="AK166" i="2" s="1"/>
  <c r="AK167" i="2" a="1"/>
  <c r="AK167" i="2" s="1"/>
  <c r="AK168" i="2" a="1"/>
  <c r="AK168" i="2" s="1"/>
  <c r="AK169" i="2" a="1"/>
  <c r="AK169" i="2" s="1"/>
  <c r="AK170" i="2" a="1"/>
  <c r="AK170" i="2" s="1"/>
  <c r="AK171" i="2" a="1"/>
  <c r="AK171" i="2" s="1"/>
  <c r="AK172" i="2" a="1"/>
  <c r="AK172" i="2" s="1"/>
  <c r="AK173" i="2" a="1"/>
  <c r="AK173" i="2" s="1"/>
  <c r="AK174" i="2" a="1"/>
  <c r="AK174" i="2" s="1"/>
  <c r="AK175" i="2" a="1"/>
  <c r="AK175" i="2" s="1"/>
  <c r="AK176" i="2" a="1"/>
  <c r="AK176" i="2" s="1"/>
  <c r="AK177" i="2" a="1"/>
  <c r="AK177" i="2" s="1"/>
  <c r="AK178" i="2" a="1"/>
  <c r="AK178" i="2" s="1"/>
  <c r="AK179" i="2" a="1"/>
  <c r="AK179" i="2" s="1"/>
  <c r="AK180" i="2" a="1"/>
  <c r="AK180" i="2" s="1"/>
  <c r="AK181" i="2" a="1"/>
  <c r="AK181" i="2" s="1"/>
  <c r="AK182" i="2" a="1"/>
  <c r="AK182" i="2" s="1"/>
  <c r="AK183" i="2" a="1"/>
  <c r="AK183" i="2" s="1"/>
  <c r="AK184" i="2" a="1"/>
  <c r="AK184" i="2" s="1"/>
  <c r="AK185" i="2" a="1"/>
  <c r="AK185" i="2" s="1"/>
  <c r="AK2" i="2" a="1"/>
  <c r="AK2" i="2" s="1"/>
  <c r="BW3" i="1"/>
  <c r="Q2" i="2" a="1"/>
  <c r="O3" i="2"/>
  <c r="O2" i="2"/>
  <c r="N3" i="2"/>
  <c r="N2" i="2"/>
  <c r="M3" i="2"/>
  <c r="M2" i="2"/>
  <c r="K3" i="2"/>
  <c r="K2" i="2"/>
  <c r="J3" i="2"/>
  <c r="J2" i="2"/>
  <c r="G3" i="2" a="1"/>
  <c r="G3" i="2" s="1"/>
  <c r="G2" i="2" a="1"/>
  <c r="G2" i="2" s="1"/>
  <c r="BS3" i="1"/>
  <c r="BS2" i="1"/>
  <c r="BR3" i="1"/>
  <c r="BR2" i="1"/>
  <c r="AT356" i="2"/>
  <c r="AT355" i="2"/>
  <c r="AT354" i="2"/>
  <c r="AT352" i="2"/>
  <c r="AT351" i="2"/>
  <c r="AT350" i="2"/>
  <c r="AT344" i="2"/>
  <c r="AT337" i="2"/>
  <c r="AT333" i="2"/>
  <c r="AT329" i="2"/>
  <c r="G185" i="2"/>
  <c r="C185" i="2"/>
  <c r="H184" i="2"/>
  <c r="D184" i="2"/>
  <c r="L183" i="2"/>
  <c r="E183" i="2"/>
  <c r="B183" i="2"/>
  <c r="AO182" i="2"/>
  <c r="F182" i="2"/>
  <c r="B182" i="2"/>
  <c r="F181" i="2"/>
  <c r="E181" i="2"/>
  <c r="L179" i="2"/>
  <c r="E179" i="2"/>
  <c r="G178" i="2"/>
  <c r="C178" i="2"/>
  <c r="H177" i="2"/>
  <c r="L176" i="2"/>
  <c r="F176" i="2"/>
  <c r="E176" i="2"/>
  <c r="G175" i="2"/>
  <c r="AT359" i="2"/>
  <c r="AT349" i="2"/>
  <c r="AT343" i="2"/>
  <c r="AT339" i="2"/>
  <c r="AT336" i="2"/>
  <c r="F185" i="2"/>
  <c r="B185" i="2"/>
  <c r="L184" i="2"/>
  <c r="E184" i="2"/>
  <c r="C184" i="2"/>
  <c r="H183" i="2"/>
  <c r="D183" i="2"/>
  <c r="L182" i="2"/>
  <c r="E182" i="2"/>
  <c r="G181" i="2"/>
  <c r="H180" i="2"/>
  <c r="G180" i="2"/>
  <c r="E180" i="2"/>
  <c r="AO179" i="2"/>
  <c r="F179" i="2"/>
  <c r="L178" i="2"/>
  <c r="H178" i="2"/>
  <c r="G177" i="2"/>
  <c r="C177" i="2"/>
  <c r="B177" i="2"/>
  <c r="G176" i="2"/>
  <c r="D176" i="2"/>
  <c r="L175" i="2"/>
  <c r="AT358" i="2"/>
  <c r="AT353" i="2"/>
  <c r="AT338" i="2"/>
  <c r="AT330" i="2"/>
  <c r="AO185" i="2"/>
  <c r="D185" i="2"/>
  <c r="AO184" i="2"/>
  <c r="G184" i="2"/>
  <c r="B184" i="2"/>
  <c r="AO183" i="2"/>
  <c r="G183" i="2"/>
  <c r="F183" i="2"/>
  <c r="C183" i="2"/>
  <c r="H182" i="2"/>
  <c r="D182" i="2"/>
  <c r="AO181" i="2"/>
  <c r="L181" i="2"/>
  <c r="C181" i="2"/>
  <c r="B181" i="2"/>
  <c r="AO180" i="2"/>
  <c r="F180" i="2"/>
  <c r="B180" i="2"/>
  <c r="G179" i="2"/>
  <c r="D179" i="2"/>
  <c r="C179" i="2"/>
  <c r="E178" i="2"/>
  <c r="D178" i="2"/>
  <c r="L177" i="2"/>
  <c r="F177" i="2"/>
  <c r="H176" i="2"/>
  <c r="C176" i="2"/>
  <c r="H175" i="2"/>
  <c r="E175" i="2"/>
  <c r="AT357" i="2"/>
  <c r="AT347" i="2"/>
  <c r="AT346" i="2"/>
  <c r="AT345" i="2"/>
  <c r="AT342" i="2"/>
  <c r="AT341" i="2"/>
  <c r="AT340" i="2"/>
  <c r="AT334" i="2"/>
  <c r="AT332" i="2"/>
  <c r="AT331" i="2"/>
  <c r="AT348" i="2"/>
  <c r="AT335" i="2"/>
  <c r="L185" i="2"/>
  <c r="H185" i="2"/>
  <c r="E185" i="2"/>
  <c r="F184" i="2"/>
  <c r="G182" i="2"/>
  <c r="C182" i="2"/>
  <c r="H181" i="2"/>
  <c r="D181" i="2"/>
  <c r="L180" i="2"/>
  <c r="D180" i="2"/>
  <c r="C180" i="2"/>
  <c r="H179" i="2"/>
  <c r="B179" i="2"/>
  <c r="AO178" i="2"/>
  <c r="F178" i="2"/>
  <c r="B178" i="2"/>
  <c r="AO177" i="2"/>
  <c r="E177" i="2"/>
  <c r="D177" i="2"/>
  <c r="AO176" i="2"/>
  <c r="B176" i="2"/>
  <c r="AO175" i="2"/>
  <c r="F175" i="2"/>
  <c r="F11" i="2"/>
  <c r="B175" i="2"/>
  <c r="D174" i="2"/>
  <c r="D172" i="2"/>
  <c r="E169" i="2"/>
  <c r="H168" i="2"/>
  <c r="G168" i="2"/>
  <c r="B167" i="2"/>
  <c r="G166" i="2"/>
  <c r="E166" i="2"/>
  <c r="D164" i="2"/>
  <c r="C160" i="2"/>
  <c r="B156" i="2"/>
  <c r="D110" i="2"/>
  <c r="C110" i="2"/>
  <c r="G109" i="2"/>
  <c r="B109" i="2"/>
  <c r="L108" i="2"/>
  <c r="H108" i="2"/>
  <c r="D106" i="2"/>
  <c r="C106" i="2"/>
  <c r="F105" i="2"/>
  <c r="E105" i="2"/>
  <c r="AO104" i="2"/>
  <c r="C104" i="2"/>
  <c r="D102" i="2"/>
  <c r="C100" i="2"/>
  <c r="E99" i="2"/>
  <c r="C65" i="2"/>
  <c r="E64" i="2"/>
  <c r="AO63" i="2"/>
  <c r="AO174" i="2"/>
  <c r="L174" i="2"/>
  <c r="AO172" i="2"/>
  <c r="G172" i="2"/>
  <c r="F172" i="2"/>
  <c r="E172" i="2"/>
  <c r="H171" i="2"/>
  <c r="E168" i="2"/>
  <c r="C167" i="2"/>
  <c r="F165" i="2"/>
  <c r="AO163" i="2"/>
  <c r="H163" i="2"/>
  <c r="G163" i="2"/>
  <c r="H110" i="2"/>
  <c r="G110" i="2"/>
  <c r="B110" i="2"/>
  <c r="AO109" i="2"/>
  <c r="H109" i="2"/>
  <c r="D108" i="2"/>
  <c r="G107" i="2"/>
  <c r="C107" i="2"/>
  <c r="B107" i="2"/>
  <c r="L106" i="2"/>
  <c r="H106" i="2"/>
  <c r="B106" i="2"/>
  <c r="H105" i="2"/>
  <c r="G105" i="2"/>
  <c r="C105" i="2"/>
  <c r="B104" i="2"/>
  <c r="AO103" i="2"/>
  <c r="H103" i="2"/>
  <c r="AO102" i="2"/>
  <c r="L102" i="2"/>
  <c r="C102" i="2"/>
  <c r="B102" i="2"/>
  <c r="D101" i="2"/>
  <c r="L99" i="2"/>
  <c r="B99" i="2"/>
  <c r="AO64" i="2"/>
  <c r="H64" i="2"/>
  <c r="G64" i="2"/>
  <c r="F64" i="2"/>
  <c r="H174" i="2"/>
  <c r="G174" i="2"/>
  <c r="F174" i="2"/>
  <c r="L173" i="2"/>
  <c r="L171" i="2"/>
  <c r="H170" i="2"/>
  <c r="G170" i="2"/>
  <c r="F170" i="2"/>
  <c r="AO169" i="2"/>
  <c r="C169" i="2"/>
  <c r="B169" i="2"/>
  <c r="F168" i="2"/>
  <c r="AO167" i="2"/>
  <c r="L167" i="2"/>
  <c r="D166" i="2"/>
  <c r="AO164" i="2"/>
  <c r="L164" i="2"/>
  <c r="C162" i="2"/>
  <c r="F160" i="2"/>
  <c r="L109" i="2"/>
  <c r="C108" i="2"/>
  <c r="E107" i="2"/>
  <c r="L104" i="2"/>
  <c r="AO99" i="2"/>
  <c r="B65" i="2"/>
  <c r="D64" i="2"/>
  <c r="L172" i="2"/>
  <c r="G171" i="2"/>
  <c r="F171" i="2"/>
  <c r="E171" i="2"/>
  <c r="B171" i="2"/>
  <c r="L170" i="2"/>
  <c r="C170" i="2"/>
  <c r="B170" i="2"/>
  <c r="H169" i="2"/>
  <c r="G169" i="2"/>
  <c r="F169" i="2"/>
  <c r="B168" i="2"/>
  <c r="D167" i="2"/>
  <c r="F166" i="2"/>
  <c r="AO165" i="2"/>
  <c r="L165" i="2"/>
  <c r="H165" i="2"/>
  <c r="G165" i="2"/>
  <c r="B165" i="2"/>
  <c r="C164" i="2"/>
  <c r="G162" i="2"/>
  <c r="F155" i="2"/>
  <c r="D109" i="2"/>
  <c r="G108" i="2"/>
  <c r="F108" i="2"/>
  <c r="E108" i="2"/>
  <c r="F107" i="2"/>
  <c r="E106" i="2"/>
  <c r="B105" i="2"/>
  <c r="H104" i="2"/>
  <c r="F104" i="2"/>
  <c r="E103" i="2"/>
  <c r="H101" i="2"/>
  <c r="G101" i="2"/>
  <c r="G100" i="2"/>
  <c r="F100" i="2"/>
  <c r="B100" i="2"/>
  <c r="D99" i="2"/>
  <c r="B64" i="2"/>
  <c r="C175" i="2"/>
  <c r="E174" i="2"/>
  <c r="D173" i="2"/>
  <c r="H172" i="2"/>
  <c r="AO171" i="2"/>
  <c r="AO170" i="2"/>
  <c r="D169" i="2"/>
  <c r="H167" i="2"/>
  <c r="C166" i="2"/>
  <c r="C165" i="2"/>
  <c r="G164" i="2"/>
  <c r="D163" i="2"/>
  <c r="F156" i="2"/>
  <c r="L110" i="2"/>
  <c r="E109" i="2"/>
  <c r="AO107" i="2"/>
  <c r="L107" i="2"/>
  <c r="D105" i="2"/>
  <c r="D103" i="2"/>
  <c r="F102" i="2"/>
  <c r="E102" i="2"/>
  <c r="L101" i="2"/>
  <c r="AO100" i="2"/>
  <c r="L100" i="2"/>
  <c r="H100" i="2"/>
  <c r="F99" i="2"/>
  <c r="C99" i="2"/>
  <c r="D175" i="2"/>
  <c r="B174" i="2"/>
  <c r="AO173" i="2"/>
  <c r="C173" i="2"/>
  <c r="B172" i="2"/>
  <c r="D171" i="2"/>
  <c r="D170" i="2"/>
  <c r="L169" i="2"/>
  <c r="AO168" i="2"/>
  <c r="L168" i="2"/>
  <c r="G167" i="2"/>
  <c r="E167" i="2"/>
  <c r="L166" i="2"/>
  <c r="H166" i="2"/>
  <c r="H164" i="2"/>
  <c r="F164" i="2"/>
  <c r="E164" i="2"/>
  <c r="F158" i="2"/>
  <c r="AO110" i="2"/>
  <c r="F109" i="2"/>
  <c r="AO108" i="2"/>
  <c r="B108" i="2"/>
  <c r="D107" i="2"/>
  <c r="G106" i="2"/>
  <c r="F106" i="2"/>
  <c r="AO105" i="2"/>
  <c r="L105" i="2"/>
  <c r="D104" i="2"/>
  <c r="AO101" i="2"/>
  <c r="C101" i="2"/>
  <c r="B101" i="2"/>
  <c r="AO98" i="2"/>
  <c r="L64" i="2"/>
  <c r="L63" i="2"/>
  <c r="C174" i="2"/>
  <c r="H173" i="2"/>
  <c r="G173" i="2"/>
  <c r="F173" i="2"/>
  <c r="E173" i="2"/>
  <c r="B173" i="2"/>
  <c r="C172" i="2"/>
  <c r="C171" i="2"/>
  <c r="E170" i="2"/>
  <c r="D168" i="2"/>
  <c r="C168" i="2"/>
  <c r="F167" i="2"/>
  <c r="AO166" i="2"/>
  <c r="B166" i="2"/>
  <c r="D165" i="2"/>
  <c r="B164" i="2"/>
  <c r="L163" i="2"/>
  <c r="F163" i="2"/>
  <c r="E163" i="2"/>
  <c r="F161" i="2"/>
  <c r="F110" i="2"/>
  <c r="E110" i="2"/>
  <c r="C109" i="2"/>
  <c r="H107" i="2"/>
  <c r="AO106" i="2"/>
  <c r="G104" i="2"/>
  <c r="E104" i="2"/>
  <c r="L103" i="2"/>
  <c r="G103" i="2"/>
  <c r="F103" i="2"/>
  <c r="C103" i="2"/>
  <c r="B103" i="2"/>
  <c r="H102" i="2"/>
  <c r="G102" i="2"/>
  <c r="F101" i="2"/>
  <c r="E101" i="2"/>
  <c r="E100" i="2"/>
  <c r="D100" i="2"/>
  <c r="H99" i="2"/>
  <c r="G99" i="2"/>
  <c r="C64" i="2"/>
  <c r="L5" i="2"/>
  <c r="L6" i="2"/>
  <c r="L8" i="2"/>
  <c r="L9" i="2"/>
  <c r="L13" i="2"/>
  <c r="H6" i="2"/>
  <c r="F4" i="2"/>
  <c r="F5" i="2"/>
  <c r="F10" i="2"/>
  <c r="F13" i="2"/>
  <c r="E11" i="2"/>
  <c r="E16" i="2"/>
  <c r="D9" i="2"/>
  <c r="D14" i="2"/>
  <c r="C5" i="2"/>
  <c r="C8" i="2"/>
  <c r="C10" i="2"/>
  <c r="B7" i="2"/>
  <c r="B12" i="2"/>
  <c r="B16" i="2"/>
  <c r="D61" i="2"/>
  <c r="G60" i="2"/>
  <c r="F60" i="2"/>
  <c r="C60" i="2"/>
  <c r="D58" i="2"/>
  <c r="D56" i="2"/>
  <c r="F55" i="2"/>
  <c r="D54" i="2"/>
  <c r="H53" i="2"/>
  <c r="F53" i="2"/>
  <c r="C52" i="2"/>
  <c r="E51" i="2"/>
  <c r="D50" i="2"/>
  <c r="E49" i="2"/>
  <c r="H48" i="2"/>
  <c r="G48" i="2"/>
  <c r="C48" i="2"/>
  <c r="B47" i="2"/>
  <c r="L17" i="2"/>
  <c r="H7" i="2"/>
  <c r="H12" i="2"/>
  <c r="H15" i="2"/>
  <c r="H16" i="2"/>
  <c r="F9" i="2"/>
  <c r="F16" i="2"/>
  <c r="E5" i="2"/>
  <c r="E9" i="2"/>
  <c r="E14" i="2"/>
  <c r="D10" i="2"/>
  <c r="D15" i="2"/>
  <c r="C12" i="2"/>
  <c r="C17" i="2"/>
  <c r="B6" i="2"/>
  <c r="B10" i="2"/>
  <c r="B15" i="2"/>
  <c r="E63" i="2"/>
  <c r="B63" i="2"/>
  <c r="D62" i="2"/>
  <c r="L61" i="2"/>
  <c r="G61" i="2"/>
  <c r="F61" i="2"/>
  <c r="B61" i="2"/>
  <c r="H59" i="2"/>
  <c r="AO58" i="2"/>
  <c r="F57" i="2"/>
  <c r="E57" i="2"/>
  <c r="AO56" i="2"/>
  <c r="L56" i="2"/>
  <c r="C56" i="2"/>
  <c r="E55" i="2"/>
  <c r="H54" i="2"/>
  <c r="G54" i="2"/>
  <c r="L53" i="2"/>
  <c r="E53" i="2"/>
  <c r="G52" i="2"/>
  <c r="F51" i="2"/>
  <c r="L50" i="2"/>
  <c r="D49" i="2"/>
  <c r="H47" i="2"/>
  <c r="G47" i="2"/>
  <c r="C47" i="2"/>
  <c r="F46" i="2"/>
  <c r="L15" i="2"/>
  <c r="H4" i="2"/>
  <c r="H5" i="2"/>
  <c r="H9" i="2"/>
  <c r="H14" i="2"/>
  <c r="F12" i="2"/>
  <c r="F17" i="2"/>
  <c r="E6" i="2"/>
  <c r="E7" i="2"/>
  <c r="D5" i="2"/>
  <c r="D11" i="2"/>
  <c r="D12" i="2"/>
  <c r="D16" i="2"/>
  <c r="D17" i="2"/>
  <c r="C9" i="2"/>
  <c r="C16" i="2"/>
  <c r="B9" i="2"/>
  <c r="B14" i="2"/>
  <c r="D63" i="2"/>
  <c r="C63" i="2"/>
  <c r="AO61" i="2"/>
  <c r="C61" i="2"/>
  <c r="H60" i="2"/>
  <c r="L59" i="2"/>
  <c r="B59" i="2"/>
  <c r="G58" i="2"/>
  <c r="F58" i="2"/>
  <c r="C58" i="2"/>
  <c r="B58" i="2"/>
  <c r="L57" i="2"/>
  <c r="L54" i="2"/>
  <c r="B54" i="2"/>
  <c r="D53" i="2"/>
  <c r="D52" i="2"/>
  <c r="B52" i="2"/>
  <c r="H51" i="2"/>
  <c r="C50" i="2"/>
  <c r="D48" i="2"/>
  <c r="F47" i="2"/>
  <c r="E47" i="2"/>
  <c r="G46" i="2"/>
  <c r="E46" i="2"/>
  <c r="L4" i="2"/>
  <c r="L7" i="2"/>
  <c r="L12" i="2"/>
  <c r="L14" i="2"/>
  <c r="H10" i="2"/>
  <c r="H11" i="2"/>
  <c r="H17" i="2"/>
  <c r="F6" i="2"/>
  <c r="F7" i="2"/>
  <c r="F8" i="2"/>
  <c r="E4" i="2"/>
  <c r="E10" i="2"/>
  <c r="E15" i="2"/>
  <c r="D4" i="2"/>
  <c r="D6" i="2"/>
  <c r="D7" i="2"/>
  <c r="D13" i="2"/>
  <c r="C7" i="2"/>
  <c r="C13" i="2"/>
  <c r="C14" i="2"/>
  <c r="C15" i="2"/>
  <c r="B5" i="2"/>
  <c r="B11" i="2"/>
  <c r="B17" i="2"/>
  <c r="D154" i="2"/>
  <c r="F152" i="2"/>
  <c r="B62" i="2"/>
  <c r="L60" i="2"/>
  <c r="AO59" i="2"/>
  <c r="G59" i="2"/>
  <c r="D57" i="2"/>
  <c r="H56" i="2"/>
  <c r="G56" i="2"/>
  <c r="H55" i="2"/>
  <c r="D51" i="2"/>
  <c r="C51" i="2"/>
  <c r="F50" i="2"/>
  <c r="F49" i="2"/>
  <c r="D46" i="2"/>
  <c r="L10" i="2"/>
  <c r="L11" i="2"/>
  <c r="L16" i="2"/>
  <c r="H8" i="2"/>
  <c r="H13" i="2"/>
  <c r="F14" i="2"/>
  <c r="F15" i="2"/>
  <c r="E8" i="2"/>
  <c r="E12" i="2"/>
  <c r="E13" i="2"/>
  <c r="E17" i="2"/>
  <c r="D8" i="2"/>
  <c r="C4" i="2"/>
  <c r="C6" i="2"/>
  <c r="C11" i="2"/>
  <c r="B4" i="2"/>
  <c r="B8" i="2"/>
  <c r="B13" i="2"/>
  <c r="F153" i="2"/>
  <c r="H63" i="2"/>
  <c r="G63" i="2"/>
  <c r="F63" i="2"/>
  <c r="AO62" i="2"/>
  <c r="C62" i="2"/>
  <c r="E61" i="2"/>
  <c r="D60" i="2"/>
  <c r="F59" i="2"/>
  <c r="E59" i="2"/>
  <c r="L58" i="2"/>
  <c r="H58" i="2"/>
  <c r="H57" i="2"/>
  <c r="G57" i="2"/>
  <c r="C57" i="2"/>
  <c r="E56" i="2"/>
  <c r="G55" i="2"/>
  <c r="B55" i="2"/>
  <c r="AO54" i="2"/>
  <c r="C54" i="2"/>
  <c r="G53" i="2"/>
  <c r="F52" i="2"/>
  <c r="L51" i="2"/>
  <c r="B51" i="2"/>
  <c r="AO50" i="2"/>
  <c r="H50" i="2"/>
  <c r="AO48" i="2"/>
  <c r="B48" i="2"/>
  <c r="AO46" i="2"/>
  <c r="G24" i="2"/>
  <c r="BI416" i="2"/>
  <c r="L62" i="2"/>
  <c r="H62" i="2"/>
  <c r="H61" i="2"/>
  <c r="E60" i="2"/>
  <c r="C59" i="2"/>
  <c r="E58" i="2"/>
  <c r="AO57" i="2"/>
  <c r="F56" i="2"/>
  <c r="B56" i="2"/>
  <c r="D55" i="2"/>
  <c r="E52" i="2"/>
  <c r="G51" i="2"/>
  <c r="B49" i="2"/>
  <c r="L48" i="2"/>
  <c r="F48" i="2"/>
  <c r="D47" i="2"/>
  <c r="G62" i="2"/>
  <c r="F62" i="2"/>
  <c r="E62" i="2"/>
  <c r="AO60" i="2"/>
  <c r="B60" i="2"/>
  <c r="D59" i="2"/>
  <c r="B57" i="2"/>
  <c r="AO55" i="2"/>
  <c r="L55" i="2"/>
  <c r="C55" i="2"/>
  <c r="F54" i="2"/>
  <c r="E54" i="2"/>
  <c r="AO53" i="2"/>
  <c r="C53" i="2"/>
  <c r="B53" i="2"/>
  <c r="AO52" i="2"/>
  <c r="L52" i="2"/>
  <c r="H52" i="2"/>
  <c r="AO51" i="2"/>
  <c r="G50" i="2"/>
  <c r="E50" i="2"/>
  <c r="B50" i="2"/>
  <c r="AO49" i="2"/>
  <c r="L49" i="2"/>
  <c r="H49" i="2"/>
  <c r="G49" i="2"/>
  <c r="C49" i="2"/>
  <c r="E48" i="2"/>
  <c r="AO47" i="2"/>
  <c r="L47" i="2"/>
  <c r="L46" i="2"/>
  <c r="H46" i="2"/>
  <c r="C28" i="2"/>
  <c r="E26" i="2"/>
  <c r="B24" i="2"/>
  <c r="H22" i="2"/>
  <c r="D22" i="2"/>
  <c r="C20" i="2"/>
  <c r="F19" i="2"/>
  <c r="AT460" i="2"/>
  <c r="AT454" i="2"/>
  <c r="AT448" i="2"/>
  <c r="AT438" i="2"/>
  <c r="AT437" i="2"/>
  <c r="AT432" i="2"/>
  <c r="AT428" i="2"/>
  <c r="AT424" i="2"/>
  <c r="AT423" i="2"/>
  <c r="AT421" i="2"/>
  <c r="AT405" i="2"/>
  <c r="AT398" i="2"/>
  <c r="AT394" i="2"/>
  <c r="AT393" i="2"/>
  <c r="AT392" i="2"/>
  <c r="AT391" i="2"/>
  <c r="AT390" i="2"/>
  <c r="AT383" i="2"/>
  <c r="AT382" i="2"/>
  <c r="AT374" i="2"/>
  <c r="AT370" i="2"/>
  <c r="B125" i="2"/>
  <c r="E124" i="2"/>
  <c r="G122" i="2"/>
  <c r="F122" i="2"/>
  <c r="D122" i="2"/>
  <c r="AO120" i="2"/>
  <c r="D120" i="2"/>
  <c r="H117" i="2"/>
  <c r="G117" i="2"/>
  <c r="C117" i="2"/>
  <c r="AO115" i="2"/>
  <c r="D115" i="2"/>
  <c r="G114" i="2"/>
  <c r="F114" i="2"/>
  <c r="H113" i="2"/>
  <c r="G113" i="2"/>
  <c r="AO112" i="2"/>
  <c r="E112" i="2"/>
  <c r="H111" i="2"/>
  <c r="C111" i="2"/>
  <c r="C46" i="2"/>
  <c r="E45" i="2"/>
  <c r="E42" i="2"/>
  <c r="L41" i="2"/>
  <c r="B41" i="2"/>
  <c r="E38" i="2"/>
  <c r="B37" i="2"/>
  <c r="G36" i="2"/>
  <c r="D35" i="2"/>
  <c r="E34" i="2"/>
  <c r="AO33" i="2"/>
  <c r="C32" i="2"/>
  <c r="H31" i="2"/>
  <c r="G31" i="2"/>
  <c r="B31" i="2"/>
  <c r="B30" i="2"/>
  <c r="D29" i="2"/>
  <c r="L28" i="2"/>
  <c r="L27" i="2"/>
  <c r="F27" i="2"/>
  <c r="E27" i="2"/>
  <c r="H26" i="2"/>
  <c r="F26" i="2"/>
  <c r="L25" i="2"/>
  <c r="D24" i="2"/>
  <c r="F22" i="2"/>
  <c r="AO21" i="2"/>
  <c r="H21" i="2"/>
  <c r="L20" i="2"/>
  <c r="AO19" i="2"/>
  <c r="B18" i="2"/>
  <c r="AO13" i="2"/>
  <c r="AO12" i="2"/>
  <c r="AT461" i="2"/>
  <c r="AT453" i="2"/>
  <c r="AT443" i="2"/>
  <c r="AT442" i="2"/>
  <c r="AT441" i="2"/>
  <c r="AT440" i="2"/>
  <c r="AT436" i="2"/>
  <c r="AT434" i="2"/>
  <c r="AT430" i="2"/>
  <c r="AT429" i="2"/>
  <c r="AT427" i="2"/>
  <c r="AT422" i="2"/>
  <c r="AT411" i="2"/>
  <c r="AT409" i="2"/>
  <c r="AT407" i="2"/>
  <c r="AT406" i="2"/>
  <c r="AT402" i="2"/>
  <c r="AT401" i="2"/>
  <c r="AT400" i="2"/>
  <c r="AT381" i="2"/>
  <c r="AT366" i="2"/>
  <c r="AT365" i="2"/>
  <c r="AT364" i="2"/>
  <c r="AT363" i="2"/>
  <c r="E131" i="2"/>
  <c r="AO124" i="2"/>
  <c r="L124" i="2"/>
  <c r="C124" i="2"/>
  <c r="B124" i="2"/>
  <c r="D123" i="2"/>
  <c r="C123" i="2"/>
  <c r="B122" i="2"/>
  <c r="C121" i="2"/>
  <c r="F120" i="2"/>
  <c r="B119" i="2"/>
  <c r="E118" i="2"/>
  <c r="D118" i="2"/>
  <c r="AO116" i="2"/>
  <c r="D116" i="2"/>
  <c r="G115" i="2"/>
  <c r="F115" i="2"/>
  <c r="AO114" i="2"/>
  <c r="L114" i="2"/>
  <c r="L113" i="2"/>
  <c r="C113" i="2"/>
  <c r="F112" i="2"/>
  <c r="G111" i="2"/>
  <c r="AO44" i="2"/>
  <c r="L44" i="2"/>
  <c r="H44" i="2"/>
  <c r="B44" i="2"/>
  <c r="L43" i="2"/>
  <c r="C42" i="2"/>
  <c r="G40" i="2"/>
  <c r="C40" i="2"/>
  <c r="B40" i="2"/>
  <c r="AO39" i="2"/>
  <c r="H39" i="2"/>
  <c r="F38" i="2"/>
  <c r="AO37" i="2"/>
  <c r="L37" i="2"/>
  <c r="G37" i="2"/>
  <c r="AO36" i="2"/>
  <c r="AO35" i="2"/>
  <c r="L35" i="2"/>
  <c r="L34" i="2"/>
  <c r="H34" i="2"/>
  <c r="G34" i="2"/>
  <c r="D33" i="2"/>
  <c r="C33" i="2"/>
  <c r="E32" i="2"/>
  <c r="H30" i="2"/>
  <c r="G30" i="2"/>
  <c r="F30" i="2"/>
  <c r="AO29" i="2"/>
  <c r="C29" i="2"/>
  <c r="B28" i="2"/>
  <c r="B27" i="2"/>
  <c r="H25" i="2"/>
  <c r="G25" i="2"/>
  <c r="L24" i="2"/>
  <c r="H24" i="2"/>
  <c r="D23" i="2"/>
  <c r="L21" i="2"/>
  <c r="E21" i="2"/>
  <c r="D21" i="2"/>
  <c r="G20" i="2"/>
  <c r="E20" i="2"/>
  <c r="D20" i="2"/>
  <c r="H18" i="2"/>
  <c r="G18" i="2"/>
  <c r="AO17" i="2"/>
  <c r="AT459" i="2"/>
  <c r="AT452" i="2"/>
  <c r="AT451" i="2"/>
  <c r="AT447" i="2"/>
  <c r="AT446" i="2"/>
  <c r="AT431" i="2"/>
  <c r="AT425" i="2"/>
  <c r="AT420" i="2"/>
  <c r="AT416" i="2"/>
  <c r="AT412" i="2"/>
  <c r="AT410" i="2"/>
  <c r="AT403" i="2"/>
  <c r="AT395" i="2"/>
  <c r="AT389" i="2"/>
  <c r="AT384" i="2"/>
  <c r="AT378" i="2"/>
  <c r="AT377" i="2"/>
  <c r="AT376" i="2"/>
  <c r="AT375" i="2"/>
  <c r="AT373" i="2"/>
  <c r="AT372" i="2"/>
  <c r="AT371" i="2"/>
  <c r="AT361" i="2"/>
  <c r="H124" i="2"/>
  <c r="G124" i="2"/>
  <c r="AO123" i="2"/>
  <c r="L123" i="2"/>
  <c r="H123" i="2"/>
  <c r="AO122" i="2"/>
  <c r="H121" i="2"/>
  <c r="B121" i="2"/>
  <c r="L120" i="2"/>
  <c r="G120" i="2"/>
  <c r="C120" i="2"/>
  <c r="F119" i="2"/>
  <c r="AO118" i="2"/>
  <c r="L118" i="2"/>
  <c r="AO117" i="2"/>
  <c r="D117" i="2"/>
  <c r="H116" i="2"/>
  <c r="G116" i="2"/>
  <c r="F116" i="2"/>
  <c r="B116" i="2"/>
  <c r="L115" i="2"/>
  <c r="B115" i="2"/>
  <c r="D114" i="2"/>
  <c r="L112" i="2"/>
  <c r="D112" i="2"/>
  <c r="B112" i="2"/>
  <c r="L111" i="2"/>
  <c r="H45" i="2"/>
  <c r="C44" i="2"/>
  <c r="D42" i="2"/>
  <c r="H41" i="2"/>
  <c r="G39" i="2"/>
  <c r="F39" i="2"/>
  <c r="E39" i="2"/>
  <c r="L38" i="2"/>
  <c r="H38" i="2"/>
  <c r="G38" i="2"/>
  <c r="D37" i="2"/>
  <c r="C37" i="2"/>
  <c r="AO34" i="2"/>
  <c r="L33" i="2"/>
  <c r="H33" i="2"/>
  <c r="B33" i="2"/>
  <c r="D31" i="2"/>
  <c r="L29" i="2"/>
  <c r="G29" i="2"/>
  <c r="F29" i="2"/>
  <c r="AO28" i="2"/>
  <c r="C25" i="2"/>
  <c r="B25" i="2"/>
  <c r="AO24" i="2"/>
  <c r="F24" i="2"/>
  <c r="L23" i="2"/>
  <c r="H23" i="2"/>
  <c r="G23" i="2"/>
  <c r="AO22" i="2"/>
  <c r="F21" i="2"/>
  <c r="H20" i="2"/>
  <c r="F20" i="2"/>
  <c r="C19" i="2"/>
  <c r="AO16" i="2"/>
  <c r="AT462" i="2"/>
  <c r="AT458" i="2"/>
  <c r="AT457" i="2"/>
  <c r="AT456" i="2"/>
  <c r="AT455" i="2"/>
  <c r="AT426" i="2"/>
  <c r="AT419" i="2"/>
  <c r="AT415" i="2"/>
  <c r="AT414" i="2"/>
  <c r="AT399" i="2"/>
  <c r="AT397" i="2"/>
  <c r="AT396" i="2"/>
  <c r="AT387" i="2"/>
  <c r="AT379" i="2"/>
  <c r="AT368" i="2"/>
  <c r="AT367" i="2"/>
  <c r="AT362" i="2"/>
  <c r="F123" i="2"/>
  <c r="G121" i="2"/>
  <c r="F121" i="2"/>
  <c r="E120" i="2"/>
  <c r="AO119" i="2"/>
  <c r="H119" i="2"/>
  <c r="G119" i="2"/>
  <c r="C119" i="2"/>
  <c r="F118" i="2"/>
  <c r="E117" i="2"/>
  <c r="L116" i="2"/>
  <c r="C116" i="2"/>
  <c r="C115" i="2"/>
  <c r="C114" i="2"/>
  <c r="B114" i="2"/>
  <c r="AO113" i="2"/>
  <c r="D113" i="2"/>
  <c r="C112" i="2"/>
  <c r="AO111" i="2"/>
  <c r="D111" i="2"/>
  <c r="L45" i="2"/>
  <c r="G45" i="2"/>
  <c r="F45" i="2"/>
  <c r="D44" i="2"/>
  <c r="F43" i="2"/>
  <c r="E43" i="2"/>
  <c r="G42" i="2"/>
  <c r="B42" i="2"/>
  <c r="F40" i="2"/>
  <c r="E40" i="2"/>
  <c r="F36" i="2"/>
  <c r="E36" i="2"/>
  <c r="B36" i="2"/>
  <c r="H35" i="2"/>
  <c r="C34" i="2"/>
  <c r="L32" i="2"/>
  <c r="H32" i="2"/>
  <c r="G32" i="2"/>
  <c r="F32" i="2"/>
  <c r="E31" i="2"/>
  <c r="D30" i="2"/>
  <c r="E29" i="2"/>
  <c r="D28" i="2"/>
  <c r="AO26" i="2"/>
  <c r="L26" i="2"/>
  <c r="AO25" i="2"/>
  <c r="E24" i="2"/>
  <c r="AO23" i="2"/>
  <c r="B22" i="2"/>
  <c r="G21" i="2"/>
  <c r="AO20" i="2"/>
  <c r="B19" i="2"/>
  <c r="D18" i="2"/>
  <c r="AT450" i="2"/>
  <c r="AT449" i="2"/>
  <c r="AT445" i="2"/>
  <c r="AT444" i="2"/>
  <c r="AT439" i="2"/>
  <c r="AT435" i="2"/>
  <c r="AT433" i="2"/>
  <c r="AT418" i="2"/>
  <c r="AT417" i="2"/>
  <c r="AT413" i="2"/>
  <c r="AT408" i="2"/>
  <c r="AT404" i="2"/>
  <c r="AT388" i="2"/>
  <c r="AT386" i="2"/>
  <c r="AT385" i="2"/>
  <c r="AT380" i="2"/>
  <c r="AT369" i="2"/>
  <c r="C125" i="2"/>
  <c r="F124" i="2"/>
  <c r="E123" i="2"/>
  <c r="E122" i="2"/>
  <c r="AO121" i="2"/>
  <c r="L121" i="2"/>
  <c r="D121" i="2"/>
  <c r="L119" i="2"/>
  <c r="D119" i="2"/>
  <c r="H118" i="2"/>
  <c r="B118" i="2"/>
  <c r="L117" i="2"/>
  <c r="E115" i="2"/>
  <c r="H114" i="2"/>
  <c r="E113" i="2"/>
  <c r="B113" i="2"/>
  <c r="H112" i="2"/>
  <c r="G112" i="2"/>
  <c r="E111" i="2"/>
  <c r="B46" i="2"/>
  <c r="D45" i="2"/>
  <c r="G44" i="2"/>
  <c r="F44" i="2"/>
  <c r="D43" i="2"/>
  <c r="C43" i="2"/>
  <c r="F42" i="2"/>
  <c r="C41" i="2"/>
  <c r="D39" i="2"/>
  <c r="C38" i="2"/>
  <c r="D36" i="2"/>
  <c r="G35" i="2"/>
  <c r="E35" i="2"/>
  <c r="C35" i="2"/>
  <c r="F34" i="2"/>
  <c r="B34" i="2"/>
  <c r="F33" i="2"/>
  <c r="E33" i="2"/>
  <c r="AO32" i="2"/>
  <c r="B32" i="2"/>
  <c r="AO31" i="2"/>
  <c r="AO30" i="2"/>
  <c r="C30" i="2"/>
  <c r="B29" i="2"/>
  <c r="H28" i="2"/>
  <c r="G28" i="2"/>
  <c r="F28" i="2"/>
  <c r="E28" i="2"/>
  <c r="AO27" i="2"/>
  <c r="E25" i="2"/>
  <c r="F23" i="2"/>
  <c r="E23" i="2"/>
  <c r="B23" i="2"/>
  <c r="E22" i="2"/>
  <c r="B21" i="2"/>
  <c r="D19" i="2"/>
  <c r="AT360" i="2"/>
  <c r="C129" i="2"/>
  <c r="D124" i="2"/>
  <c r="G123" i="2"/>
  <c r="B123" i="2"/>
  <c r="L122" i="2"/>
  <c r="H122" i="2"/>
  <c r="C122" i="2"/>
  <c r="E121" i="2"/>
  <c r="H120" i="2"/>
  <c r="B120" i="2"/>
  <c r="E119" i="2"/>
  <c r="G118" i="2"/>
  <c r="C118" i="2"/>
  <c r="F117" i="2"/>
  <c r="B117" i="2"/>
  <c r="E116" i="2"/>
  <c r="H115" i="2"/>
  <c r="E114" i="2"/>
  <c r="F113" i="2"/>
  <c r="F111" i="2"/>
  <c r="AO45" i="2"/>
  <c r="C45" i="2"/>
  <c r="E44" i="2"/>
  <c r="AO43" i="2"/>
  <c r="H43" i="2"/>
  <c r="G43" i="2"/>
  <c r="B43" i="2"/>
  <c r="H42" i="2"/>
  <c r="D40" i="2"/>
  <c r="L39" i="2"/>
  <c r="B39" i="2"/>
  <c r="AO38" i="2"/>
  <c r="B38" i="2"/>
  <c r="H37" i="2"/>
  <c r="C36" i="2"/>
  <c r="F35" i="2"/>
  <c r="B35" i="2"/>
  <c r="D34" i="2"/>
  <c r="G33" i="2"/>
  <c r="D32" i="2"/>
  <c r="F31" i="2"/>
  <c r="C31" i="2"/>
  <c r="E30" i="2"/>
  <c r="H27" i="2"/>
  <c r="G27" i="2"/>
  <c r="C27" i="2"/>
  <c r="G26" i="2"/>
  <c r="B26" i="2"/>
  <c r="F25" i="2"/>
  <c r="D25" i="2"/>
  <c r="C24" i="2"/>
  <c r="L22" i="2"/>
  <c r="C21" i="2"/>
  <c r="B20" i="2"/>
  <c r="L19" i="2"/>
  <c r="AO18" i="2"/>
  <c r="E18" i="2"/>
  <c r="AO15" i="2"/>
  <c r="AO14" i="2"/>
  <c r="AO11" i="2"/>
  <c r="AO10" i="2"/>
  <c r="AO9" i="2"/>
  <c r="B111" i="2"/>
  <c r="B45" i="2"/>
  <c r="AO42" i="2"/>
  <c r="L42" i="2"/>
  <c r="AO41" i="2"/>
  <c r="G41" i="2"/>
  <c r="F41" i="2"/>
  <c r="E41" i="2"/>
  <c r="D41" i="2"/>
  <c r="AO40" i="2"/>
  <c r="L40" i="2"/>
  <c r="H40" i="2"/>
  <c r="C39" i="2"/>
  <c r="D38" i="2"/>
  <c r="F37" i="2"/>
  <c r="E37" i="2"/>
  <c r="L36" i="2"/>
  <c r="H36" i="2"/>
  <c r="L31" i="2"/>
  <c r="L30" i="2"/>
  <c r="H29" i="2"/>
  <c r="D27" i="2"/>
  <c r="D26" i="2"/>
  <c r="C26" i="2"/>
  <c r="C23" i="2"/>
  <c r="G22" i="2"/>
  <c r="C22" i="2"/>
  <c r="H19" i="2"/>
  <c r="G19" i="2"/>
  <c r="E19" i="2"/>
  <c r="L18" i="2"/>
  <c r="F18" i="2"/>
  <c r="C18" i="2"/>
  <c r="AO8" i="2"/>
  <c r="AR501" i="2"/>
  <c r="H130" i="2"/>
  <c r="D130" i="2"/>
  <c r="H129" i="2"/>
  <c r="D129" i="2"/>
  <c r="B129" i="2"/>
  <c r="AO128" i="2"/>
  <c r="G128" i="2"/>
  <c r="E128" i="2"/>
  <c r="B128" i="2"/>
  <c r="H127" i="2"/>
  <c r="E127" i="2"/>
  <c r="B127" i="2"/>
  <c r="L126" i="2"/>
  <c r="G126" i="2"/>
  <c r="D126" i="2"/>
  <c r="B126" i="2"/>
  <c r="H125" i="2"/>
  <c r="D125" i="2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AO131" i="2"/>
  <c r="L131" i="2"/>
  <c r="G131" i="2"/>
  <c r="F131" i="2"/>
  <c r="D131" i="2"/>
  <c r="B131" i="2"/>
  <c r="AO130" i="2"/>
  <c r="G130" i="2"/>
  <c r="E130" i="2"/>
  <c r="B130" i="2"/>
  <c r="AO129" i="2"/>
  <c r="G129" i="2"/>
  <c r="E129" i="2"/>
  <c r="L128" i="2"/>
  <c r="F128" i="2"/>
  <c r="C128" i="2"/>
  <c r="L127" i="2"/>
  <c r="F127" i="2"/>
  <c r="C127" i="2"/>
  <c r="H126" i="2"/>
  <c r="E126" i="2"/>
  <c r="AO125" i="2"/>
  <c r="G125" i="2"/>
  <c r="E125" i="2"/>
  <c r="BI463" i="2"/>
  <c r="AJ416" i="2"/>
  <c r="AG416" i="2"/>
  <c r="H131" i="2"/>
  <c r="C131" i="2"/>
  <c r="L130" i="2"/>
  <c r="F130" i="2"/>
  <c r="C130" i="2"/>
  <c r="L129" i="2"/>
  <c r="F129" i="2"/>
  <c r="H128" i="2"/>
  <c r="D128" i="2"/>
  <c r="AO127" i="2"/>
  <c r="G127" i="2"/>
  <c r="D127" i="2"/>
  <c r="AO126" i="2"/>
  <c r="F126" i="2"/>
  <c r="C126" i="2"/>
  <c r="L125" i="2"/>
  <c r="F125" i="2"/>
  <c r="BW2" i="4"/>
  <c r="BS2" i="4"/>
  <c r="BR2" i="4"/>
  <c r="BQ2" i="4"/>
  <c r="BU2" i="4" s="1"/>
  <c r="AH2" i="4"/>
  <c r="AB496" i="2"/>
  <c r="AT495" i="2"/>
  <c r="V495" i="2"/>
  <c r="BI492" i="2"/>
  <c r="AG491" i="2"/>
  <c r="V491" i="2"/>
  <c r="V489" i="2"/>
  <c r="AJ488" i="2"/>
  <c r="AT487" i="2"/>
  <c r="AB482" i="2"/>
  <c r="AG481" i="2"/>
  <c r="V481" i="2"/>
  <c r="BI479" i="2"/>
  <c r="V479" i="2"/>
  <c r="AG478" i="2"/>
  <c r="AB478" i="2"/>
  <c r="AJ476" i="2"/>
  <c r="AJ475" i="2"/>
  <c r="AG475" i="2"/>
  <c r="BI473" i="2"/>
  <c r="V473" i="2"/>
  <c r="AB471" i="2"/>
  <c r="AJ469" i="2"/>
  <c r="AT466" i="2"/>
  <c r="AT463" i="2"/>
  <c r="AJ463" i="2"/>
  <c r="AG463" i="2"/>
  <c r="AB463" i="2"/>
  <c r="V463" i="2"/>
  <c r="BI462" i="2"/>
  <c r="AJ462" i="2"/>
  <c r="AG462" i="2"/>
  <c r="AB462" i="2"/>
  <c r="V462" i="2"/>
  <c r="BI461" i="2"/>
  <c r="AJ461" i="2"/>
  <c r="AG461" i="2"/>
  <c r="AB461" i="2"/>
  <c r="V461" i="2"/>
  <c r="BI460" i="2"/>
  <c r="AJ460" i="2"/>
  <c r="AG460" i="2"/>
  <c r="AB460" i="2"/>
  <c r="V460" i="2"/>
  <c r="BI459" i="2"/>
  <c r="AJ459" i="2"/>
  <c r="AG459" i="2"/>
  <c r="AB459" i="2"/>
  <c r="V459" i="2"/>
  <c r="BI458" i="2"/>
  <c r="AJ458" i="2"/>
  <c r="AG458" i="2"/>
  <c r="AB458" i="2"/>
  <c r="V458" i="2"/>
  <c r="BI457" i="2"/>
  <c r="AJ457" i="2"/>
  <c r="AG457" i="2"/>
  <c r="AB457" i="2"/>
  <c r="V457" i="2"/>
  <c r="BI456" i="2"/>
  <c r="AJ456" i="2"/>
  <c r="AG456" i="2"/>
  <c r="AB456" i="2"/>
  <c r="V456" i="2"/>
  <c r="BI455" i="2"/>
  <c r="AJ455" i="2"/>
  <c r="AG455" i="2"/>
  <c r="AB455" i="2"/>
  <c r="V455" i="2"/>
  <c r="BI454" i="2"/>
  <c r="AJ454" i="2"/>
  <c r="AG454" i="2"/>
  <c r="AB454" i="2"/>
  <c r="V454" i="2"/>
  <c r="BI453" i="2"/>
  <c r="AJ453" i="2"/>
  <c r="AG453" i="2"/>
  <c r="AB453" i="2"/>
  <c r="V453" i="2"/>
  <c r="BI452" i="2"/>
  <c r="AJ452" i="2"/>
  <c r="AG452" i="2"/>
  <c r="AB452" i="2"/>
  <c r="V452" i="2"/>
  <c r="BI451" i="2"/>
  <c r="AJ451" i="2"/>
  <c r="AG451" i="2"/>
  <c r="AB451" i="2"/>
  <c r="V451" i="2"/>
  <c r="BI450" i="2"/>
  <c r="AJ450" i="2"/>
  <c r="AG450" i="2"/>
  <c r="AB450" i="2"/>
  <c r="V450" i="2"/>
  <c r="BI449" i="2"/>
  <c r="AJ449" i="2"/>
  <c r="AG449" i="2"/>
  <c r="AB449" i="2"/>
  <c r="V449" i="2"/>
  <c r="BI448" i="2"/>
  <c r="AJ448" i="2"/>
  <c r="AG448" i="2"/>
  <c r="AB448" i="2"/>
  <c r="V448" i="2"/>
  <c r="BI447" i="2"/>
  <c r="AJ447" i="2"/>
  <c r="AG447" i="2"/>
  <c r="AB447" i="2"/>
  <c r="V447" i="2"/>
  <c r="BI446" i="2"/>
  <c r="AJ446" i="2"/>
  <c r="AG446" i="2"/>
  <c r="AB446" i="2"/>
  <c r="V446" i="2"/>
  <c r="BI445" i="2"/>
  <c r="AJ445" i="2"/>
  <c r="AG445" i="2"/>
  <c r="AB445" i="2"/>
  <c r="V445" i="2"/>
  <c r="BI444" i="2"/>
  <c r="AJ444" i="2"/>
  <c r="AG444" i="2"/>
  <c r="AB444" i="2"/>
  <c r="V444" i="2"/>
  <c r="BI443" i="2"/>
  <c r="AJ443" i="2"/>
  <c r="AG443" i="2"/>
  <c r="AB443" i="2"/>
  <c r="V443" i="2"/>
  <c r="BI442" i="2"/>
  <c r="AJ442" i="2"/>
  <c r="AG442" i="2"/>
  <c r="AB442" i="2"/>
  <c r="V442" i="2"/>
  <c r="BI441" i="2"/>
  <c r="AJ441" i="2"/>
  <c r="AG441" i="2"/>
  <c r="AB441" i="2"/>
  <c r="V441" i="2"/>
  <c r="BI440" i="2"/>
  <c r="AJ440" i="2"/>
  <c r="AG440" i="2"/>
  <c r="AB440" i="2"/>
  <c r="V440" i="2"/>
  <c r="BI439" i="2"/>
  <c r="AJ439" i="2"/>
  <c r="AG439" i="2"/>
  <c r="AB439" i="2"/>
  <c r="V439" i="2"/>
  <c r="BI438" i="2"/>
  <c r="AJ438" i="2"/>
  <c r="AG438" i="2"/>
  <c r="AB438" i="2"/>
  <c r="V438" i="2"/>
  <c r="BI437" i="2"/>
  <c r="AJ437" i="2"/>
  <c r="AG437" i="2"/>
  <c r="AB437" i="2"/>
  <c r="V437" i="2"/>
  <c r="BI436" i="2"/>
  <c r="AJ436" i="2"/>
  <c r="AG436" i="2"/>
  <c r="AB436" i="2"/>
  <c r="V436" i="2"/>
  <c r="BI435" i="2"/>
  <c r="AJ435" i="2"/>
  <c r="AG435" i="2"/>
  <c r="AB435" i="2"/>
  <c r="V435" i="2"/>
  <c r="BI434" i="2"/>
  <c r="AJ434" i="2"/>
  <c r="AG434" i="2"/>
  <c r="AB434" i="2"/>
  <c r="V434" i="2"/>
  <c r="BI433" i="2"/>
  <c r="AJ433" i="2"/>
  <c r="AG433" i="2"/>
  <c r="AB433" i="2"/>
  <c r="V433" i="2"/>
  <c r="BI432" i="2"/>
  <c r="AJ432" i="2"/>
  <c r="AG432" i="2"/>
  <c r="AB432" i="2"/>
  <c r="V432" i="2"/>
  <c r="BI431" i="2"/>
  <c r="AJ431" i="2"/>
  <c r="AG431" i="2"/>
  <c r="AB431" i="2"/>
  <c r="V431" i="2"/>
  <c r="BI430" i="2"/>
  <c r="AJ430" i="2"/>
  <c r="AG430" i="2"/>
  <c r="AB430" i="2"/>
  <c r="V430" i="2"/>
  <c r="BI429" i="2"/>
  <c r="AJ429" i="2"/>
  <c r="AG429" i="2"/>
  <c r="AB429" i="2"/>
  <c r="V429" i="2"/>
  <c r="BI428" i="2"/>
  <c r="AJ428" i="2"/>
  <c r="AG428" i="2"/>
  <c r="AB428" i="2"/>
  <c r="V428" i="2"/>
  <c r="BI427" i="2"/>
  <c r="AJ427" i="2"/>
  <c r="AG427" i="2"/>
  <c r="AB427" i="2"/>
  <c r="V427" i="2"/>
  <c r="BI426" i="2"/>
  <c r="AJ426" i="2"/>
  <c r="AG426" i="2"/>
  <c r="AB426" i="2"/>
  <c r="V426" i="2"/>
  <c r="BI425" i="2"/>
  <c r="AJ425" i="2"/>
  <c r="AG425" i="2"/>
  <c r="AB425" i="2"/>
  <c r="V425" i="2"/>
  <c r="BI424" i="2"/>
  <c r="AJ424" i="2"/>
  <c r="AG424" i="2"/>
  <c r="AB424" i="2"/>
  <c r="V424" i="2"/>
  <c r="BI423" i="2"/>
  <c r="AJ423" i="2"/>
  <c r="AG423" i="2"/>
  <c r="AB423" i="2"/>
  <c r="V423" i="2"/>
  <c r="BI422" i="2"/>
  <c r="AJ422" i="2"/>
  <c r="AG422" i="2"/>
  <c r="AB422" i="2"/>
  <c r="V422" i="2"/>
  <c r="BI421" i="2"/>
  <c r="AJ421" i="2"/>
  <c r="AG421" i="2"/>
  <c r="AB421" i="2"/>
  <c r="V421" i="2"/>
  <c r="BI420" i="2"/>
  <c r="AJ420" i="2"/>
  <c r="AG420" i="2"/>
  <c r="AB420" i="2"/>
  <c r="V420" i="2"/>
  <c r="BI419" i="2"/>
  <c r="AJ419" i="2"/>
  <c r="AG419" i="2"/>
  <c r="AB419" i="2"/>
  <c r="V419" i="2"/>
  <c r="BI418" i="2"/>
  <c r="AJ418" i="2"/>
  <c r="AG418" i="2"/>
  <c r="AB418" i="2"/>
  <c r="V418" i="2"/>
  <c r="BI417" i="2"/>
  <c r="AJ417" i="2"/>
  <c r="AG417" i="2"/>
  <c r="AB417" i="2"/>
  <c r="V417" i="2"/>
  <c r="G149" i="2"/>
  <c r="F149" i="2"/>
  <c r="K149" i="2" s="1"/>
  <c r="B149" i="2"/>
  <c r="D148" i="2"/>
  <c r="J148" i="2" s="1"/>
  <c r="C147" i="2"/>
  <c r="D146" i="2"/>
  <c r="J146" i="2" s="1"/>
  <c r="E145" i="2"/>
  <c r="H144" i="2"/>
  <c r="AO143" i="2"/>
  <c r="H143" i="2"/>
  <c r="C142" i="2"/>
  <c r="AO141" i="2"/>
  <c r="G141" i="2"/>
  <c r="B141" i="2"/>
  <c r="C140" i="2"/>
  <c r="AO139" i="2"/>
  <c r="F139" i="2"/>
  <c r="K139" i="2" s="1"/>
  <c r="C138" i="2"/>
  <c r="G137" i="2"/>
  <c r="F137" i="2"/>
  <c r="K137" i="2" s="1"/>
  <c r="AO136" i="2"/>
  <c r="B135" i="2"/>
  <c r="C134" i="2"/>
  <c r="B134" i="2"/>
  <c r="E133" i="2"/>
  <c r="B133" i="2"/>
  <c r="AO132" i="2"/>
  <c r="E132" i="2"/>
  <c r="H96" i="2"/>
  <c r="D96" i="2"/>
  <c r="J96" i="2" s="1"/>
  <c r="L94" i="2"/>
  <c r="F94" i="2"/>
  <c r="K94" i="2" s="1"/>
  <c r="E94" i="2"/>
  <c r="C89" i="2"/>
  <c r="B89" i="2"/>
  <c r="L88" i="2"/>
  <c r="C87" i="2"/>
  <c r="F86" i="2"/>
  <c r="K86" i="2" s="1"/>
  <c r="D86" i="2"/>
  <c r="J86" i="2" s="1"/>
  <c r="C86" i="2"/>
  <c r="C85" i="2"/>
  <c r="H84" i="2"/>
  <c r="E84" i="2"/>
  <c r="D84" i="2"/>
  <c r="J84" i="2" s="1"/>
  <c r="L83" i="2"/>
  <c r="H83" i="2"/>
  <c r="AO82" i="2"/>
  <c r="H82" i="2"/>
  <c r="B81" i="2"/>
  <c r="E78" i="2"/>
  <c r="AO76" i="2"/>
  <c r="E75" i="2"/>
  <c r="C75" i="2"/>
  <c r="G72" i="2"/>
  <c r="B72" i="2"/>
  <c r="F71" i="2"/>
  <c r="K71" i="2" s="1"/>
  <c r="E71" i="2"/>
  <c r="L67" i="2"/>
  <c r="E67" i="2"/>
  <c r="D67" i="2"/>
  <c r="J67" i="2" s="1"/>
  <c r="AO66" i="2"/>
  <c r="L66" i="2"/>
  <c r="H66" i="2"/>
  <c r="CU6" i="2"/>
  <c r="CR4" i="2"/>
  <c r="BZ4" i="2"/>
  <c r="BR4" i="2"/>
  <c r="AO4" i="2"/>
  <c r="CT3" i="2"/>
  <c r="BS2" i="2"/>
  <c r="BR2" i="2"/>
  <c r="AT504" i="2"/>
  <c r="AS504" i="2"/>
  <c r="BI503" i="2"/>
  <c r="AS503" i="2"/>
  <c r="AR503" i="2"/>
  <c r="BH502" i="2"/>
  <c r="AT502" i="2"/>
  <c r="AM501" i="2"/>
  <c r="BI499" i="2"/>
  <c r="AT499" i="2"/>
  <c r="BI498" i="2"/>
  <c r="V498" i="2"/>
  <c r="BI497" i="2"/>
  <c r="AB497" i="2"/>
  <c r="AT496" i="2"/>
  <c r="AB487" i="2"/>
  <c r="V486" i="2"/>
  <c r="AG485" i="2"/>
  <c r="V483" i="2"/>
  <c r="AT482" i="2"/>
  <c r="AJ482" i="2"/>
  <c r="BI476" i="2"/>
  <c r="AT476" i="2"/>
  <c r="AB476" i="2"/>
  <c r="AG474" i="2"/>
  <c r="V474" i="2"/>
  <c r="BI472" i="2"/>
  <c r="AT472" i="2"/>
  <c r="AB470" i="2"/>
  <c r="BI469" i="2"/>
  <c r="V469" i="2"/>
  <c r="AJ467" i="2"/>
  <c r="V464" i="2"/>
  <c r="AB416" i="2"/>
  <c r="V416" i="2"/>
  <c r="BI415" i="2"/>
  <c r="AJ415" i="2"/>
  <c r="AG415" i="2"/>
  <c r="AB415" i="2"/>
  <c r="V415" i="2"/>
  <c r="BI414" i="2"/>
  <c r="AJ414" i="2"/>
  <c r="AG414" i="2"/>
  <c r="AB414" i="2"/>
  <c r="V414" i="2"/>
  <c r="BI413" i="2"/>
  <c r="AJ413" i="2"/>
  <c r="AG413" i="2"/>
  <c r="AB413" i="2"/>
  <c r="V413" i="2"/>
  <c r="BI412" i="2"/>
  <c r="AJ412" i="2"/>
  <c r="AG412" i="2"/>
  <c r="AB412" i="2"/>
  <c r="V412" i="2"/>
  <c r="BI411" i="2"/>
  <c r="AJ411" i="2"/>
  <c r="AG411" i="2"/>
  <c r="AB411" i="2"/>
  <c r="V411" i="2"/>
  <c r="BI410" i="2"/>
  <c r="AJ410" i="2"/>
  <c r="AG410" i="2"/>
  <c r="AB410" i="2"/>
  <c r="V410" i="2"/>
  <c r="BI409" i="2"/>
  <c r="AJ409" i="2"/>
  <c r="AG409" i="2"/>
  <c r="AB409" i="2"/>
  <c r="V409" i="2"/>
  <c r="BI408" i="2"/>
  <c r="AJ408" i="2"/>
  <c r="AG408" i="2"/>
  <c r="AB408" i="2"/>
  <c r="V408" i="2"/>
  <c r="BI407" i="2"/>
  <c r="AJ407" i="2"/>
  <c r="AG407" i="2"/>
  <c r="AB407" i="2"/>
  <c r="V407" i="2"/>
  <c r="BI406" i="2"/>
  <c r="AJ406" i="2"/>
  <c r="AG406" i="2"/>
  <c r="AB406" i="2"/>
  <c r="V406" i="2"/>
  <c r="BI405" i="2"/>
  <c r="AJ405" i="2"/>
  <c r="AG405" i="2"/>
  <c r="AB405" i="2"/>
  <c r="V405" i="2"/>
  <c r="BI404" i="2"/>
  <c r="AJ404" i="2"/>
  <c r="AG404" i="2"/>
  <c r="AB404" i="2"/>
  <c r="V404" i="2"/>
  <c r="BI403" i="2"/>
  <c r="AJ403" i="2"/>
  <c r="AG403" i="2"/>
  <c r="AB403" i="2"/>
  <c r="V403" i="2"/>
  <c r="BI402" i="2"/>
  <c r="AJ402" i="2"/>
  <c r="AG402" i="2"/>
  <c r="AB402" i="2"/>
  <c r="V402" i="2"/>
  <c r="BI401" i="2"/>
  <c r="AJ401" i="2"/>
  <c r="AG401" i="2"/>
  <c r="AB401" i="2"/>
  <c r="V401" i="2"/>
  <c r="BI400" i="2"/>
  <c r="AJ400" i="2"/>
  <c r="AG400" i="2"/>
  <c r="AB400" i="2"/>
  <c r="V400" i="2"/>
  <c r="BI399" i="2"/>
  <c r="AJ399" i="2"/>
  <c r="AG399" i="2"/>
  <c r="AB399" i="2"/>
  <c r="V399" i="2"/>
  <c r="BI398" i="2"/>
  <c r="AJ398" i="2"/>
  <c r="AG398" i="2"/>
  <c r="AB398" i="2"/>
  <c r="V398" i="2"/>
  <c r="BI397" i="2"/>
  <c r="AJ397" i="2"/>
  <c r="AG397" i="2"/>
  <c r="AB397" i="2"/>
  <c r="V397" i="2"/>
  <c r="BI396" i="2"/>
  <c r="AJ396" i="2"/>
  <c r="AG396" i="2"/>
  <c r="AB396" i="2"/>
  <c r="V396" i="2"/>
  <c r="BI395" i="2"/>
  <c r="AJ395" i="2"/>
  <c r="AG395" i="2"/>
  <c r="AB395" i="2"/>
  <c r="V395" i="2"/>
  <c r="BI394" i="2"/>
  <c r="AJ394" i="2"/>
  <c r="AG394" i="2"/>
  <c r="AB394" i="2"/>
  <c r="V394" i="2"/>
  <c r="BI393" i="2"/>
  <c r="AJ393" i="2"/>
  <c r="AG393" i="2"/>
  <c r="AB393" i="2"/>
  <c r="V393" i="2"/>
  <c r="BI392" i="2"/>
  <c r="AJ392" i="2"/>
  <c r="AG392" i="2"/>
  <c r="AB392" i="2"/>
  <c r="V392" i="2"/>
  <c r="BI391" i="2"/>
  <c r="AJ391" i="2"/>
  <c r="AG391" i="2"/>
  <c r="AB391" i="2"/>
  <c r="V391" i="2"/>
  <c r="BI390" i="2"/>
  <c r="AJ390" i="2"/>
  <c r="AG390" i="2"/>
  <c r="AB390" i="2"/>
  <c r="V390" i="2"/>
  <c r="BI389" i="2"/>
  <c r="AJ389" i="2"/>
  <c r="AG389" i="2"/>
  <c r="AB389" i="2"/>
  <c r="V389" i="2"/>
  <c r="BI388" i="2"/>
  <c r="AJ388" i="2"/>
  <c r="AG388" i="2"/>
  <c r="AB388" i="2"/>
  <c r="V388" i="2"/>
  <c r="BI387" i="2"/>
  <c r="AJ387" i="2"/>
  <c r="AG387" i="2"/>
  <c r="AB387" i="2"/>
  <c r="V387" i="2"/>
  <c r="BI386" i="2"/>
  <c r="AJ386" i="2"/>
  <c r="AG386" i="2"/>
  <c r="AB386" i="2"/>
  <c r="V386" i="2"/>
  <c r="BI385" i="2"/>
  <c r="AJ385" i="2"/>
  <c r="AG385" i="2"/>
  <c r="AB385" i="2"/>
  <c r="V385" i="2"/>
  <c r="BI384" i="2"/>
  <c r="AJ384" i="2"/>
  <c r="AG384" i="2"/>
  <c r="AB384" i="2"/>
  <c r="V384" i="2"/>
  <c r="BI383" i="2"/>
  <c r="AJ383" i="2"/>
  <c r="AG383" i="2"/>
  <c r="AB383" i="2"/>
  <c r="V383" i="2"/>
  <c r="BI382" i="2"/>
  <c r="AJ382" i="2"/>
  <c r="AG382" i="2"/>
  <c r="AB382" i="2"/>
  <c r="V382" i="2"/>
  <c r="BI381" i="2"/>
  <c r="AJ381" i="2"/>
  <c r="AG381" i="2"/>
  <c r="AB381" i="2"/>
  <c r="V381" i="2"/>
  <c r="BI380" i="2"/>
  <c r="AJ380" i="2"/>
  <c r="AG380" i="2"/>
  <c r="AB380" i="2"/>
  <c r="V380" i="2"/>
  <c r="BI379" i="2"/>
  <c r="AJ379" i="2"/>
  <c r="AG379" i="2"/>
  <c r="AB379" i="2"/>
  <c r="V379" i="2"/>
  <c r="BI378" i="2"/>
  <c r="AJ378" i="2"/>
  <c r="AG378" i="2"/>
  <c r="AB378" i="2"/>
  <c r="V378" i="2"/>
  <c r="BI377" i="2"/>
  <c r="AJ377" i="2"/>
  <c r="AG377" i="2"/>
  <c r="AB377" i="2"/>
  <c r="V377" i="2"/>
  <c r="BI376" i="2"/>
  <c r="AJ376" i="2"/>
  <c r="AG376" i="2"/>
  <c r="AB376" i="2"/>
  <c r="V376" i="2"/>
  <c r="BI375" i="2"/>
  <c r="AJ375" i="2"/>
  <c r="AG375" i="2"/>
  <c r="AB375" i="2"/>
  <c r="V375" i="2"/>
  <c r="BI374" i="2"/>
  <c r="AJ374" i="2"/>
  <c r="AG374" i="2"/>
  <c r="AB374" i="2"/>
  <c r="V374" i="2"/>
  <c r="BI373" i="2"/>
  <c r="AJ373" i="2"/>
  <c r="AG373" i="2"/>
  <c r="AB373" i="2"/>
  <c r="V373" i="2"/>
  <c r="BI372" i="2"/>
  <c r="AJ372" i="2"/>
  <c r="AG372" i="2"/>
  <c r="AB372" i="2"/>
  <c r="V372" i="2"/>
  <c r="BI371" i="2"/>
  <c r="AJ371" i="2"/>
  <c r="AG371" i="2"/>
  <c r="AB371" i="2"/>
  <c r="V371" i="2"/>
  <c r="BI370" i="2"/>
  <c r="AJ370" i="2"/>
  <c r="AG370" i="2"/>
  <c r="AB370" i="2"/>
  <c r="V370" i="2"/>
  <c r="BI369" i="2"/>
  <c r="AJ369" i="2"/>
  <c r="AG369" i="2"/>
  <c r="AB369" i="2"/>
  <c r="V369" i="2"/>
  <c r="H151" i="2"/>
  <c r="G151" i="2"/>
  <c r="D151" i="2"/>
  <c r="J151" i="2" s="1"/>
  <c r="D150" i="2"/>
  <c r="J150" i="2" s="1"/>
  <c r="B148" i="2"/>
  <c r="E146" i="2"/>
  <c r="C144" i="2"/>
  <c r="G143" i="2"/>
  <c r="F143" i="2"/>
  <c r="K143" i="2" s="1"/>
  <c r="B142" i="2"/>
  <c r="C141" i="2"/>
  <c r="F140" i="2"/>
  <c r="K140" i="2" s="1"/>
  <c r="E140" i="2"/>
  <c r="D140" i="2"/>
  <c r="J140" i="2" s="1"/>
  <c r="D139" i="2"/>
  <c r="J139" i="2" s="1"/>
  <c r="L137" i="2"/>
  <c r="H137" i="2"/>
  <c r="D137" i="2"/>
  <c r="J137" i="2" s="1"/>
  <c r="D136" i="2"/>
  <c r="J136" i="2" s="1"/>
  <c r="F135" i="2"/>
  <c r="K135" i="2" s="1"/>
  <c r="E135" i="2"/>
  <c r="AO134" i="2"/>
  <c r="D134" i="2"/>
  <c r="J134" i="2" s="1"/>
  <c r="L132" i="2"/>
  <c r="H132" i="2"/>
  <c r="C98" i="2"/>
  <c r="H97" i="2"/>
  <c r="G96" i="2"/>
  <c r="F96" i="2"/>
  <c r="K96" i="2" s="1"/>
  <c r="L95" i="2"/>
  <c r="D94" i="2"/>
  <c r="J94" i="2" s="1"/>
  <c r="F93" i="2"/>
  <c r="K93" i="2" s="1"/>
  <c r="H92" i="2"/>
  <c r="D92" i="2"/>
  <c r="J92" i="2" s="1"/>
  <c r="E90" i="2"/>
  <c r="D89" i="2"/>
  <c r="J89" i="2" s="1"/>
  <c r="AO88" i="2"/>
  <c r="G88" i="2"/>
  <c r="F88" i="2"/>
  <c r="K88" i="2" s="1"/>
  <c r="D88" i="2"/>
  <c r="J88" i="2" s="1"/>
  <c r="E87" i="2"/>
  <c r="AO86" i="2"/>
  <c r="F85" i="2"/>
  <c r="K85" i="2" s="1"/>
  <c r="F83" i="2"/>
  <c r="K83" i="2" s="1"/>
  <c r="E83" i="2"/>
  <c r="C83" i="2"/>
  <c r="E81" i="2"/>
  <c r="AO80" i="2"/>
  <c r="H80" i="2"/>
  <c r="H79" i="2"/>
  <c r="B78" i="2"/>
  <c r="B76" i="2"/>
  <c r="H75" i="2"/>
  <c r="F74" i="2"/>
  <c r="K74" i="2" s="1"/>
  <c r="E74" i="2"/>
  <c r="L72" i="2"/>
  <c r="AO71" i="2"/>
  <c r="G70" i="2"/>
  <c r="B70" i="2"/>
  <c r="G68" i="2"/>
  <c r="B67" i="2"/>
  <c r="AO65" i="2"/>
  <c r="BI368" i="2"/>
  <c r="AJ368" i="2"/>
  <c r="AG368" i="2"/>
  <c r="AB368" i="2"/>
  <c r="V368" i="2"/>
  <c r="BI367" i="2"/>
  <c r="AJ367" i="2"/>
  <c r="AG367" i="2"/>
  <c r="AB367" i="2"/>
  <c r="V367" i="2"/>
  <c r="BI366" i="2"/>
  <c r="AJ366" i="2"/>
  <c r="AG366" i="2"/>
  <c r="AB366" i="2"/>
  <c r="V366" i="2"/>
  <c r="BI365" i="2"/>
  <c r="AJ365" i="2"/>
  <c r="AG365" i="2"/>
  <c r="AB365" i="2"/>
  <c r="V365" i="2"/>
  <c r="BI364" i="2"/>
  <c r="AJ364" i="2"/>
  <c r="AG364" i="2"/>
  <c r="AB364" i="2"/>
  <c r="V364" i="2"/>
  <c r="BI363" i="2"/>
  <c r="AJ363" i="2"/>
  <c r="AG363" i="2"/>
  <c r="AB363" i="2"/>
  <c r="V363" i="2"/>
  <c r="BI362" i="2"/>
  <c r="AJ362" i="2"/>
  <c r="AG362" i="2"/>
  <c r="AB362" i="2"/>
  <c r="V362" i="2"/>
  <c r="BI361" i="2"/>
  <c r="AJ361" i="2"/>
  <c r="AG361" i="2"/>
  <c r="AB361" i="2"/>
  <c r="V361" i="2"/>
  <c r="BI360" i="2"/>
  <c r="AJ360" i="2"/>
  <c r="AG360" i="2"/>
  <c r="AB360" i="2"/>
  <c r="V360" i="2"/>
  <c r="BI359" i="2"/>
  <c r="AJ359" i="2"/>
  <c r="AG359" i="2"/>
  <c r="AB359" i="2"/>
  <c r="V359" i="2"/>
  <c r="BI358" i="2"/>
  <c r="AJ358" i="2"/>
  <c r="AG358" i="2"/>
  <c r="AB358" i="2"/>
  <c r="V358" i="2"/>
  <c r="BI357" i="2"/>
  <c r="AJ357" i="2"/>
  <c r="AG357" i="2"/>
  <c r="AB357" i="2"/>
  <c r="V357" i="2"/>
  <c r="BI356" i="2"/>
  <c r="AJ356" i="2"/>
  <c r="AG356" i="2"/>
  <c r="AB356" i="2"/>
  <c r="V356" i="2"/>
  <c r="BI355" i="2"/>
  <c r="AJ355" i="2"/>
  <c r="AG355" i="2"/>
  <c r="AB355" i="2"/>
  <c r="V355" i="2"/>
  <c r="BI354" i="2"/>
  <c r="AJ354" i="2"/>
  <c r="AG354" i="2"/>
  <c r="AB354" i="2"/>
  <c r="V354" i="2"/>
  <c r="BI353" i="2"/>
  <c r="AJ353" i="2"/>
  <c r="AG353" i="2"/>
  <c r="AB353" i="2"/>
  <c r="V353" i="2"/>
  <c r="BI352" i="2"/>
  <c r="AJ352" i="2"/>
  <c r="AG352" i="2"/>
  <c r="AB352" i="2"/>
  <c r="V352" i="2"/>
  <c r="BI351" i="2"/>
  <c r="AJ351" i="2"/>
  <c r="AG351" i="2"/>
  <c r="AB351" i="2"/>
  <c r="V351" i="2"/>
  <c r="BI350" i="2"/>
  <c r="AJ350" i="2"/>
  <c r="AG350" i="2"/>
  <c r="AB350" i="2"/>
  <c r="V350" i="2"/>
  <c r="BI349" i="2"/>
  <c r="AJ349" i="2"/>
  <c r="AG349" i="2"/>
  <c r="AB349" i="2"/>
  <c r="V349" i="2"/>
  <c r="BI348" i="2"/>
  <c r="AJ348" i="2"/>
  <c r="AG348" i="2"/>
  <c r="AB348" i="2"/>
  <c r="V348" i="2"/>
  <c r="BI347" i="2"/>
  <c r="AJ347" i="2"/>
  <c r="AG347" i="2"/>
  <c r="AB347" i="2"/>
  <c r="V347" i="2"/>
  <c r="BI346" i="2"/>
  <c r="AJ346" i="2"/>
  <c r="AG346" i="2"/>
  <c r="AB346" i="2"/>
  <c r="V346" i="2"/>
  <c r="BI345" i="2"/>
  <c r="AJ345" i="2"/>
  <c r="AG345" i="2"/>
  <c r="AB345" i="2"/>
  <c r="V345" i="2"/>
  <c r="BI344" i="2"/>
  <c r="AJ344" i="2"/>
  <c r="AG344" i="2"/>
  <c r="AB344" i="2"/>
  <c r="V344" i="2"/>
  <c r="BI343" i="2"/>
  <c r="AJ343" i="2"/>
  <c r="AG343" i="2"/>
  <c r="AB343" i="2"/>
  <c r="V343" i="2"/>
  <c r="BI342" i="2"/>
  <c r="AJ342" i="2"/>
  <c r="AG342" i="2"/>
  <c r="AB342" i="2"/>
  <c r="V342" i="2"/>
  <c r="BI341" i="2"/>
  <c r="AJ341" i="2"/>
  <c r="AG341" i="2"/>
  <c r="AB341" i="2"/>
  <c r="V341" i="2"/>
  <c r="BI340" i="2"/>
  <c r="AJ340" i="2"/>
  <c r="AG340" i="2"/>
  <c r="AB340" i="2"/>
  <c r="V340" i="2"/>
  <c r="BI339" i="2"/>
  <c r="AJ339" i="2"/>
  <c r="AG339" i="2"/>
  <c r="AB339" i="2"/>
  <c r="V339" i="2"/>
  <c r="BI338" i="2"/>
  <c r="AJ338" i="2"/>
  <c r="AG338" i="2"/>
  <c r="AB338" i="2"/>
  <c r="V338" i="2"/>
  <c r="BI337" i="2"/>
  <c r="AJ337" i="2"/>
  <c r="AG337" i="2"/>
  <c r="AB337" i="2"/>
  <c r="V337" i="2"/>
  <c r="BI336" i="2"/>
  <c r="AJ336" i="2"/>
  <c r="AG336" i="2"/>
  <c r="AB336" i="2"/>
  <c r="V336" i="2"/>
  <c r="BI335" i="2"/>
  <c r="AJ335" i="2"/>
  <c r="AG335" i="2"/>
  <c r="AB335" i="2"/>
  <c r="V335" i="2"/>
  <c r="BI334" i="2"/>
  <c r="AJ334" i="2"/>
  <c r="AG334" i="2"/>
  <c r="AB334" i="2"/>
  <c r="V334" i="2"/>
  <c r="BI333" i="2"/>
  <c r="AJ333" i="2"/>
  <c r="AG333" i="2"/>
  <c r="AB333" i="2"/>
  <c r="V333" i="2"/>
  <c r="BI332" i="2"/>
  <c r="AJ332" i="2"/>
  <c r="AG332" i="2"/>
  <c r="AB332" i="2"/>
  <c r="V332" i="2"/>
  <c r="BI331" i="2"/>
  <c r="AJ331" i="2"/>
  <c r="AG331" i="2"/>
  <c r="AB331" i="2"/>
  <c r="V331" i="2"/>
  <c r="BI330" i="2"/>
  <c r="AJ330" i="2"/>
  <c r="AG330" i="2"/>
  <c r="AB330" i="2"/>
  <c r="V330" i="2"/>
  <c r="BI329" i="2"/>
  <c r="AJ329" i="2"/>
  <c r="AG329" i="2"/>
  <c r="AB329" i="2"/>
  <c r="V329" i="2"/>
  <c r="L151" i="2"/>
  <c r="F151" i="2"/>
  <c r="K151" i="2" s="1"/>
  <c r="C151" i="2"/>
  <c r="AO150" i="2"/>
  <c r="AO149" i="2"/>
  <c r="D149" i="2"/>
  <c r="J149" i="2" s="1"/>
  <c r="G147" i="2"/>
  <c r="B147" i="2"/>
  <c r="B146" i="2"/>
  <c r="B145" i="2"/>
  <c r="L144" i="2"/>
  <c r="G144" i="2"/>
  <c r="B144" i="2"/>
  <c r="L143" i="2"/>
  <c r="E143" i="2"/>
  <c r="B143" i="2"/>
  <c r="AO142" i="2"/>
  <c r="H141" i="2"/>
  <c r="AO140" i="2"/>
  <c r="G140" i="2"/>
  <c r="B140" i="2"/>
  <c r="L139" i="2"/>
  <c r="G139" i="2"/>
  <c r="AO138" i="2"/>
  <c r="E138" i="2"/>
  <c r="D138" i="2"/>
  <c r="J138" i="2" s="1"/>
  <c r="B137" i="2"/>
  <c r="H136" i="2"/>
  <c r="G136" i="2"/>
  <c r="F136" i="2"/>
  <c r="K136" i="2" s="1"/>
  <c r="C135" i="2"/>
  <c r="H134" i="2"/>
  <c r="G134" i="2"/>
  <c r="L133" i="2"/>
  <c r="F133" i="2"/>
  <c r="K133" i="2" s="1"/>
  <c r="D132" i="2"/>
  <c r="J132" i="2" s="1"/>
  <c r="D97" i="2"/>
  <c r="J97" i="2" s="1"/>
  <c r="H95" i="2"/>
  <c r="L93" i="2"/>
  <c r="AO91" i="2"/>
  <c r="B91" i="2"/>
  <c r="H90" i="2"/>
  <c r="G90" i="2"/>
  <c r="C88" i="2"/>
  <c r="L86" i="2"/>
  <c r="H86" i="2"/>
  <c r="G86" i="2"/>
  <c r="E86" i="2"/>
  <c r="G85" i="2"/>
  <c r="G84" i="2"/>
  <c r="AO83" i="2"/>
  <c r="G83" i="2"/>
  <c r="E82" i="2"/>
  <c r="L81" i="2"/>
  <c r="F80" i="2"/>
  <c r="K80" i="2" s="1"/>
  <c r="E80" i="2"/>
  <c r="E79" i="2"/>
  <c r="L77" i="2"/>
  <c r="G77" i="2"/>
  <c r="F77" i="2"/>
  <c r="K77" i="2" s="1"/>
  <c r="E77" i="2"/>
  <c r="C77" i="2"/>
  <c r="G75" i="2"/>
  <c r="L74" i="2"/>
  <c r="L73" i="2"/>
  <c r="G73" i="2"/>
  <c r="B73" i="2"/>
  <c r="AO70" i="2"/>
  <c r="L70" i="2"/>
  <c r="G69" i="2"/>
  <c r="F69" i="2"/>
  <c r="K69" i="2" s="1"/>
  <c r="L68" i="2"/>
  <c r="E68" i="2"/>
  <c r="C68" i="2"/>
  <c r="E66" i="2"/>
  <c r="D65" i="2"/>
  <c r="J65" i="2" s="1"/>
  <c r="L149" i="2"/>
  <c r="H149" i="2"/>
  <c r="L148" i="2"/>
  <c r="H148" i="2"/>
  <c r="L147" i="2"/>
  <c r="D147" i="2"/>
  <c r="J147" i="2" s="1"/>
  <c r="L146" i="2"/>
  <c r="H146" i="2"/>
  <c r="C145" i="2"/>
  <c r="L142" i="2"/>
  <c r="L141" i="2"/>
  <c r="L140" i="2"/>
  <c r="H140" i="2"/>
  <c r="AO137" i="2"/>
  <c r="E136" i="2"/>
  <c r="AO133" i="2"/>
  <c r="C133" i="2"/>
  <c r="F132" i="2"/>
  <c r="K132" i="2" s="1"/>
  <c r="F98" i="2"/>
  <c r="K98" i="2" s="1"/>
  <c r="B96" i="2"/>
  <c r="D95" i="2"/>
  <c r="J95" i="2" s="1"/>
  <c r="C95" i="2"/>
  <c r="H94" i="2"/>
  <c r="AO93" i="2"/>
  <c r="E93" i="2"/>
  <c r="D93" i="2"/>
  <c r="J93" i="2" s="1"/>
  <c r="C93" i="2"/>
  <c r="D91" i="2"/>
  <c r="J91" i="2" s="1"/>
  <c r="C91" i="2"/>
  <c r="C90" i="2"/>
  <c r="L87" i="2"/>
  <c r="H87" i="2"/>
  <c r="H81" i="2"/>
  <c r="G80" i="2"/>
  <c r="D80" i="2"/>
  <c r="J80" i="2" s="1"/>
  <c r="C80" i="2"/>
  <c r="L79" i="2"/>
  <c r="AO78" i="2"/>
  <c r="L78" i="2"/>
  <c r="AO77" i="2"/>
  <c r="L76" i="2"/>
  <c r="G76" i="2"/>
  <c r="E76" i="2"/>
  <c r="L75" i="2"/>
  <c r="H74" i="2"/>
  <c r="H70" i="2"/>
  <c r="D70" i="2"/>
  <c r="J70" i="2" s="1"/>
  <c r="H69" i="2"/>
  <c r="H67" i="2"/>
  <c r="F66" i="2"/>
  <c r="K66" i="2" s="1"/>
  <c r="D66" i="2"/>
  <c r="J66" i="2" s="1"/>
  <c r="B66" i="2"/>
  <c r="BY4" i="2"/>
  <c r="BU4" i="2" a="1"/>
  <c r="BU4" i="2" s="1"/>
  <c r="CU3" i="2"/>
  <c r="CR3" i="2"/>
  <c r="CB3" i="2" a="1"/>
  <c r="CB3" i="2" s="1"/>
  <c r="AO3" i="2"/>
  <c r="BY2" i="2"/>
  <c r="AH2" i="1"/>
  <c r="AM504" i="2"/>
  <c r="BH503" i="2"/>
  <c r="AQ503" i="2"/>
  <c r="AM503" i="2"/>
  <c r="AS502" i="2"/>
  <c r="AQ502" i="2"/>
  <c r="AM502" i="2"/>
  <c r="AG500" i="2"/>
  <c r="V500" i="2"/>
  <c r="AJ497" i="2"/>
  <c r="AG497" i="2"/>
  <c r="AJ495" i="2"/>
  <c r="AG495" i="2"/>
  <c r="AB495" i="2"/>
  <c r="BI494" i="2"/>
  <c r="V494" i="2"/>
  <c r="AJ491" i="2"/>
  <c r="AT489" i="2"/>
  <c r="V488" i="2"/>
  <c r="V487" i="2"/>
  <c r="AT486" i="2"/>
  <c r="BI485" i="2"/>
  <c r="AJ485" i="2"/>
  <c r="BI483" i="2"/>
  <c r="AT483" i="2"/>
  <c r="AB477" i="2"/>
  <c r="AB475" i="2"/>
  <c r="BI470" i="2"/>
  <c r="AT470" i="2"/>
  <c r="V467" i="2"/>
  <c r="BI466" i="2"/>
  <c r="AG466" i="2"/>
  <c r="AB466" i="2"/>
  <c r="BI465" i="2"/>
  <c r="AT465" i="2"/>
  <c r="V465" i="2"/>
  <c r="C163" i="2"/>
  <c r="F162" i="2"/>
  <c r="K162" i="2" s="1"/>
  <c r="E162" i="2"/>
  <c r="H161" i="2"/>
  <c r="E161" i="2"/>
  <c r="C161" i="2"/>
  <c r="L160" i="2"/>
  <c r="H160" i="2"/>
  <c r="F159" i="2"/>
  <c r="K159" i="2" s="1"/>
  <c r="D159" i="2"/>
  <c r="J159" i="2" s="1"/>
  <c r="L158" i="2"/>
  <c r="E158" i="2"/>
  <c r="B158" i="2"/>
  <c r="F157" i="2"/>
  <c r="K157" i="2" s="1"/>
  <c r="C157" i="2"/>
  <c r="AO156" i="2"/>
  <c r="H156" i="2"/>
  <c r="G156" i="2"/>
  <c r="D156" i="2"/>
  <c r="J156" i="2" s="1"/>
  <c r="C156" i="2"/>
  <c r="H155" i="2"/>
  <c r="C155" i="2"/>
  <c r="F154" i="2"/>
  <c r="K154" i="2" s="1"/>
  <c r="L153" i="2"/>
  <c r="H153" i="2"/>
  <c r="E153" i="2"/>
  <c r="B153" i="2"/>
  <c r="H152" i="2"/>
  <c r="E152" i="2"/>
  <c r="D152" i="2"/>
  <c r="J152" i="2" s="1"/>
  <c r="B151" i="2"/>
  <c r="L150" i="2"/>
  <c r="H150" i="2"/>
  <c r="G150" i="2"/>
  <c r="B150" i="2"/>
  <c r="E148" i="2"/>
  <c r="AO147" i="2"/>
  <c r="G146" i="2"/>
  <c r="F146" i="2"/>
  <c r="K146" i="2" s="1"/>
  <c r="H145" i="2"/>
  <c r="AO144" i="2"/>
  <c r="F144" i="2"/>
  <c r="K144" i="2" s="1"/>
  <c r="E144" i="2"/>
  <c r="D144" i="2"/>
  <c r="J144" i="2" s="1"/>
  <c r="C143" i="2"/>
  <c r="E142" i="2"/>
  <c r="D142" i="2"/>
  <c r="J142" i="2" s="1"/>
  <c r="F141" i="2"/>
  <c r="K141" i="2" s="1"/>
  <c r="E141" i="2"/>
  <c r="H139" i="2"/>
  <c r="F138" i="2"/>
  <c r="K138" i="2" s="1"/>
  <c r="C137" i="2"/>
  <c r="L136" i="2"/>
  <c r="AO135" i="2"/>
  <c r="H133" i="2"/>
  <c r="G133" i="2"/>
  <c r="C132" i="2"/>
  <c r="H98" i="2"/>
  <c r="B97" i="2"/>
  <c r="AO96" i="2"/>
  <c r="E95" i="2"/>
  <c r="AO94" i="2"/>
  <c r="G94" i="2"/>
  <c r="H93" i="2"/>
  <c r="F91" i="2"/>
  <c r="K91" i="2" s="1"/>
  <c r="E91" i="2"/>
  <c r="L90" i="2"/>
  <c r="F90" i="2"/>
  <c r="K90" i="2" s="1"/>
  <c r="E89" i="2"/>
  <c r="E88" i="2"/>
  <c r="D87" i="2"/>
  <c r="J87" i="2" s="1"/>
  <c r="AO85" i="2"/>
  <c r="B85" i="2"/>
  <c r="AO81" i="2"/>
  <c r="L80" i="2"/>
  <c r="B79" i="2"/>
  <c r="H78" i="2"/>
  <c r="G78" i="2"/>
  <c r="H77" i="2"/>
  <c r="D76" i="2"/>
  <c r="J76" i="2" s="1"/>
  <c r="C76" i="2"/>
  <c r="G74" i="2"/>
  <c r="D74" i="2"/>
  <c r="J74" i="2" s="1"/>
  <c r="C73" i="2"/>
  <c r="L71" i="2"/>
  <c r="B71" i="2"/>
  <c r="L69" i="2"/>
  <c r="E69" i="2"/>
  <c r="D69" i="2"/>
  <c r="J69" i="2" s="1"/>
  <c r="C69" i="2"/>
  <c r="C67" i="2"/>
  <c r="E65" i="2"/>
  <c r="CT6" i="2"/>
  <c r="CT5" i="2"/>
  <c r="CU4" i="2"/>
  <c r="CB4" i="2" a="1"/>
  <c r="CB4" i="2" s="1"/>
  <c r="BU3" i="2" a="1"/>
  <c r="BU3" i="2" s="1"/>
  <c r="BI493" i="2"/>
  <c r="AG493" i="2"/>
  <c r="AT492" i="2"/>
  <c r="AB492" i="2"/>
  <c r="BI491" i="2"/>
  <c r="AT491" i="2"/>
  <c r="AT490" i="2"/>
  <c r="AB489" i="2"/>
  <c r="AB488" i="2"/>
  <c r="AB486" i="2"/>
  <c r="AT485" i="2"/>
  <c r="AJ484" i="2"/>
  <c r="AG484" i="2"/>
  <c r="AB483" i="2"/>
  <c r="BI481" i="2"/>
  <c r="AT479" i="2"/>
  <c r="V475" i="2"/>
  <c r="AT474" i="2"/>
  <c r="AB474" i="2"/>
  <c r="AG473" i="2"/>
  <c r="AJ472" i="2"/>
  <c r="AG472" i="2"/>
  <c r="AG471" i="2"/>
  <c r="BI468" i="2"/>
  <c r="AJ468" i="2"/>
  <c r="V466" i="2"/>
  <c r="BM183" i="2"/>
  <c r="BL183" i="2"/>
  <c r="AO162" i="2"/>
  <c r="B162" i="2"/>
  <c r="D161" i="2"/>
  <c r="J161" i="2" s="1"/>
  <c r="AO159" i="2"/>
  <c r="L159" i="2"/>
  <c r="G159" i="2"/>
  <c r="E159" i="2"/>
  <c r="B159" i="2"/>
  <c r="H158" i="2"/>
  <c r="D158" i="2"/>
  <c r="J158" i="2" s="1"/>
  <c r="AO157" i="2"/>
  <c r="L157" i="2"/>
  <c r="H157" i="2"/>
  <c r="G157" i="2"/>
  <c r="E157" i="2"/>
  <c r="B157" i="2"/>
  <c r="L156" i="2"/>
  <c r="D155" i="2"/>
  <c r="J155" i="2" s="1"/>
  <c r="L154" i="2"/>
  <c r="H154" i="2"/>
  <c r="B154" i="2"/>
  <c r="AO153" i="2"/>
  <c r="D153" i="2"/>
  <c r="J153" i="2" s="1"/>
  <c r="AO152" i="2"/>
  <c r="L152" i="2"/>
  <c r="B152" i="2"/>
  <c r="F150" i="2"/>
  <c r="K150" i="2" s="1"/>
  <c r="E150" i="2"/>
  <c r="E149" i="2"/>
  <c r="AO148" i="2"/>
  <c r="G148" i="2"/>
  <c r="F148" i="2"/>
  <c r="K148" i="2" s="1"/>
  <c r="H147" i="2"/>
  <c r="F147" i="2"/>
  <c r="K147" i="2" s="1"/>
  <c r="E147" i="2"/>
  <c r="L145" i="2"/>
  <c r="G145" i="2"/>
  <c r="F145" i="2"/>
  <c r="K145" i="2" s="1"/>
  <c r="G142" i="2"/>
  <c r="F142" i="2"/>
  <c r="K142" i="2" s="1"/>
  <c r="D141" i="2"/>
  <c r="J141" i="2" s="1"/>
  <c r="E139" i="2"/>
  <c r="B139" i="2"/>
  <c r="G138" i="2"/>
  <c r="E137" i="2"/>
  <c r="C136" i="2"/>
  <c r="D135" i="2"/>
  <c r="J135" i="2" s="1"/>
  <c r="L134" i="2"/>
  <c r="F134" i="2"/>
  <c r="K134" i="2" s="1"/>
  <c r="L98" i="2"/>
  <c r="G97" i="2"/>
  <c r="L96" i="2"/>
  <c r="G95" i="2"/>
  <c r="F95" i="2"/>
  <c r="K95" i="2" s="1"/>
  <c r="B94" i="2"/>
  <c r="G93" i="2"/>
  <c r="AO92" i="2"/>
  <c r="L92" i="2"/>
  <c r="G92" i="2"/>
  <c r="L91" i="2"/>
  <c r="H91" i="2"/>
  <c r="G91" i="2"/>
  <c r="D90" i="2"/>
  <c r="J90" i="2" s="1"/>
  <c r="L89" i="2"/>
  <c r="G89" i="2"/>
  <c r="AO87" i="2"/>
  <c r="G87" i="2"/>
  <c r="F87" i="2"/>
  <c r="K87" i="2" s="1"/>
  <c r="L85" i="2"/>
  <c r="H85" i="2"/>
  <c r="B84" i="2"/>
  <c r="L82" i="2"/>
  <c r="G81" i="2"/>
  <c r="AO79" i="2"/>
  <c r="D79" i="2"/>
  <c r="J79" i="2" s="1"/>
  <c r="C79" i="2"/>
  <c r="D77" i="2"/>
  <c r="J77" i="2" s="1"/>
  <c r="F76" i="2"/>
  <c r="K76" i="2" s="1"/>
  <c r="F75" i="2"/>
  <c r="K75" i="2" s="1"/>
  <c r="D75" i="2"/>
  <c r="J75" i="2" s="1"/>
  <c r="AO73" i="2"/>
  <c r="F72" i="2"/>
  <c r="K72" i="2" s="1"/>
  <c r="D72" i="2"/>
  <c r="J72" i="2" s="1"/>
  <c r="H71" i="2"/>
  <c r="G71" i="2"/>
  <c r="B68" i="2"/>
  <c r="L65" i="2"/>
  <c r="H65" i="2"/>
  <c r="G65" i="2"/>
  <c r="AO7" i="2"/>
  <c r="CR5" i="2"/>
  <c r="BZ2" i="2"/>
  <c r="AO2" i="2"/>
  <c r="AH3" i="1"/>
  <c r="BG504" i="2"/>
  <c r="AR504" i="2"/>
  <c r="AQ504" i="2"/>
  <c r="BG502" i="2"/>
  <c r="AT501" i="2"/>
  <c r="AT500" i="2"/>
  <c r="AT498" i="2"/>
  <c r="AG498" i="2"/>
  <c r="AB498" i="2"/>
  <c r="BI496" i="2"/>
  <c r="AG496" i="2"/>
  <c r="AT494" i="2"/>
  <c r="AT493" i="2"/>
  <c r="V493" i="2"/>
  <c r="AJ492" i="2"/>
  <c r="AG492" i="2"/>
  <c r="V492" i="2"/>
  <c r="AB491" i="2"/>
  <c r="BI490" i="2"/>
  <c r="AG488" i="2"/>
  <c r="AT484" i="2"/>
  <c r="AJ483" i="2"/>
  <c r="AG483" i="2"/>
  <c r="AT481" i="2"/>
  <c r="AB480" i="2"/>
  <c r="AG479" i="2"/>
  <c r="AB479" i="2"/>
  <c r="BI478" i="2"/>
  <c r="AJ478" i="2"/>
  <c r="V478" i="2"/>
  <c r="AT477" i="2"/>
  <c r="BI475" i="2"/>
  <c r="AT471" i="2"/>
  <c r="AT469" i="2"/>
  <c r="E165" i="2"/>
  <c r="B163" i="2"/>
  <c r="L162" i="2"/>
  <c r="H162" i="2"/>
  <c r="D162" i="2"/>
  <c r="J162" i="2" s="1"/>
  <c r="AO161" i="2"/>
  <c r="L161" i="2"/>
  <c r="G161" i="2"/>
  <c r="B161" i="2"/>
  <c r="AO160" i="2"/>
  <c r="G160" i="2"/>
  <c r="E160" i="2"/>
  <c r="D160" i="2"/>
  <c r="J160" i="2" s="1"/>
  <c r="B160" i="2"/>
  <c r="H159" i="2"/>
  <c r="C159" i="2"/>
  <c r="AO158" i="2"/>
  <c r="G158" i="2"/>
  <c r="C158" i="2"/>
  <c r="D157" i="2"/>
  <c r="J157" i="2" s="1"/>
  <c r="E156" i="2"/>
  <c r="AO155" i="2"/>
  <c r="L155" i="2"/>
  <c r="G155" i="2"/>
  <c r="E155" i="2"/>
  <c r="B155" i="2"/>
  <c r="AO154" i="2"/>
  <c r="G154" i="2"/>
  <c r="E154" i="2"/>
  <c r="C154" i="2"/>
  <c r="G153" i="2"/>
  <c r="C153" i="2"/>
  <c r="G152" i="2"/>
  <c r="C152" i="2"/>
  <c r="AO151" i="2"/>
  <c r="E151" i="2"/>
  <c r="C150" i="2"/>
  <c r="C149" i="2"/>
  <c r="C148" i="2"/>
  <c r="AO146" i="2"/>
  <c r="C146" i="2"/>
  <c r="AO145" i="2"/>
  <c r="D145" i="2"/>
  <c r="J145" i="2" s="1"/>
  <c r="D143" i="2"/>
  <c r="J143" i="2" s="1"/>
  <c r="H142" i="2"/>
  <c r="C139" i="2"/>
  <c r="L138" i="2"/>
  <c r="H138" i="2"/>
  <c r="B138" i="2"/>
  <c r="B136" i="2"/>
  <c r="L135" i="2"/>
  <c r="H135" i="2"/>
  <c r="G135" i="2"/>
  <c r="E134" i="2"/>
  <c r="D133" i="2"/>
  <c r="J133" i="2" s="1"/>
  <c r="G132" i="2"/>
  <c r="B132" i="2"/>
  <c r="B98" i="2"/>
  <c r="AO97" i="2"/>
  <c r="L97" i="2"/>
  <c r="E97" i="2"/>
  <c r="E96" i="2"/>
  <c r="B93" i="2"/>
  <c r="C92" i="2"/>
  <c r="B92" i="2"/>
  <c r="AO90" i="2"/>
  <c r="B90" i="2"/>
  <c r="H89" i="2"/>
  <c r="H88" i="2"/>
  <c r="B87" i="2"/>
  <c r="E85" i="2"/>
  <c r="D85" i="2"/>
  <c r="J85" i="2" s="1"/>
  <c r="F84" i="2"/>
  <c r="K84" i="2" s="1"/>
  <c r="C84" i="2"/>
  <c r="D83" i="2"/>
  <c r="J83" i="2" s="1"/>
  <c r="G82" i="2"/>
  <c r="F82" i="2"/>
  <c r="K82" i="2" s="1"/>
  <c r="D82" i="2"/>
  <c r="J82" i="2" s="1"/>
  <c r="C82" i="2"/>
  <c r="D81" i="2"/>
  <c r="J81" i="2" s="1"/>
  <c r="C81" i="2"/>
  <c r="B80" i="2"/>
  <c r="F79" i="2"/>
  <c r="K79" i="2" s="1"/>
  <c r="H76" i="2"/>
  <c r="AO75" i="2"/>
  <c r="B75" i="2"/>
  <c r="H73" i="2"/>
  <c r="AO72" i="2"/>
  <c r="H72" i="2"/>
  <c r="E72" i="2"/>
  <c r="D71" i="2"/>
  <c r="J71" i="2" s="1"/>
  <c r="C71" i="2"/>
  <c r="F70" i="2"/>
  <c r="K70" i="2" s="1"/>
  <c r="E70" i="2"/>
  <c r="AO69" i="2"/>
  <c r="B69" i="2"/>
  <c r="AO68" i="2"/>
  <c r="H68" i="2"/>
  <c r="F68" i="2"/>
  <c r="K68" i="2" s="1"/>
  <c r="AO67" i="2"/>
  <c r="G67" i="2"/>
  <c r="F67" i="2"/>
  <c r="K67" i="2" s="1"/>
  <c r="C66" i="2"/>
  <c r="G98" i="2"/>
  <c r="E98" i="2"/>
  <c r="D98" i="2"/>
  <c r="J98" i="2" s="1"/>
  <c r="F97" i="2"/>
  <c r="K97" i="2" s="1"/>
  <c r="C97" i="2"/>
  <c r="C96" i="2"/>
  <c r="AO95" i="2"/>
  <c r="B95" i="2"/>
  <c r="C94" i="2"/>
  <c r="F92" i="2"/>
  <c r="K92" i="2" s="1"/>
  <c r="E92" i="2"/>
  <c r="AO89" i="2"/>
  <c r="F89" i="2"/>
  <c r="K89" i="2" s="1"/>
  <c r="B88" i="2"/>
  <c r="B86" i="2"/>
  <c r="AO84" i="2"/>
  <c r="L84" i="2"/>
  <c r="B83" i="2"/>
  <c r="B82" i="2"/>
  <c r="F81" i="2"/>
  <c r="K81" i="2" s="1"/>
  <c r="G79" i="2"/>
  <c r="F78" i="2"/>
  <c r="K78" i="2" s="1"/>
  <c r="D78" i="2"/>
  <c r="J78" i="2" s="1"/>
  <c r="C78" i="2"/>
  <c r="B77" i="2"/>
  <c r="AO74" i="2"/>
  <c r="C74" i="2"/>
  <c r="B74" i="2"/>
  <c r="F73" i="2"/>
  <c r="K73" i="2" s="1"/>
  <c r="E73" i="2"/>
  <c r="D73" i="2"/>
  <c r="J73" i="2" s="1"/>
  <c r="C72" i="2"/>
  <c r="C70" i="2"/>
  <c r="D68" i="2"/>
  <c r="J68" i="2" s="1"/>
  <c r="G66" i="2"/>
  <c r="F65" i="2"/>
  <c r="K65" i="2" s="1"/>
  <c r="CR6" i="2"/>
  <c r="AO6" i="2"/>
  <c r="BU2" i="2" a="1"/>
  <c r="BU2" i="2" s="1"/>
  <c r="BG503" i="2"/>
  <c r="BI502" i="2"/>
  <c r="BH501" i="2"/>
  <c r="AJ500" i="2"/>
  <c r="AB499" i="2"/>
  <c r="V499" i="2"/>
  <c r="AJ498" i="2"/>
  <c r="AT497" i="2"/>
  <c r="V497" i="2"/>
  <c r="V496" i="2"/>
  <c r="BI495" i="2"/>
  <c r="AB494" i="2"/>
  <c r="AB493" i="2"/>
  <c r="BI489" i="2"/>
  <c r="AJ487" i="2"/>
  <c r="AG487" i="2"/>
  <c r="BI486" i="2"/>
  <c r="AJ486" i="2"/>
  <c r="AB485" i="2"/>
  <c r="BI484" i="2"/>
  <c r="V484" i="2"/>
  <c r="AT480" i="2"/>
  <c r="AG477" i="2"/>
  <c r="V477" i="2"/>
  <c r="BI474" i="2"/>
  <c r="AT473" i="2"/>
  <c r="V472" i="2"/>
  <c r="AJ471" i="2"/>
  <c r="V470" i="2"/>
  <c r="AT468" i="2"/>
  <c r="AG468" i="2"/>
  <c r="BI464" i="2"/>
  <c r="CU5" i="2"/>
  <c r="BS4" i="2"/>
  <c r="BY3" i="2"/>
  <c r="BS3" i="2"/>
  <c r="BR3" i="2"/>
  <c r="BI504" i="2"/>
  <c r="BG501" i="2"/>
  <c r="AS501" i="2"/>
  <c r="BI500" i="2"/>
  <c r="AB500" i="2"/>
  <c r="AJ499" i="2"/>
  <c r="AJ496" i="2"/>
  <c r="AJ494" i="2"/>
  <c r="AG494" i="2"/>
  <c r="AG490" i="2"/>
  <c r="V490" i="2"/>
  <c r="AJ489" i="2"/>
  <c r="AG489" i="2"/>
  <c r="BI488" i="2"/>
  <c r="BI487" i="2"/>
  <c r="AG486" i="2"/>
  <c r="V485" i="2"/>
  <c r="AB484" i="2"/>
  <c r="AB481" i="2"/>
  <c r="AJ480" i="2"/>
  <c r="V480" i="2"/>
  <c r="AT478" i="2"/>
  <c r="BI477" i="2"/>
  <c r="AJ477" i="2"/>
  <c r="V476" i="2"/>
  <c r="AT475" i="2"/>
  <c r="AJ473" i="2"/>
  <c r="BI471" i="2"/>
  <c r="V471" i="2"/>
  <c r="AG469" i="2"/>
  <c r="AB469" i="2"/>
  <c r="V468" i="2"/>
  <c r="AT467" i="2"/>
  <c r="AJ466" i="2"/>
  <c r="AJ465" i="2"/>
  <c r="AG465" i="2"/>
  <c r="AT464" i="2"/>
  <c r="AJ464" i="2"/>
  <c r="AG464" i="2"/>
  <c r="BM45" i="2"/>
  <c r="BL45" i="2"/>
  <c r="K45" i="2"/>
  <c r="J45" i="2"/>
  <c r="I45" i="2"/>
  <c r="BM44" i="2"/>
  <c r="BL44" i="2"/>
  <c r="K44" i="2"/>
  <c r="J44" i="2"/>
  <c r="I44" i="2"/>
  <c r="BM43" i="2"/>
  <c r="BL43" i="2"/>
  <c r="K43" i="2"/>
  <c r="J43" i="2"/>
  <c r="I43" i="2"/>
  <c r="BM42" i="2"/>
  <c r="BL42" i="2"/>
  <c r="K42" i="2"/>
  <c r="J42" i="2"/>
  <c r="I42" i="2"/>
  <c r="BM41" i="2"/>
  <c r="BL41" i="2"/>
  <c r="K41" i="2"/>
  <c r="J41" i="2"/>
  <c r="I41" i="2"/>
  <c r="BM40" i="2"/>
  <c r="BL40" i="2"/>
  <c r="K40" i="2"/>
  <c r="J40" i="2"/>
  <c r="I40" i="2"/>
  <c r="BM39" i="2"/>
  <c r="BL39" i="2"/>
  <c r="K39" i="2"/>
  <c r="J39" i="2"/>
  <c r="I39" i="2"/>
  <c r="BM38" i="2"/>
  <c r="BL38" i="2"/>
  <c r="K38" i="2"/>
  <c r="J38" i="2"/>
  <c r="I38" i="2"/>
  <c r="BM37" i="2"/>
  <c r="BL37" i="2"/>
  <c r="K37" i="2"/>
  <c r="J37" i="2"/>
  <c r="I37" i="2"/>
  <c r="K36" i="2"/>
  <c r="J36" i="2"/>
  <c r="BM35" i="2"/>
  <c r="BL35" i="2"/>
  <c r="K35" i="2"/>
  <c r="I35" i="2"/>
  <c r="BM34" i="2"/>
  <c r="BL34" i="2"/>
  <c r="K34" i="2"/>
  <c r="J34" i="2"/>
  <c r="I34" i="2"/>
  <c r="BM33" i="2"/>
  <c r="BL33" i="2"/>
  <c r="K33" i="2"/>
  <c r="J33" i="2"/>
  <c r="I33" i="2"/>
  <c r="CU8" i="2"/>
  <c r="CT8" i="2"/>
  <c r="CR8" i="2"/>
  <c r="CU7" i="2"/>
  <c r="CT7" i="2"/>
  <c r="CR7" i="2"/>
  <c r="K32" i="2"/>
  <c r="J32" i="2"/>
  <c r="I32" i="2"/>
  <c r="K31" i="2"/>
  <c r="J31" i="2"/>
  <c r="BM30" i="2"/>
  <c r="BL30" i="2"/>
  <c r="K30" i="2"/>
  <c r="J30" i="2"/>
  <c r="I30" i="2"/>
  <c r="BM29" i="2"/>
  <c r="BL29" i="2"/>
  <c r="K29" i="2"/>
  <c r="I29" i="2"/>
  <c r="BM28" i="2"/>
  <c r="BL28" i="2"/>
  <c r="K28" i="2"/>
  <c r="J28" i="2"/>
  <c r="I28" i="2"/>
  <c r="BM27" i="2"/>
  <c r="BL27" i="2"/>
  <c r="J27" i="2"/>
  <c r="I27" i="2"/>
  <c r="BM26" i="2"/>
  <c r="BL26" i="2"/>
  <c r="J26" i="2"/>
  <c r="I26" i="2"/>
  <c r="BM25" i="2"/>
  <c r="BL25" i="2"/>
  <c r="K25" i="2"/>
  <c r="J25" i="2"/>
  <c r="I25" i="2"/>
  <c r="K24" i="2"/>
  <c r="BM23" i="2"/>
  <c r="BL23" i="2"/>
  <c r="K23" i="2"/>
  <c r="J23" i="2"/>
  <c r="I23" i="2"/>
  <c r="BM22" i="2"/>
  <c r="BL22" i="2"/>
  <c r="I22" i="2"/>
  <c r="BM21" i="2"/>
  <c r="BL21" i="2"/>
  <c r="K21" i="2"/>
  <c r="J21" i="2"/>
  <c r="I21" i="2"/>
  <c r="BM20" i="2"/>
  <c r="BL20" i="2"/>
  <c r="K20" i="2"/>
  <c r="J20" i="2"/>
  <c r="I20" i="2"/>
  <c r="BM19" i="2"/>
  <c r="BL19" i="2"/>
  <c r="J19" i="2"/>
  <c r="I19" i="2"/>
  <c r="BM18" i="2"/>
  <c r="BL18" i="2"/>
  <c r="K18" i="2"/>
  <c r="J18" i="2"/>
  <c r="I18" i="2"/>
  <c r="AO5" i="2"/>
  <c r="CT4" i="2"/>
  <c r="CB2" i="2" a="1"/>
  <c r="CB2" i="2" s="1"/>
  <c r="BH504" i="2"/>
  <c r="AT503" i="2"/>
  <c r="AR502" i="2"/>
  <c r="BI501" i="2"/>
  <c r="AQ501" i="2"/>
  <c r="AG499" i="2"/>
  <c r="AJ493" i="2"/>
  <c r="AJ490" i="2"/>
  <c r="AB490" i="2"/>
  <c r="AT488" i="2"/>
  <c r="BI482" i="2"/>
  <c r="AG482" i="2"/>
  <c r="V482" i="2"/>
  <c r="AJ481" i="2"/>
  <c r="BI480" i="2"/>
  <c r="AG480" i="2"/>
  <c r="AJ479" i="2"/>
  <c r="AG476" i="2"/>
  <c r="AJ474" i="2"/>
  <c r="AB473" i="2"/>
  <c r="AB472" i="2"/>
  <c r="AJ470" i="2"/>
  <c r="AG470" i="2"/>
  <c r="AB468" i="2"/>
  <c r="BI467" i="2"/>
  <c r="AG467" i="2"/>
  <c r="AB467" i="2"/>
  <c r="AB465" i="2"/>
  <c r="AB464" i="2"/>
  <c r="BL192" i="2" l="1"/>
  <c r="K184" i="2"/>
  <c r="BM182" i="2"/>
  <c r="BL182" i="2"/>
  <c r="BM181" i="2"/>
  <c r="J181" i="2"/>
  <c r="BM184" i="2"/>
  <c r="I182" i="2"/>
  <c r="BM180" i="2"/>
  <c r="BM192" i="2"/>
  <c r="BL184" i="2"/>
  <c r="BL181" i="2"/>
  <c r="BL180" i="2"/>
  <c r="K11" i="2"/>
  <c r="J165" i="2"/>
  <c r="K160" i="2"/>
  <c r="K164" i="2"/>
  <c r="J164" i="2"/>
  <c r="K163" i="2"/>
  <c r="I163" i="2"/>
  <c r="I162" i="2"/>
  <c r="K161" i="2"/>
  <c r="J110" i="2"/>
  <c r="BM109" i="2"/>
  <c r="BL109" i="2"/>
  <c r="I109" i="2"/>
  <c r="J108" i="2"/>
  <c r="BM107" i="2"/>
  <c r="BL107" i="2"/>
  <c r="I107" i="2"/>
  <c r="J106" i="2"/>
  <c r="BM105" i="2"/>
  <c r="BL105" i="2"/>
  <c r="K105" i="2"/>
  <c r="I105" i="2"/>
  <c r="K104" i="2"/>
  <c r="J103" i="2"/>
  <c r="K102" i="2"/>
  <c r="J102" i="2"/>
  <c r="BM101" i="2"/>
  <c r="BL101" i="2"/>
  <c r="K101" i="2"/>
  <c r="J101" i="2"/>
  <c r="I101" i="2"/>
  <c r="BM100" i="2"/>
  <c r="BL100" i="2"/>
  <c r="K100" i="2"/>
  <c r="J100" i="2"/>
  <c r="I100" i="2"/>
  <c r="BM99" i="2"/>
  <c r="BL99" i="2"/>
  <c r="K99" i="2"/>
  <c r="J99" i="2"/>
  <c r="I99" i="2"/>
  <c r="BM64" i="2"/>
  <c r="BL64" i="2"/>
  <c r="K64" i="2"/>
  <c r="J64" i="2"/>
  <c r="I64" i="2"/>
  <c r="AC3" i="2"/>
  <c r="W3" i="2"/>
  <c r="U3" i="2"/>
  <c r="S3" i="2"/>
  <c r="R3" i="2"/>
  <c r="I3" i="2"/>
  <c r="AQ3" i="2" a="1"/>
  <c r="AQ3" i="2" s="1"/>
  <c r="I2" i="2"/>
  <c r="AQ2" i="2" a="1"/>
  <c r="AQ2" i="2" s="1"/>
  <c r="BT3" i="1"/>
  <c r="BV3" i="1" s="1"/>
  <c r="BT2" i="1"/>
  <c r="BV2" i="1" s="1"/>
  <c r="Q2" i="2"/>
  <c r="BM110" i="2"/>
  <c r="BL110" i="2"/>
  <c r="K110" i="2"/>
  <c r="I110" i="2"/>
  <c r="K109" i="2"/>
  <c r="J109" i="2"/>
  <c r="BM108" i="2"/>
  <c r="BL108" i="2"/>
  <c r="K108" i="2"/>
  <c r="I108" i="2"/>
  <c r="K107" i="2"/>
  <c r="J107" i="2"/>
  <c r="BM106" i="2"/>
  <c r="BL106" i="2"/>
  <c r="K106" i="2"/>
  <c r="I106" i="2"/>
  <c r="J105" i="2"/>
  <c r="BM104" i="2"/>
  <c r="BL104" i="2"/>
  <c r="J104" i="2"/>
  <c r="I104" i="2"/>
  <c r="BM103" i="2"/>
  <c r="BL103" i="2"/>
  <c r="K103" i="2"/>
  <c r="I103" i="2"/>
  <c r="BM102" i="2"/>
  <c r="BL102" i="2"/>
  <c r="I102" i="2"/>
  <c r="J180" i="2"/>
  <c r="BM179" i="2"/>
  <c r="BL179" i="2"/>
  <c r="BM178" i="2"/>
  <c r="BL178" i="2"/>
  <c r="K178" i="2"/>
  <c r="BM177" i="2"/>
  <c r="BL177" i="2"/>
  <c r="J177" i="2"/>
  <c r="BM176" i="2"/>
  <c r="BL176" i="2"/>
  <c r="BM175" i="2"/>
  <c r="BL175" i="2"/>
  <c r="K175" i="2"/>
  <c r="J175" i="2"/>
  <c r="K173" i="2"/>
  <c r="I173" i="2"/>
  <c r="J171" i="2"/>
  <c r="J170" i="2"/>
  <c r="BM32" i="2"/>
  <c r="BL32" i="2"/>
  <c r="BM174" i="2"/>
  <c r="BL174" i="2"/>
  <c r="K174" i="2"/>
  <c r="I164" i="2"/>
  <c r="J163" i="2"/>
  <c r="BM195" i="2"/>
  <c r="BM194" i="2"/>
  <c r="BL193" i="2"/>
  <c r="BL190" i="2"/>
  <c r="BL189" i="2"/>
  <c r="BM186" i="2"/>
  <c r="J185" i="2"/>
  <c r="J184" i="2"/>
  <c r="I184" i="2"/>
  <c r="K183" i="2"/>
  <c r="K177" i="2"/>
  <c r="I175" i="2"/>
  <c r="BM191" i="2"/>
  <c r="BL188" i="2"/>
  <c r="BM187" i="2"/>
  <c r="BL185" i="2"/>
  <c r="K185" i="2"/>
  <c r="J183" i="2"/>
  <c r="K181" i="2"/>
  <c r="I181" i="2"/>
  <c r="I180" i="2"/>
  <c r="I179" i="2"/>
  <c r="J178" i="2"/>
  <c r="I178" i="2"/>
  <c r="I176" i="2"/>
  <c r="BL195" i="2"/>
  <c r="BM193" i="2"/>
  <c r="BM190" i="2"/>
  <c r="BM188" i="2"/>
  <c r="BL187" i="2"/>
  <c r="BM185" i="2"/>
  <c r="I185" i="2"/>
  <c r="K182" i="2"/>
  <c r="J182" i="2"/>
  <c r="J179" i="2"/>
  <c r="K176" i="2"/>
  <c r="BL194" i="2"/>
  <c r="BL191" i="2"/>
  <c r="BM189" i="2"/>
  <c r="BL186" i="2"/>
  <c r="I183" i="2"/>
  <c r="K180" i="2"/>
  <c r="K179" i="2"/>
  <c r="I177" i="2"/>
  <c r="J176" i="2"/>
  <c r="J174" i="2"/>
  <c r="I174" i="2"/>
  <c r="BM173" i="2"/>
  <c r="BL173" i="2"/>
  <c r="J173" i="2"/>
  <c r="BM172" i="2"/>
  <c r="BL172" i="2"/>
  <c r="K172" i="2"/>
  <c r="J172" i="2"/>
  <c r="I172" i="2"/>
  <c r="K171" i="2"/>
  <c r="I171" i="2"/>
  <c r="K170" i="2"/>
  <c r="K16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I165" i="2"/>
  <c r="K156" i="2"/>
  <c r="K155" i="2"/>
  <c r="K158" i="2"/>
  <c r="O6" i="2"/>
  <c r="O8" i="2"/>
  <c r="O10" i="2"/>
  <c r="O12" i="2"/>
  <c r="O14" i="2"/>
  <c r="O16" i="2"/>
  <c r="N4" i="2"/>
  <c r="N6" i="2"/>
  <c r="N9" i="2"/>
  <c r="N10" i="2"/>
  <c r="N13" i="2"/>
  <c r="N15" i="2"/>
  <c r="M4" i="2"/>
  <c r="M6" i="2"/>
  <c r="M8" i="2"/>
  <c r="M10" i="2"/>
  <c r="M13" i="2"/>
  <c r="M15" i="2"/>
  <c r="M17" i="2"/>
  <c r="K5" i="2"/>
  <c r="K7" i="2"/>
  <c r="K9" i="2"/>
  <c r="J8" i="2"/>
  <c r="J11" i="2"/>
  <c r="J15" i="2"/>
  <c r="O4" i="2"/>
  <c r="O5" i="2"/>
  <c r="O7" i="2"/>
  <c r="O9" i="2"/>
  <c r="O11" i="2"/>
  <c r="O13" i="2"/>
  <c r="O15" i="2"/>
  <c r="N5" i="2"/>
  <c r="N7" i="2"/>
  <c r="N8" i="2"/>
  <c r="N11" i="2"/>
  <c r="N12" i="2"/>
  <c r="N14" i="2"/>
  <c r="N16" i="2"/>
  <c r="M5" i="2"/>
  <c r="M7" i="2"/>
  <c r="M9" i="2"/>
  <c r="M11" i="2"/>
  <c r="M12" i="2"/>
  <c r="M14" i="2"/>
  <c r="M16" i="2"/>
  <c r="K4" i="2"/>
  <c r="K6" i="2"/>
  <c r="K8" i="2"/>
  <c r="K10" i="2"/>
  <c r="K12" i="2"/>
  <c r="K13" i="2"/>
  <c r="K14" i="2"/>
  <c r="K15" i="2"/>
  <c r="K17" i="2"/>
  <c r="J4" i="2"/>
  <c r="J5" i="2"/>
  <c r="J6" i="2"/>
  <c r="J7" i="2"/>
  <c r="J9" i="2"/>
  <c r="J10" i="2"/>
  <c r="J12" i="2"/>
  <c r="J13" i="2"/>
  <c r="J14" i="2"/>
  <c r="J16" i="2"/>
  <c r="J17" i="2"/>
  <c r="J154" i="2"/>
  <c r="K153" i="2"/>
  <c r="K152" i="2"/>
  <c r="K130" i="2"/>
  <c r="J130" i="2"/>
  <c r="K129" i="2"/>
  <c r="J129" i="2"/>
  <c r="BM128" i="2"/>
  <c r="BL128" i="2"/>
  <c r="J128" i="2"/>
  <c r="I128" i="2"/>
  <c r="BM127" i="2"/>
  <c r="BL127" i="2"/>
  <c r="J127" i="2"/>
  <c r="I127" i="2"/>
  <c r="BM126" i="2"/>
  <c r="BL126" i="2"/>
  <c r="K126" i="2"/>
  <c r="J126" i="2"/>
  <c r="I126" i="2"/>
  <c r="BM125" i="2"/>
  <c r="BL125" i="2"/>
  <c r="K125" i="2"/>
  <c r="J125" i="2"/>
  <c r="I125" i="2"/>
  <c r="BM124" i="2"/>
  <c r="BL124" i="2"/>
  <c r="K124" i="2"/>
  <c r="J124" i="2"/>
  <c r="I124" i="2"/>
  <c r="BM123" i="2"/>
  <c r="BL123" i="2"/>
  <c r="K123" i="2"/>
  <c r="J123" i="2"/>
  <c r="I123" i="2"/>
  <c r="BM122" i="2"/>
  <c r="BL122" i="2"/>
  <c r="K122" i="2"/>
  <c r="J122" i="2"/>
  <c r="I122" i="2"/>
  <c r="BM121" i="2"/>
  <c r="BL121" i="2"/>
  <c r="K121" i="2"/>
  <c r="J121" i="2"/>
  <c r="I121" i="2"/>
  <c r="BM120" i="2"/>
  <c r="BL120" i="2"/>
  <c r="K120" i="2"/>
  <c r="J120" i="2"/>
  <c r="I120" i="2"/>
  <c r="BM119" i="2"/>
  <c r="BL119" i="2"/>
  <c r="K119" i="2"/>
  <c r="J119" i="2"/>
  <c r="I119" i="2"/>
  <c r="BM118" i="2"/>
  <c r="BL118" i="2"/>
  <c r="K118" i="2"/>
  <c r="J118" i="2"/>
  <c r="I118" i="2"/>
  <c r="BM117" i="2"/>
  <c r="BL117" i="2"/>
  <c r="K117" i="2"/>
  <c r="J117" i="2"/>
  <c r="I117" i="2"/>
  <c r="BM116" i="2"/>
  <c r="BL116" i="2"/>
  <c r="K116" i="2"/>
  <c r="J116" i="2"/>
  <c r="BM115" i="2"/>
  <c r="BL115" i="2"/>
  <c r="K115" i="2"/>
  <c r="J115" i="2"/>
  <c r="I115" i="2"/>
  <c r="BM114" i="2"/>
  <c r="BL114" i="2"/>
  <c r="K114" i="2"/>
  <c r="J114" i="2"/>
  <c r="I114" i="2"/>
  <c r="BM113" i="2"/>
  <c r="BL113" i="2"/>
  <c r="K113" i="2"/>
  <c r="J113" i="2"/>
  <c r="I113" i="2"/>
  <c r="BM112" i="2"/>
  <c r="BL112" i="2"/>
  <c r="K112" i="2"/>
  <c r="J112" i="2"/>
  <c r="I112" i="2"/>
  <c r="BM111" i="2"/>
  <c r="BL111" i="2"/>
  <c r="K111" i="2"/>
  <c r="J111" i="2"/>
  <c r="I111" i="2"/>
  <c r="BM63" i="2"/>
  <c r="BL63" i="2"/>
  <c r="K63" i="2"/>
  <c r="J63" i="2"/>
  <c r="I63" i="2"/>
  <c r="BM62" i="2"/>
  <c r="BL62" i="2"/>
  <c r="K62" i="2"/>
  <c r="J62" i="2"/>
  <c r="I62" i="2"/>
  <c r="BM61" i="2"/>
  <c r="BL61" i="2"/>
  <c r="K61" i="2"/>
  <c r="J61" i="2"/>
  <c r="I61" i="2"/>
  <c r="BM60" i="2"/>
  <c r="BL60" i="2"/>
  <c r="K60" i="2"/>
  <c r="J60" i="2"/>
  <c r="I60" i="2"/>
  <c r="BM59" i="2"/>
  <c r="BL59" i="2"/>
  <c r="K59" i="2"/>
  <c r="J59" i="2"/>
  <c r="I59" i="2"/>
  <c r="BM58" i="2"/>
  <c r="BL58" i="2"/>
  <c r="K58" i="2"/>
  <c r="J58" i="2"/>
  <c r="I58" i="2"/>
  <c r="BM57" i="2"/>
  <c r="BL57" i="2"/>
  <c r="K57" i="2"/>
  <c r="J57" i="2"/>
  <c r="I57" i="2"/>
  <c r="BM56" i="2"/>
  <c r="BL56" i="2"/>
  <c r="K56" i="2"/>
  <c r="J56" i="2"/>
  <c r="I56" i="2"/>
  <c r="BM55" i="2"/>
  <c r="BL55" i="2"/>
  <c r="K55" i="2"/>
  <c r="J55" i="2"/>
  <c r="I55" i="2"/>
  <c r="BM54" i="2"/>
  <c r="BL54" i="2"/>
  <c r="K54" i="2"/>
  <c r="J54" i="2"/>
  <c r="I54" i="2"/>
  <c r="BM53" i="2"/>
  <c r="BL53" i="2"/>
  <c r="K53" i="2"/>
  <c r="J53" i="2"/>
  <c r="I53" i="2"/>
  <c r="BM52" i="2"/>
  <c r="BL52" i="2"/>
  <c r="K52" i="2"/>
  <c r="J52" i="2"/>
  <c r="I52" i="2"/>
  <c r="BM51" i="2"/>
  <c r="BL51" i="2"/>
  <c r="K51" i="2"/>
  <c r="J51" i="2"/>
  <c r="I51" i="2"/>
  <c r="BM50" i="2"/>
  <c r="BL50" i="2"/>
  <c r="K50" i="2"/>
  <c r="J50" i="2"/>
  <c r="I50" i="2"/>
  <c r="BM49" i="2"/>
  <c r="BL49" i="2"/>
  <c r="K49" i="2"/>
  <c r="J49" i="2"/>
  <c r="I49" i="2"/>
  <c r="BM48" i="2"/>
  <c r="BL48" i="2"/>
  <c r="K48" i="2"/>
  <c r="J48" i="2"/>
  <c r="I48" i="2"/>
  <c r="BM47" i="2"/>
  <c r="BL47" i="2"/>
  <c r="K47" i="2"/>
  <c r="J47" i="2"/>
  <c r="I47" i="2"/>
  <c r="BM46" i="2"/>
  <c r="BL46" i="2"/>
  <c r="K46" i="2"/>
  <c r="J46" i="2"/>
  <c r="I46" i="2"/>
  <c r="BM36" i="2"/>
  <c r="BL36" i="2"/>
  <c r="I36" i="2"/>
  <c r="J35" i="2"/>
  <c r="CS8" i="2" a="1"/>
  <c r="CS8" i="2" s="1"/>
  <c r="CS7" i="2" a="1"/>
  <c r="CS7" i="2" s="1"/>
  <c r="BM31" i="2"/>
  <c r="BL31" i="2"/>
  <c r="I31" i="2"/>
  <c r="J29" i="2"/>
  <c r="K27" i="2"/>
  <c r="K26" i="2"/>
  <c r="BM24" i="2"/>
  <c r="BL24" i="2"/>
  <c r="J24" i="2"/>
  <c r="I24" i="2"/>
  <c r="K22" i="2"/>
  <c r="J22" i="2"/>
  <c r="K19" i="2"/>
  <c r="CS5" i="2" a="1"/>
  <c r="CS5" i="2" s="1"/>
  <c r="I116" i="2"/>
  <c r="CS3" i="2" a="1"/>
  <c r="CS3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BM131" i="2"/>
  <c r="BL131" i="2"/>
  <c r="I131" i="2"/>
  <c r="BL130" i="2"/>
  <c r="BL129" i="2"/>
  <c r="K127" i="2"/>
  <c r="BM5" i="2"/>
  <c r="BL5" i="2"/>
  <c r="K131" i="2"/>
  <c r="J131" i="2"/>
  <c r="BM130" i="2"/>
  <c r="I130" i="2"/>
  <c r="BM129" i="2"/>
  <c r="I129" i="2"/>
  <c r="K128" i="2"/>
  <c r="BM6" i="2"/>
  <c r="BL6" i="2"/>
  <c r="BL4" i="2"/>
  <c r="BL149" i="2"/>
  <c r="BM149" i="2"/>
  <c r="I149" i="2"/>
  <c r="I141" i="2"/>
  <c r="BM141" i="2"/>
  <c r="BL141" i="2"/>
  <c r="I137" i="2"/>
  <c r="BM137" i="2"/>
  <c r="BL137" i="2"/>
  <c r="BL72" i="2"/>
  <c r="I72" i="2"/>
  <c r="BM72" i="2"/>
  <c r="BL3" i="2"/>
  <c r="BM3" i="2"/>
  <c r="BL151" i="2"/>
  <c r="BM151" i="2"/>
  <c r="I151" i="2"/>
  <c r="BL143" i="2"/>
  <c r="BM143" i="2"/>
  <c r="I143" i="2"/>
  <c r="I96" i="2"/>
  <c r="BM96" i="2"/>
  <c r="BL96" i="2"/>
  <c r="I88" i="2"/>
  <c r="BM88" i="2"/>
  <c r="BL88" i="2"/>
  <c r="I70" i="2"/>
  <c r="BM70" i="2"/>
  <c r="BL70" i="2"/>
  <c r="BM68" i="2"/>
  <c r="I68" i="2"/>
  <c r="BL68" i="2"/>
  <c r="BM147" i="2"/>
  <c r="BL147" i="2"/>
  <c r="I147" i="2"/>
  <c r="I144" i="2"/>
  <c r="BL144" i="2"/>
  <c r="BM144" i="2"/>
  <c r="I140" i="2"/>
  <c r="BL140" i="2"/>
  <c r="BM140" i="2"/>
  <c r="I139" i="2"/>
  <c r="BL139" i="2"/>
  <c r="BM139" i="2"/>
  <c r="I136" i="2"/>
  <c r="BL136" i="2"/>
  <c r="BM136" i="2"/>
  <c r="BM134" i="2"/>
  <c r="I134" i="2"/>
  <c r="BL134" i="2"/>
  <c r="BL90" i="2"/>
  <c r="I90" i="2"/>
  <c r="BM90" i="2"/>
  <c r="BM86" i="2"/>
  <c r="I86" i="2"/>
  <c r="BL86" i="2"/>
  <c r="BM85" i="2"/>
  <c r="I85" i="2"/>
  <c r="BL85" i="2"/>
  <c r="BM84" i="2"/>
  <c r="BL84" i="2"/>
  <c r="I84" i="2"/>
  <c r="BL83" i="2"/>
  <c r="BM83" i="2"/>
  <c r="I83" i="2"/>
  <c r="BM77" i="2"/>
  <c r="I77" i="2"/>
  <c r="BL77" i="2"/>
  <c r="BL75" i="2"/>
  <c r="BM75" i="2"/>
  <c r="I75" i="2"/>
  <c r="I73" i="2"/>
  <c r="BM73" i="2"/>
  <c r="BL73" i="2"/>
  <c r="I69" i="2"/>
  <c r="BM69" i="2"/>
  <c r="BL69" i="2"/>
  <c r="BM80" i="2"/>
  <c r="I80" i="2"/>
  <c r="BL80" i="2"/>
  <c r="BL76" i="2"/>
  <c r="I76" i="2"/>
  <c r="BM76" i="2"/>
  <c r="AX37" i="2"/>
  <c r="AY37" i="2" s="1"/>
  <c r="AZ37" i="2"/>
  <c r="BA37" i="2"/>
  <c r="BC37" i="2" s="1"/>
  <c r="BB37" i="2" a="1"/>
  <c r="BB37" i="2" s="1"/>
  <c r="AX38" i="2"/>
  <c r="AY38" i="2" s="1"/>
  <c r="AZ38" i="2"/>
  <c r="BA38" i="2"/>
  <c r="BC38" i="2" s="1"/>
  <c r="BB38" i="2" a="1"/>
  <c r="BB38" i="2" s="1"/>
  <c r="AX39" i="2"/>
  <c r="AY39" i="2" s="1"/>
  <c r="AZ39" i="2"/>
  <c r="BA39" i="2"/>
  <c r="BC39" i="2" s="1"/>
  <c r="BB39" i="2" a="1"/>
  <c r="BB39" i="2" s="1"/>
  <c r="AX40" i="2"/>
  <c r="AY40" i="2" s="1"/>
  <c r="AZ40" i="2"/>
  <c r="BA40" i="2"/>
  <c r="BC40" i="2" s="1"/>
  <c r="BB40" i="2" a="1"/>
  <c r="BB40" i="2" s="1"/>
  <c r="AX41" i="2"/>
  <c r="AY41" i="2" s="1"/>
  <c r="AZ41" i="2"/>
  <c r="BA41" i="2"/>
  <c r="BC41" i="2" s="1"/>
  <c r="BB41" i="2" a="1"/>
  <c r="BB41" i="2" s="1"/>
  <c r="AX42" i="2"/>
  <c r="AY42" i="2" s="1"/>
  <c r="AZ42" i="2"/>
  <c r="BA42" i="2"/>
  <c r="BC42" i="2" s="1"/>
  <c r="BB42" i="2" a="1"/>
  <c r="BB42" i="2" s="1"/>
  <c r="AX43" i="2"/>
  <c r="BA43" i="2"/>
  <c r="I156" i="2"/>
  <c r="BM156" i="2"/>
  <c r="BL156" i="2"/>
  <c r="BL150" i="2"/>
  <c r="BM150" i="2"/>
  <c r="I150" i="2"/>
  <c r="I146" i="2"/>
  <c r="BM146" i="2"/>
  <c r="BL146" i="2"/>
  <c r="BL133" i="2"/>
  <c r="I133" i="2"/>
  <c r="BM133" i="2"/>
  <c r="I94" i="2"/>
  <c r="BL94" i="2"/>
  <c r="BM94" i="2"/>
  <c r="I78" i="2"/>
  <c r="BM78" i="2"/>
  <c r="BL78" i="2"/>
  <c r="I74" i="2"/>
  <c r="BL74" i="2"/>
  <c r="BM74" i="2"/>
  <c r="BL7" i="2"/>
  <c r="BM7" i="2"/>
  <c r="N66" i="2"/>
  <c r="N72" i="2"/>
  <c r="N75" i="2"/>
  <c r="N76" i="2"/>
  <c r="N81" i="2"/>
  <c r="N82" i="2"/>
  <c r="M84" i="2"/>
  <c r="M89" i="2"/>
  <c r="M95" i="2"/>
  <c r="M133" i="2"/>
  <c r="N138" i="2"/>
  <c r="N139" i="2"/>
  <c r="N140" i="2"/>
  <c r="M141" i="2"/>
  <c r="N142" i="2"/>
  <c r="M144" i="2"/>
  <c r="M147" i="2"/>
  <c r="N148" i="2"/>
  <c r="N152" i="2"/>
  <c r="N153" i="2"/>
  <c r="M154" i="2"/>
  <c r="N158" i="2"/>
  <c r="M162" i="2"/>
  <c r="M66" i="2"/>
  <c r="M68" i="2"/>
  <c r="N89" i="2"/>
  <c r="M90" i="2"/>
  <c r="N91" i="2"/>
  <c r="M93" i="2"/>
  <c r="N98" i="2"/>
  <c r="N134" i="2"/>
  <c r="N136" i="2"/>
  <c r="N137" i="2"/>
  <c r="N144" i="2"/>
  <c r="M67" i="2"/>
  <c r="M76" i="2"/>
  <c r="N79" i="2"/>
  <c r="M82" i="2"/>
  <c r="N83" i="2"/>
  <c r="N88" i="2"/>
  <c r="M94" i="2"/>
  <c r="N95" i="2"/>
  <c r="M97" i="2"/>
  <c r="M132" i="2"/>
  <c r="M138" i="2"/>
  <c r="M149" i="2"/>
  <c r="N69" i="2"/>
  <c r="N74" i="2"/>
  <c r="N87" i="2"/>
  <c r="N93" i="2"/>
  <c r="M98" i="2"/>
  <c r="N133" i="2"/>
  <c r="N135" i="2"/>
  <c r="M136" i="2"/>
  <c r="M140" i="2"/>
  <c r="M142" i="2"/>
  <c r="M146" i="2"/>
  <c r="M150" i="2"/>
  <c r="M71" i="2"/>
  <c r="N73" i="2"/>
  <c r="N77" i="2"/>
  <c r="N80" i="2"/>
  <c r="N84" i="2"/>
  <c r="M85" i="2"/>
  <c r="N96" i="2"/>
  <c r="N97" i="2"/>
  <c r="N132" i="2"/>
  <c r="M135" i="2"/>
  <c r="N143" i="2"/>
  <c r="M145" i="2"/>
  <c r="N146" i="2"/>
  <c r="M148" i="2"/>
  <c r="N151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N65" i="2"/>
  <c r="N68" i="2"/>
  <c r="M70" i="2"/>
  <c r="M74" i="2"/>
  <c r="M78" i="2"/>
  <c r="M80" i="2"/>
  <c r="M91" i="2"/>
  <c r="N92" i="2"/>
  <c r="N94" i="2"/>
  <c r="M96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8" i="2"/>
  <c r="N108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M117" i="2"/>
  <c r="N117" i="2"/>
  <c r="M118" i="2"/>
  <c r="N118" i="2"/>
  <c r="M119" i="2"/>
  <c r="N119" i="2"/>
  <c r="M120" i="2"/>
  <c r="N120" i="2"/>
  <c r="M121" i="2"/>
  <c r="N121" i="2"/>
  <c r="M122" i="2"/>
  <c r="N122" i="2"/>
  <c r="M123" i="2"/>
  <c r="N123" i="2"/>
  <c r="M124" i="2"/>
  <c r="N124" i="2"/>
  <c r="M125" i="2"/>
  <c r="N125" i="2"/>
  <c r="M126" i="2"/>
  <c r="N126" i="2"/>
  <c r="M127" i="2"/>
  <c r="N127" i="2"/>
  <c r="M128" i="2"/>
  <c r="N128" i="2"/>
  <c r="M129" i="2"/>
  <c r="N129" i="2"/>
  <c r="M130" i="2"/>
  <c r="N130" i="2"/>
  <c r="M131" i="2"/>
  <c r="N131" i="2"/>
  <c r="M65" i="2"/>
  <c r="N70" i="2"/>
  <c r="N71" i="2"/>
  <c r="M81" i="2"/>
  <c r="N85" i="2"/>
  <c r="M86" i="2"/>
  <c r="M87" i="2"/>
  <c r="M92" i="2"/>
  <c r="M134" i="2"/>
  <c r="M143" i="2"/>
  <c r="N145" i="2"/>
  <c r="M151" i="2"/>
  <c r="N155" i="2"/>
  <c r="M156" i="2"/>
  <c r="N157" i="2"/>
  <c r="N159" i="2"/>
  <c r="N160" i="2"/>
  <c r="N161" i="2"/>
  <c r="N162" i="2"/>
  <c r="M163" i="2"/>
  <c r="N163" i="2"/>
  <c r="M164" i="2"/>
  <c r="N164" i="2"/>
  <c r="N67" i="2"/>
  <c r="M69" i="2"/>
  <c r="M72" i="2"/>
  <c r="M73" i="2"/>
  <c r="M75" i="2"/>
  <c r="M77" i="2"/>
  <c r="N78" i="2"/>
  <c r="M79" i="2"/>
  <c r="M83" i="2"/>
  <c r="N86" i="2"/>
  <c r="M88" i="2"/>
  <c r="N90" i="2"/>
  <c r="M137" i="2"/>
  <c r="M139" i="2"/>
  <c r="N141" i="2"/>
  <c r="N147" i="2"/>
  <c r="N149" i="2"/>
  <c r="N150" i="2"/>
  <c r="M152" i="2"/>
  <c r="M153" i="2"/>
  <c r="N154" i="2"/>
  <c r="M155" i="2"/>
  <c r="N156" i="2"/>
  <c r="M157" i="2"/>
  <c r="M158" i="2"/>
  <c r="M159" i="2"/>
  <c r="M160" i="2"/>
  <c r="M161" i="2"/>
  <c r="M165" i="2"/>
  <c r="N165" i="2"/>
  <c r="M166" i="2"/>
  <c r="N166" i="2"/>
  <c r="M167" i="2"/>
  <c r="N167" i="2"/>
  <c r="M168" i="2"/>
  <c r="N168" i="2"/>
  <c r="M169" i="2"/>
  <c r="N169" i="2"/>
  <c r="M170" i="2"/>
  <c r="N170" i="2"/>
  <c r="M171" i="2"/>
  <c r="N171" i="2"/>
  <c r="M172" i="2"/>
  <c r="N172" i="2"/>
  <c r="M173" i="2"/>
  <c r="N173" i="2"/>
  <c r="M174" i="2"/>
  <c r="N174" i="2"/>
  <c r="M175" i="2"/>
  <c r="N175" i="2"/>
  <c r="M176" i="2"/>
  <c r="N176" i="2"/>
  <c r="M177" i="2"/>
  <c r="N177" i="2"/>
  <c r="M178" i="2"/>
  <c r="N178" i="2"/>
  <c r="M179" i="2"/>
  <c r="N179" i="2"/>
  <c r="M180" i="2"/>
  <c r="N180" i="2"/>
  <c r="M181" i="2"/>
  <c r="N181" i="2"/>
  <c r="M182" i="2"/>
  <c r="N182" i="2"/>
  <c r="M183" i="2"/>
  <c r="N183" i="2"/>
  <c r="M184" i="2"/>
  <c r="N184" i="2"/>
  <c r="M185" i="2"/>
  <c r="I159" i="2"/>
  <c r="BL169" i="2"/>
  <c r="BM169" i="2"/>
  <c r="BM157" i="2"/>
  <c r="I157" i="2"/>
  <c r="BL157" i="2"/>
  <c r="I148" i="2"/>
  <c r="BL148" i="2"/>
  <c r="BM148" i="2"/>
  <c r="BM145" i="2"/>
  <c r="I145" i="2"/>
  <c r="BL145" i="2"/>
  <c r="I142" i="2"/>
  <c r="BM142" i="2"/>
  <c r="BL142" i="2"/>
  <c r="I138" i="2"/>
  <c r="BL138" i="2"/>
  <c r="BM138" i="2"/>
  <c r="BL97" i="2"/>
  <c r="I97" i="2"/>
  <c r="BM97" i="2"/>
  <c r="I95" i="2"/>
  <c r="BL95" i="2"/>
  <c r="BM95" i="2"/>
  <c r="BM93" i="2"/>
  <c r="BL93" i="2"/>
  <c r="I93" i="2"/>
  <c r="I92" i="2"/>
  <c r="BL92" i="2"/>
  <c r="BM92" i="2"/>
  <c r="BL91" i="2"/>
  <c r="I91" i="2"/>
  <c r="BM91" i="2"/>
  <c r="BL89" i="2"/>
  <c r="BM89" i="2"/>
  <c r="I89" i="2"/>
  <c r="I87" i="2"/>
  <c r="BL87" i="2"/>
  <c r="BM87" i="2"/>
  <c r="BL81" i="2"/>
  <c r="BM81" i="2"/>
  <c r="I81" i="2"/>
  <c r="I71" i="2"/>
  <c r="BL71" i="2"/>
  <c r="BM71" i="2"/>
  <c r="BM65" i="2"/>
  <c r="I65" i="2"/>
  <c r="BL65" i="2"/>
  <c r="I161" i="2"/>
  <c r="BL171" i="2"/>
  <c r="BM171" i="2"/>
  <c r="BL170" i="2"/>
  <c r="BM170" i="2"/>
  <c r="I160" i="2"/>
  <c r="I158" i="2"/>
  <c r="BL168" i="2"/>
  <c r="BM168" i="2"/>
  <c r="I155" i="2"/>
  <c r="BL155" i="2"/>
  <c r="BM155" i="2"/>
  <c r="BL154" i="2"/>
  <c r="I154" i="2"/>
  <c r="BM154" i="2"/>
  <c r="BL153" i="2"/>
  <c r="I153" i="2"/>
  <c r="BM153" i="2"/>
  <c r="BM152" i="2"/>
  <c r="I152" i="2"/>
  <c r="BL152" i="2"/>
  <c r="BM135" i="2"/>
  <c r="I135" i="2"/>
  <c r="BL135" i="2"/>
  <c r="I132" i="2"/>
  <c r="BL132" i="2"/>
  <c r="BM132" i="2"/>
  <c r="BM82" i="2"/>
  <c r="BL82" i="2"/>
  <c r="I82" i="2"/>
  <c r="BL67" i="2"/>
  <c r="I67" i="2"/>
  <c r="BM67" i="2"/>
  <c r="I98" i="2"/>
  <c r="BL98" i="2"/>
  <c r="BM98" i="2"/>
  <c r="I79" i="2"/>
  <c r="BM79" i="2"/>
  <c r="BL79" i="2"/>
  <c r="I66" i="2"/>
  <c r="BL66" i="2"/>
  <c r="BM66" i="2"/>
  <c r="BL10" i="2"/>
  <c r="BM10" i="2"/>
  <c r="BL9" i="2"/>
  <c r="BM9" i="2"/>
  <c r="BL8" i="2"/>
  <c r="BM8" i="2"/>
  <c r="BL17" i="2"/>
  <c r="BM17" i="2"/>
  <c r="BL16" i="2"/>
  <c r="BM16" i="2"/>
  <c r="BL15" i="2"/>
  <c r="BM15" i="2"/>
  <c r="BL14" i="2"/>
  <c r="BM14" i="2"/>
  <c r="BL13" i="2"/>
  <c r="BM13" i="2"/>
  <c r="BL12" i="2"/>
  <c r="BM12" i="2"/>
  <c r="BL11" i="2"/>
  <c r="BM11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98" i="2"/>
  <c r="O84" i="2"/>
  <c r="O85" i="2"/>
  <c r="O89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67" i="2"/>
  <c r="O68" i="2"/>
  <c r="O77" i="2"/>
  <c r="O94" i="2"/>
  <c r="O144" i="2"/>
  <c r="O154" i="2"/>
  <c r="O158" i="2"/>
  <c r="O163" i="2"/>
  <c r="O164" i="2"/>
  <c r="O71" i="2"/>
  <c r="O76" i="2"/>
  <c r="O133" i="2"/>
  <c r="O138" i="2"/>
  <c r="O153" i="2"/>
  <c r="O157" i="2"/>
  <c r="O160" i="2"/>
  <c r="O162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74" i="2"/>
  <c r="O90" i="2"/>
  <c r="O146" i="2"/>
  <c r="O151" i="2"/>
  <c r="O152" i="2"/>
  <c r="O155" i="2"/>
  <c r="O156" i="2"/>
  <c r="O159" i="2"/>
  <c r="O161" i="2"/>
  <c r="O73" i="2"/>
  <c r="O88" i="2"/>
  <c r="O95" i="2"/>
  <c r="O97" i="2"/>
  <c r="O132" i="2"/>
  <c r="O143" i="2"/>
  <c r="O147" i="2"/>
  <c r="O65" i="2"/>
  <c r="O66" i="2"/>
  <c r="O69" i="2"/>
  <c r="O75" i="2"/>
  <c r="O86" i="2"/>
  <c r="O87" i="2"/>
  <c r="O135" i="2"/>
  <c r="O140" i="2"/>
  <c r="O142" i="2"/>
  <c r="O150" i="2"/>
  <c r="O72" i="2"/>
  <c r="O78" i="2"/>
  <c r="O79" i="2"/>
  <c r="O80" i="2"/>
  <c r="O82" i="2"/>
  <c r="O92" i="2"/>
  <c r="O96" i="2"/>
  <c r="O134" i="2"/>
  <c r="O145" i="2"/>
  <c r="O148" i="2"/>
  <c r="O149" i="2"/>
  <c r="O70" i="2"/>
  <c r="O81" i="2"/>
  <c r="O83" i="2"/>
  <c r="O91" i="2"/>
  <c r="O93" i="2"/>
  <c r="O136" i="2"/>
  <c r="O137" i="2"/>
  <c r="O139" i="2"/>
  <c r="O141" i="2"/>
  <c r="BO2" i="2"/>
  <c r="BO5" i="2"/>
  <c r="BO7" i="2"/>
  <c r="BO3" i="2"/>
  <c r="BK2" i="2"/>
  <c r="BL2" i="2"/>
  <c r="BM2" i="2"/>
  <c r="BO4" i="2"/>
  <c r="BO10" i="2"/>
  <c r="BO11" i="2"/>
  <c r="BO8" i="2"/>
  <c r="BO9" i="2"/>
  <c r="BO6" i="2"/>
  <c r="BT2" i="4"/>
  <c r="BV2" i="4" s="1"/>
  <c r="CS6" i="2" a="1"/>
  <c r="CS6" i="2" s="1"/>
  <c r="CS4" i="2" a="1"/>
  <c r="CS4" i="2" s="1"/>
  <c r="BM4" i="2"/>
  <c r="BF3" i="2" l="1"/>
  <c r="BG3" i="2"/>
  <c r="BH3" i="2"/>
  <c r="BX3" i="1"/>
  <c r="BY3" i="1"/>
  <c r="BZ3" i="1"/>
  <c r="BX2" i="1"/>
  <c r="BY2" i="1"/>
  <c r="X2" i="2"/>
  <c r="AC2" i="2"/>
  <c r="W2" i="2"/>
  <c r="U2" i="2"/>
  <c r="S2" i="2"/>
  <c r="R2" i="2"/>
  <c r="T3" i="2" s="1"/>
  <c r="AA3" i="2" s="1"/>
  <c r="AY43" i="2"/>
  <c r="AZ43" i="2"/>
  <c r="BB43" i="2" a="1"/>
  <c r="BB43" i="2" s="1"/>
  <c r="BC43" i="2"/>
  <c r="AZ4" i="2"/>
  <c r="BB5" i="2" a="1"/>
  <c r="BB5" i="2" s="1"/>
  <c r="AZ6" i="2"/>
  <c r="BA6" i="2"/>
  <c r="BC6" i="2" s="1"/>
  <c r="BB6" i="2" a="1"/>
  <c r="BB6" i="2" s="1"/>
  <c r="AX7" i="2"/>
  <c r="AY7" i="2" s="1"/>
  <c r="BA7" i="2"/>
  <c r="BC7" i="2" s="1"/>
  <c r="AX5" i="2"/>
  <c r="AY5" i="2" s="1"/>
  <c r="AX3" i="2"/>
  <c r="AY3" i="2" s="1"/>
  <c r="BA3" i="2"/>
  <c r="BC3" i="2" s="1"/>
  <c r="AZ5" i="2"/>
  <c r="AZ7" i="2"/>
  <c r="AX4" i="2"/>
  <c r="AY4" i="2" s="1"/>
  <c r="BA4" i="2"/>
  <c r="BC4" i="2" s="1"/>
  <c r="BA5" i="2"/>
  <c r="BC5" i="2" s="1"/>
  <c r="BB7" i="2" a="1"/>
  <c r="BB7" i="2" s="1"/>
  <c r="AX6" i="2"/>
  <c r="AY6" i="2" s="1"/>
  <c r="AZ3" i="2"/>
  <c r="BB3" i="2" a="1"/>
  <c r="BB3" i="2" s="1"/>
  <c r="BB4" i="2" a="1"/>
  <c r="BB4" i="2" s="1"/>
  <c r="AX12" i="2"/>
  <c r="AY12" i="2" s="1"/>
  <c r="AZ12" i="2"/>
  <c r="BA12" i="2"/>
  <c r="BC12" i="2" s="1"/>
  <c r="BB12" i="2" a="1"/>
  <c r="BB12" i="2" s="1"/>
  <c r="AX13" i="2"/>
  <c r="AY13" i="2" s="1"/>
  <c r="AZ13" i="2"/>
  <c r="BA13" i="2"/>
  <c r="BC13" i="2" s="1"/>
  <c r="BB13" i="2" a="1"/>
  <c r="BB13" i="2" s="1"/>
  <c r="AX14" i="2"/>
  <c r="AY14" i="2" s="1"/>
  <c r="AZ14" i="2"/>
  <c r="BA14" i="2"/>
  <c r="BC14" i="2" s="1"/>
  <c r="BB14" i="2" a="1"/>
  <c r="BB14" i="2" s="1"/>
  <c r="AX15" i="2"/>
  <c r="AY15" i="2" s="1"/>
  <c r="AZ15" i="2"/>
  <c r="BA15" i="2"/>
  <c r="BC15" i="2" s="1"/>
  <c r="BB15" i="2" a="1"/>
  <c r="BB15" i="2" s="1"/>
  <c r="AX16" i="2"/>
  <c r="AY16" i="2" s="1"/>
  <c r="AZ16" i="2"/>
  <c r="BA16" i="2"/>
  <c r="BC16" i="2" s="1"/>
  <c r="BB16" i="2" a="1"/>
  <c r="BB16" i="2" s="1"/>
  <c r="BX2" i="4"/>
  <c r="BY2" i="4"/>
  <c r="CL3" i="2"/>
  <c r="CN4" i="2"/>
  <c r="CM4" i="2"/>
  <c r="CL4" i="2"/>
  <c r="CN6" i="2"/>
  <c r="CL5" i="2"/>
  <c r="CO4" i="2"/>
  <c r="CL6" i="2"/>
  <c r="CL7" i="2"/>
  <c r="Y2" i="2" l="1"/>
  <c r="BF2" i="2"/>
  <c r="BG2" i="2"/>
  <c r="BH2" i="2"/>
  <c r="Z2" i="2"/>
  <c r="AE2" i="2" s="1"/>
  <c r="T2" i="2"/>
  <c r="AA2" i="2" s="1"/>
  <c r="X3" i="2" s="1"/>
  <c r="BZ2" i="1"/>
  <c r="BZ2" i="4"/>
  <c r="CN7" i="2"/>
  <c r="CN5" i="2"/>
  <c r="CN3" i="2"/>
  <c r="CN8" i="2"/>
  <c r="CL8" i="2"/>
  <c r="CO6" i="2"/>
  <c r="CO3" i="2"/>
  <c r="CO7" i="2"/>
  <c r="CO5" i="2"/>
  <c r="AD2" i="2" l="1"/>
  <c r="AI3" i="2"/>
  <c r="AH3" i="2"/>
  <c r="AF3" i="2"/>
  <c r="Y3" i="2"/>
  <c r="AD3" i="2" s="1"/>
  <c r="Z3" i="2"/>
  <c r="AE3" i="2" s="1"/>
  <c r="AF2" i="2"/>
  <c r="AH2" i="2"/>
  <c r="AI2" i="2"/>
  <c r="CM6" i="2"/>
  <c r="CM5" i="2"/>
  <c r="CM3" i="2"/>
  <c r="CM7" i="2"/>
  <c r="CM8" i="2"/>
  <c r="CO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Koprowski</author>
  </authors>
  <commentList>
    <comment ref="BW2" authorId="0" shapeId="0" xr:uid="{DC903B4F-1723-4154-A736-8BE8147E0EDE}">
      <text>
        <r>
          <rPr>
            <b/>
            <sz val="9"/>
            <color indexed="81"/>
            <rFont val="Tahoma"/>
            <charset val="1"/>
          </rPr>
          <t>Jason Koprowski:</t>
        </r>
        <r>
          <rPr>
            <sz val="9"/>
            <color indexed="81"/>
            <rFont val="Tahoma"/>
            <charset val="1"/>
          </rPr>
          <t xml:space="preserve">
counts_toward_50 = 1</t>
        </r>
      </text>
    </comment>
    <comment ref="BW3" authorId="0" shapeId="0" xr:uid="{1A56D9F3-845E-47CD-8E5E-078937551F2A}">
      <text>
        <r>
          <rPr>
            <b/>
            <sz val="9"/>
            <color indexed="81"/>
            <rFont val="Tahoma"/>
            <charset val="1"/>
          </rPr>
          <t>Jason Koprowski:</t>
        </r>
        <r>
          <rPr>
            <sz val="9"/>
            <color indexed="81"/>
            <rFont val="Tahoma"/>
            <charset val="1"/>
          </rPr>
          <t xml:space="preserve">
hard_reset = TRUE AND counts_toward_50 = 0</t>
        </r>
      </text>
    </comment>
    <comment ref="BW4" authorId="0" shapeId="0" xr:uid="{BF53C4CA-1931-458C-BB6D-E8BF5420DE46}">
      <text>
        <r>
          <rPr>
            <b/>
            <sz val="9"/>
            <color indexed="81"/>
            <rFont val="Tahoma"/>
            <charset val="1"/>
          </rPr>
          <t>Jason Koprowski:</t>
        </r>
        <r>
          <rPr>
            <sz val="9"/>
            <color indexed="81"/>
            <rFont val="Tahoma"/>
            <charset val="1"/>
          </rPr>
          <t xml:space="preserve">
counts_toward_50 = 0 AND hard_reset = FALSE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Koprowski</author>
  </authors>
  <commentList>
    <comment ref="AI1" authorId="0" shapeId="0" xr:uid="{9E5345A2-3350-4E80-B9B4-6F0F8008CB0F}">
      <text>
        <r>
          <rPr>
            <b/>
            <sz val="9"/>
            <color indexed="81"/>
            <rFont val="Tahoma"/>
          </rPr>
          <t>Format: M.YYMMDD.N where YYMMDD = date meta was FIRST traded (anchor date stays even when the meta resurrects later), and N = sequence within that day. Resurrected metas reuse the original ID.</t>
        </r>
      </text>
    </comment>
    <comment ref="AJ1" authorId="0" shapeId="0" xr:uid="{169A9A25-2924-4EA9-A4F2-697CCFE235DA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Short human-readable label for the meta (e.g. PINECON, FLN, ELON). Companion to meta_cluster_id so you don't have to remember which ID is which.</t>
        </r>
      </text>
    </comment>
    <comment ref="AK1" authorId="0" shapeId="0" xr:uid="{F5B3B54F-DBB4-40D9-BF49-CDC9A2E1962C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Narrative: Why should attention increase? 0/1.</t>
        </r>
      </text>
    </comment>
    <comment ref="AL1" authorId="0" shapeId="0" xr:uid="{1D0603AA-A7B6-4763-A1CE-B4199F7B462C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One-line rationale for N_score.</t>
        </r>
      </text>
    </comment>
    <comment ref="AM1" authorId="0" shapeId="0" xr:uid="{A927D0DC-AEB5-4D8C-8F8F-DFCFBBC89815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Immediate evidence: What proves attention is arriving now? 0/1.</t>
        </r>
      </text>
    </comment>
    <comment ref="AO1" authorId="0" shapeId="0" xr:uid="{34859D8B-3AE7-49EC-81C8-2F3174D2C835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Cut condition. Broadened parser: counts ANY of: MC stop, volume stall, KOL/tweet pull, dumping signal, bundle accumulation / holders being replaced by bundle buys, 'going to bond' (implicit MC ~34K target). Must be stated/recognized before exit, not in hindsight.</t>
        </r>
      </text>
    </comment>
    <comment ref="AQ1" authorId="0" shapeId="0" xr:uid="{7EC89C66-C5AA-49F3-8D20-10D7EA98D3C0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Sell plan: take-profit / scale-out logic before the trade gets emotional.</t>
        </r>
      </text>
    </comment>
    <comment ref="AS1" authorId="0" shapeId="0" xr:uid="{AE14C798-BC6E-4E5C-9C39-6A6360B81FB3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Sum AB+AD+AF+AH. 4 = full NICS captured.</t>
        </r>
      </text>
    </comment>
    <comment ref="AT1" authorId="0" shapeId="0" xr:uid="{B31381AF-3A91-40A7-8EA1-E5A333FE1CAB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TRUE if sol_invested = 0.5 exactly.</t>
        </r>
      </text>
    </comment>
    <comment ref="AU1" authorId="0" shapeId="0" xr:uid="{7740BE37-2E63-45F0-B5D7-65673F9BC779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TRUE if entry MC ∈ [2K, 20K].</t>
        </r>
      </text>
    </comment>
    <comment ref="AV1" authorId="0" shapeId="0" xr:uid="{C9A89A22-9749-4290-8813-AAF7E8CBAD33}">
      <text>
        <r>
          <rPr>
            <b/>
            <sz val="9"/>
            <color indexed="81"/>
            <rFont val="Tahoma"/>
          </rPr>
          <t>TRUE = cooldown respected (entered 5+ min after any prior loss, or prior trade was a win). FALSE = entered within 5 min of a losing trade closing. Informational only — does not hard-reset the counter under current policy. Re-evaluate after more data.</t>
        </r>
      </text>
    </comment>
    <comment ref="AW1" authorId="0" shapeId="0" xr:uid="{313A7439-D7E0-4072-82F8-DD05B9940287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Core NICS++ = NICS_score=3 + size_ok. 
Scout (converted) = same but C missing OR not captured pre-entry but converted within 60s. Non-NICS = everything else (failed Scout, outside zone, missing letters).</t>
        </r>
      </text>
    </comment>
    <comment ref="AX1" authorId="0" shapeId="0" xr:uid="{25DF7675-1DC7-44A5-A4A3-F2C3638E82CD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TRUE only if Core NICS++ (NICS=4, size_ok, zone_ok). Scout-converted counts only if it fully meets Core requirements.</t>
        </r>
      </text>
    </comment>
    <comment ref="AY1" authorId="0" shapeId="0" xr:uid="{C26E8FA0-2034-480E-9A4D-9B7B8AEC6FED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Currently only triggers on size &gt; 0.5 SOL. Cooldown violations tracked separately in AM as soft_flag.</t>
        </r>
      </text>
    </comment>
    <comment ref="AZ1" authorId="0" shapeId="0" xr:uid="{FA845779-CD64-4BDF-B1C5-BAD2F0AFB511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Cumulative Core NICS++ count. Resets to 0 on hard_reset.</t>
        </r>
      </text>
    </comment>
    <comment ref="BA1" authorId="0" shapeId="0" xr:uid="{6D1833E0-5922-486D-A471-EB968F172E43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P&amp;L % for Non-NICS trades only. Feeds the +10% group hurdle.</t>
        </r>
      </text>
    </comment>
    <comment ref="BB1" authorId="0" shapeId="0" xr:uid="{522D150F-5E8C-4BB7-B0FB-611C2734A64F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Aggregated P&amp;L % across all trades in the cluster (sum of pnl_sol / sum of sol_invested). For 'treat the meta as one bet' analysis.</t>
        </r>
      </text>
    </comment>
    <comment ref="BC1" authorId="0" shapeId="0" xr:uid="{B52D3C82-2E54-4566-97B4-F341843586B6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Overall trade comment / behavioral observation.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Koprowski</author>
  </authors>
  <commentList>
    <comment ref="AI1" authorId="0" shapeId="0" xr:uid="{6D8AABFC-BE4C-4056-A089-5A7D893ECD97}">
      <text>
        <r>
          <rPr>
            <b/>
            <sz val="9"/>
            <color indexed="81"/>
            <rFont val="Tahoma"/>
          </rPr>
          <t>Format: M.YYMMDD.N where YYMMDD = date meta was FIRST traded (anchor date stays even when the meta resurrects later), and N = sequence within that day. Resurrected metas reuse the original ID.</t>
        </r>
      </text>
    </comment>
    <comment ref="AJ1" authorId="0" shapeId="0" xr:uid="{756673C0-7A7D-49AB-9614-F2A8BE9CC8F0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Short human-readable label for the meta (e.g. PINECON, FLN, ELON). Companion to meta_cluster_id so you don't have to remember which ID is which.</t>
        </r>
      </text>
    </comment>
    <comment ref="AK1" authorId="0" shapeId="0" xr:uid="{A88D2D40-AC7E-4727-AA74-9953CE6B9481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Narrative: Why should attention increase? 0/1.</t>
        </r>
      </text>
    </comment>
    <comment ref="AL1" authorId="0" shapeId="0" xr:uid="{B7D10340-61F5-4F5D-8E59-36E11A3F58E8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One-line rationale for N_score.</t>
        </r>
      </text>
    </comment>
    <comment ref="AM1" authorId="0" shapeId="0" xr:uid="{A6A8E179-648F-4B08-B95F-9CBD0072FAD4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Immediate evidence: What proves attention is arriving now? 0/1.</t>
        </r>
      </text>
    </comment>
    <comment ref="AO1" authorId="0" shapeId="0" xr:uid="{8DAC4FF5-4835-4D43-9D60-160D45174C52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Cut condition. Broadened parser: counts ANY of: MC stop, volume stall, KOL/tweet pull, dumping signal, bundle accumulation / holders being replaced by bundle buys, 'going to bond' (implicit MC ~34K target). Must be stated/recognized before exit, not in hindsight.</t>
        </r>
      </text>
    </comment>
    <comment ref="AQ1" authorId="0" shapeId="0" xr:uid="{16F8A1BC-20AE-4D4A-A12C-B89909581273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Sell plan: take-profit / scale-out logic before the trade gets emotional.</t>
        </r>
      </text>
    </comment>
    <comment ref="AS1" authorId="0" shapeId="0" xr:uid="{47599E83-3EBD-4673-AD80-37D99EBC903F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Sum AB+AD+AF+AH. 4 = full NICS captured.</t>
        </r>
      </text>
    </comment>
    <comment ref="AT1" authorId="0" shapeId="0" xr:uid="{C5ECAC67-A41E-4421-B131-49E67186E0FD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TRUE if sol_invested = 0.5 exactly.</t>
        </r>
      </text>
    </comment>
    <comment ref="AU1" authorId="0" shapeId="0" xr:uid="{FFC0E60A-5B1C-4DD8-AFE9-6BD6282A9ABA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TRUE if entry MC ∈ [2K, 20K].</t>
        </r>
      </text>
    </comment>
    <comment ref="AV1" authorId="0" shapeId="0" xr:uid="{04D53B8C-E428-4147-9D3F-80B7AE4F0CE5}">
      <text>
        <r>
          <rPr>
            <b/>
            <sz val="9"/>
            <color indexed="81"/>
            <rFont val="Tahoma"/>
          </rPr>
          <t>TRUE = cooldown respected (entered 5+ min after any prior loss, or prior trade was a win). FALSE = entered within 5 min of a losing trade closing. Informational only — does not hard-reset the counter under current policy. Re-evaluate after more data.</t>
        </r>
      </text>
    </comment>
    <comment ref="AW1" authorId="0" shapeId="0" xr:uid="{EFB248B5-6374-4C93-86EA-3C8C06C810FF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Core NICS++ = NICS_score=3 + size_ok. 
Scout (converted) = same but C missing OR not captured pre-entry but converted within 60s. Non-NICS = everything else (failed Scout, outside zone, missing letters).</t>
        </r>
      </text>
    </comment>
    <comment ref="AX1" authorId="0" shapeId="0" xr:uid="{ACB14C3E-53F5-4B8D-86AB-9835D21A218E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TRUE only if Core NICS++ (NICS=4, size_ok, zone_ok). Scout-converted counts only if it fully meets Core requirements.</t>
        </r>
      </text>
    </comment>
    <comment ref="AY1" authorId="0" shapeId="0" xr:uid="{7CF06951-A495-460A-A7A8-C76389C72444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Currently only triggers on size &gt; 0.5 SOL. Cooldown violations tracked separately in AM as soft_flag.</t>
        </r>
      </text>
    </comment>
    <comment ref="AZ1" authorId="0" shapeId="0" xr:uid="{428EAD30-3058-4F65-8A79-138053096CA1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Cumulative Core NICS++ count. Resets to 0 on hard_reset.</t>
        </r>
      </text>
    </comment>
    <comment ref="BA1" authorId="0" shapeId="0" xr:uid="{5317DC33-2F44-4C06-A06B-D5AD7D4EBBCC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P&amp;L % for Non-NICS trades only. Feeds the +10% group hurdle.</t>
        </r>
      </text>
    </comment>
    <comment ref="BB1" authorId="0" shapeId="0" xr:uid="{C6A87353-1D82-425C-B1D1-DC1B077F1664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Aggregated P&amp;L % across all trades in the cluster (sum of pnl_sol / sum of sol_invested). For 'treat the meta as one bet' analysis.</t>
        </r>
      </text>
    </comment>
    <comment ref="BC1" authorId="0" shapeId="0" xr:uid="{79365EA0-FABB-44F4-B624-DDCF5C8365B4}">
      <text>
        <r>
          <rPr>
            <b/>
            <sz val="9"/>
            <color indexed="81"/>
            <rFont val="Tahoma"/>
          </rPr>
          <t>Jason Koprowski:</t>
        </r>
        <r>
          <rPr>
            <sz val="9"/>
            <color indexed="81"/>
            <rFont val="Tahoma"/>
          </rPr>
          <t xml:space="preserve">
Overall trade comment / behavioral observation.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<sst xmlns="http://schemas.openxmlformats.org/spreadsheetml/2006/main" count="385" uniqueCount="251">
  <si>
    <t>source_session</t>
  </si>
  <si>
    <t>source_log_type</t>
  </si>
  <si>
    <t>source_folder_archived_path</t>
  </si>
  <si>
    <t>processed_at</t>
  </si>
  <si>
    <t>trade_id</t>
  </si>
  <si>
    <t>token_name</t>
  </si>
  <si>
    <t>video_start_time</t>
  </si>
  <si>
    <t>entry_commentary_time</t>
  </si>
  <si>
    <t>exit_commentary_time</t>
  </si>
  <si>
    <t>exit_time_actual</t>
  </si>
  <si>
    <t>time_in_trade_seconds</t>
  </si>
  <si>
    <t>video_end_time</t>
  </si>
  <si>
    <t>entry_mc_actual</t>
  </si>
  <si>
    <t>target_exit_low_mc</t>
  </si>
  <si>
    <t>target_exit_high_mc</t>
  </si>
  <si>
    <t>stop_loss_mc</t>
  </si>
  <si>
    <t>exit_mc_actual</t>
  </si>
  <si>
    <t>sol_invested</t>
  </si>
  <si>
    <t>sol_received</t>
  </si>
  <si>
    <t>pnl_sol</t>
  </si>
  <si>
    <t>pnl_percentage</t>
  </si>
  <si>
    <t>rationale</t>
  </si>
  <si>
    <t>pre_transcript_excerpt</t>
  </si>
  <si>
    <t>post_transcript_excerpt</t>
  </si>
  <si>
    <t>adherence_self_assessment</t>
  </si>
  <si>
    <t>notes</t>
  </si>
  <si>
    <t>needs_review</t>
  </si>
  <si>
    <t/>
  </si>
  <si>
    <t>true</t>
  </si>
  <si>
    <t>workflow-xlsx</t>
  </si>
  <si>
    <t>Trade #</t>
  </si>
  <si>
    <t>Token</t>
  </si>
  <si>
    <t>Date</t>
  </si>
  <si>
    <t>Entry MC ($)</t>
  </si>
  <si>
    <t>Exit MC ($)</t>
  </si>
  <si>
    <t>Hold Time (s)</t>
  </si>
  <si>
    <t>P&amp;L %</t>
  </si>
  <si>
    <t>P&amp;L SOL</t>
  </si>
  <si>
    <t>MC Bucket</t>
  </si>
  <si>
    <t>Hold Bucket</t>
  </si>
  <si>
    <t>Cum P&amp;L SOL</t>
  </si>
  <si>
    <t>Win Rate</t>
  </si>
  <si>
    <t>Avg P&amp;L %</t>
  </si>
  <si>
    <t>Expectancy %</t>
  </si>
  <si>
    <t>By Entry Market Cap</t>
  </si>
  <si>
    <t># Trades</t>
  </si>
  <si>
    <t>Total SOL</t>
  </si>
  <si>
    <t>By Hold Time</t>
  </si>
  <si>
    <t>P&amp;L Bucket</t>
  </si>
  <si>
    <t>≤ -75%</t>
  </si>
  <si>
    <t>-75% to -50%</t>
  </si>
  <si>
    <t>-50% to -25%</t>
  </si>
  <si>
    <t>-25% to 0%</t>
  </si>
  <si>
    <t>0% to +25%</t>
  </si>
  <si>
    <t>+25% to +50%</t>
  </si>
  <si>
    <t>+50% to +100%</t>
  </si>
  <si>
    <t>&gt; +100%</t>
  </si>
  <si>
    <t>SOL Invested</t>
  </si>
  <si>
    <t>Big Position Label</t>
  </si>
  <si>
    <t>Trades</t>
  </si>
  <si>
    <t>Open</t>
  </si>
  <si>
    <t>High</t>
  </si>
  <si>
    <t>Low</t>
  </si>
  <si>
    <t>Close</t>
  </si>
  <si>
    <t>High %</t>
  </si>
  <si>
    <t>Low %</t>
  </si>
  <si>
    <t>Close %</t>
  </si>
  <si>
    <t>Up Vol</t>
  </si>
  <si>
    <t>Down Vol</t>
  </si>
  <si>
    <t>Starting capital (SOL)</t>
  </si>
  <si>
    <t>Trade Count Label</t>
  </si>
  <si>
    <t>Label Pin Y</t>
  </si>
  <si>
    <t>2-5K</t>
  </si>
  <si>
    <t>5-10K</t>
  </si>
  <si>
    <t>10-20K</t>
  </si>
  <si>
    <t>20K+</t>
  </si>
  <si>
    <t>Unknown (0s)</t>
  </si>
  <si>
    <t>1-15s</t>
  </si>
  <si>
    <t>15-45s</t>
  </si>
  <si>
    <t>45-90s</t>
  </si>
  <si>
    <t>90s+</t>
  </si>
  <si>
    <t>Under 2K</t>
  </si>
  <si>
    <t>Wtd Avg P&amp;L %</t>
  </si>
  <si>
    <t>Total SOL Label</t>
  </si>
  <si>
    <t>Win</t>
  </si>
  <si>
    <t>DupTicker</t>
  </si>
  <si>
    <t>EntrySize</t>
  </si>
  <si>
    <t>First</t>
  </si>
  <si>
    <t>Hour</t>
  </si>
  <si>
    <t>Weekday</t>
  </si>
  <si>
    <t>WeekdayNum</t>
  </si>
  <si>
    <t>TimeBucket</t>
  </si>
  <si>
    <t>By Time of Day Bucket</t>
  </si>
  <si>
    <t>Time Bucket</t>
  </si>
  <si>
    <t>WD 8pm-12am</t>
  </si>
  <si>
    <t>WD 6pm-8pm</t>
  </si>
  <si>
    <t>WE 6am-12pm</t>
  </si>
  <si>
    <t>WE 12pm-6pm</t>
  </si>
  <si>
    <t>meta_cluster_id</t>
  </si>
  <si>
    <t>meta_name</t>
  </si>
  <si>
    <t>N_score</t>
  </si>
  <si>
    <t>N_why</t>
  </si>
  <si>
    <t>I_score</t>
  </si>
  <si>
    <t>I_why</t>
  </si>
  <si>
    <t>C_score</t>
  </si>
  <si>
    <t>C_why</t>
  </si>
  <si>
    <t>S_score</t>
  </si>
  <si>
    <t>S_why</t>
  </si>
  <si>
    <t>NICS_score</t>
  </si>
  <si>
    <t>size_ok</t>
  </si>
  <si>
    <t>zone_ok</t>
  </si>
  <si>
    <t>cooldown_ok</t>
  </si>
  <si>
    <t>trade_type</t>
  </si>
  <si>
    <t>counts_toward_50</t>
  </si>
  <si>
    <t>hard_reset</t>
  </si>
  <si>
    <t>running_count</t>
  </si>
  <si>
    <t>non_nics_pnl_pct</t>
  </si>
  <si>
    <t>cluster_pnl_pct</t>
  </si>
  <si>
    <t>llm_grade_notes</t>
  </si>
  <si>
    <t>No take-profit / exit plan stated.</t>
  </si>
  <si>
    <t>Non-NICS</t>
  </si>
  <si>
    <t>PINECON ticket 1 of 3 in cluster M1. N+I+C present; missing S.</t>
  </si>
  <si>
    <t>20260518.1456 trade</t>
  </si>
  <si>
    <t>E:\OneDrive\Snipalot Captures\Archive\20260518.1456 trade archived 2026-05-18T22-07-59-274Z</t>
  </si>
  <si>
    <t>5/18/2026, 16:35:49 PM</t>
  </si>
  <si>
    <t>PINECON</t>
  </si>
  <si>
    <t>02:56:50 PM</t>
  </si>
  <si>
    <t>03:07:05 PM</t>
  </si>
  <si>
    <t>03:07:28 PM</t>
  </si>
  <si>
    <t>03:07:27 PM</t>
  </si>
  <si>
    <t>03:28:33 PM</t>
  </si>
  <si>
    <t>gonna be good</t>
  </si>
  <si>
    <t>I'm just gonna be good know about the
wrong one so why don't I go this one</t>
  </si>
  <si>
    <t>Oh, both rogged. Come on.</t>
  </si>
  <si>
    <t>Transcript implies entering two trades
simultaneously that both failed ('both
rogged').</t>
  </si>
  <si>
    <t>1779131247950jwk5vjbk2</t>
  </si>
  <si>
    <t>M.260518.1</t>
  </si>
  <si>
    <t>Billionaire-buys-pinecone narrative recognized pre-entry ('this is so good', 'crazy').</t>
  </si>
  <si>
    <t>It is really a bond' = quick bundle/launch check post-entry within ~30s.</t>
  </si>
  <si>
    <t>Stated risk pre-entry ('only risk is that this could be completely fake') + bundle-nuke watch in flight.</t>
  </si>
  <si>
    <t>Core NICS++</t>
  </si>
  <si>
    <t>Scout</t>
  </si>
  <si>
    <t>P&amp;L % (Win)</t>
  </si>
  <si>
    <t>P&amp;L % (Loss)</t>
  </si>
  <si>
    <t>P&amp;L Histogram</t>
  </si>
  <si>
    <t>Count</t>
  </si>
  <si>
    <t>+50% to +75%</t>
  </si>
  <si>
    <t>+75% to +100%</t>
  </si>
  <si>
    <t>+100% to +200%</t>
  </si>
  <si>
    <t>&gt; +200%</t>
  </si>
  <si>
    <t>-75% to -100%</t>
  </si>
  <si>
    <t>-50% to -75%</t>
  </si>
  <si>
    <t>-25% to -50%</t>
  </si>
  <si>
    <t>0% to -25%</t>
  </si>
  <si>
    <t>WD 12pm-6pm</t>
  </si>
  <si>
    <t>WD 6am-12pm</t>
  </si>
  <si>
    <t>By Trade Type</t>
  </si>
  <si>
    <t>By Accountability Bucket</t>
  </si>
  <si>
    <t>NICS</t>
  </si>
  <si>
    <t>Hard Reset</t>
  </si>
  <si>
    <t>All Else</t>
  </si>
  <si>
    <t>Big Position Marker Y</t>
  </si>
  <si>
    <t>Cooldown Bucket</t>
  </si>
  <si>
    <t>0–5 min</t>
  </si>
  <si>
    <t>5–10 min</t>
  </si>
  <si>
    <t>10–15 min</t>
  </si>
  <si>
    <t>15–30 min</t>
  </si>
  <si>
    <t>30 min+</t>
  </si>
  <si>
    <t>OVERALL</t>
  </si>
  <si>
    <t>Total PnL</t>
  </si>
  <si>
    <t>is_new_cluster_start</t>
  </si>
  <si>
    <t>prior_cluster_id</t>
  </si>
  <si>
    <t>prior_cluster_last_exit_dt</t>
  </si>
  <si>
    <t>this_trade_entry_dt</t>
  </si>
  <si>
    <t>cooldown_minutes</t>
  </si>
  <si>
    <t>prior_cluster_outcome</t>
  </si>
  <si>
    <t>cooldown_bucket</t>
  </si>
  <si>
    <t>unknown</t>
  </si>
  <si>
    <t>Cooldown Bucket Aggregation (per-cluster, all transitions)</t>
  </si>
  <si>
    <t># Clusters</t>
  </si>
  <si>
    <t>cluster_group_id</t>
  </si>
  <si>
    <t>cluster_total_pnl_sol</t>
  </si>
  <si>
    <t>cluster_avg_pnl_pct</t>
  </si>
  <si>
    <t>cluster_win</t>
  </si>
  <si>
    <t>trade_num_in_session</t>
  </si>
  <si>
    <t>Trade Count Bucket Aggregation (per session position)</t>
  </si>
  <si>
    <t>Trade Count Bucket</t>
  </si>
  <si>
    <t>First trade only</t>
  </si>
  <si>
    <t>Trades 1-10</t>
  </si>
  <si>
    <t>Trades 11-20</t>
  </si>
  <si>
    <t>Trades 21-30</t>
  </si>
  <si>
    <t>Trades 31-40</t>
  </si>
  <si>
    <t>Trades 40+</t>
  </si>
  <si>
    <t>WE 6pm-2am</t>
  </si>
  <si>
    <t>ohlc_mc_open</t>
  </si>
  <si>
    <t>ohlc_mc_high</t>
  </si>
  <si>
    <t>ohlc_mc_low</t>
  </si>
  <si>
    <t>ohlc_mc_close</t>
  </si>
  <si>
    <t>ohlc_pct_high</t>
  </si>
  <si>
    <t>ohlc_pct_low</t>
  </si>
  <si>
    <t>ohlc_pct_close</t>
  </si>
  <si>
    <t>ohlc_sol_open</t>
  </si>
  <si>
    <t>ohlc_sol_high</t>
  </si>
  <si>
    <t>ohlc_sol_low</t>
  </si>
  <si>
    <t>ohlc_sol_close</t>
  </si>
  <si>
    <t>ohlc_screenshot</t>
  </si>
  <si>
    <t>20260603.2349 Trade</t>
  </si>
  <si>
    <t>UPTIMIST.</t>
  </si>
  <si>
    <t>11:49:08 PM</t>
  </si>
  <si>
    <t>11:50:45 PM</t>
  </si>
  <si>
    <t>11:50:52 PM</t>
  </si>
  <si>
    <t>11:51:02 PM</t>
  </si>
  <si>
    <t>11:51:10 PM</t>
  </si>
  <si>
    <t>just to get it in something so I can test out</t>
  </si>
  <si>
    <t>We'll do this one just to get it in something so I can test out.</t>
  </si>
  <si>
    <t>It's completely bundled, it's going to be rubbed here any second, so I'll get out now. Okay got out let me test the flow</t>
  </si>
  <si>
    <t>tokenAddress=DHeLf1a8GUfJhRxuoAZwqA3LZdnN8S3iCsNCuYBzSus7; Test trade to check application flow.</t>
  </si>
  <si>
    <t>pos-1780545048600-yrck3s</t>
  </si>
  <si>
    <t>No narrative, meta, or setup was named; the trade was explicitly initiated just to test the application flow.</t>
  </si>
  <si>
    <t>No evidence or immediate catalyst for choosing this specific token was provided other than needing a random token to test.</t>
  </si>
  <si>
    <t>A clear cut reason was provided post-entry: the token looked 'completely bundled' and like it was going to be 'rubbed' (rugged) any second.</t>
  </si>
  <si>
    <t>No profit taking, scaling, or upside management plan was mentioned.</t>
  </si>
  <si>
    <t>This was a test trade with no fundamental or technical setup. The only NICS element present was the reactive cut reason when anticipating a rug pull.</t>
  </si>
  <si>
    <t>FALSE</t>
  </si>
  <si>
    <t>20260604.1015 Trade</t>
  </si>
  <si>
    <t>ALEXANDER</t>
  </si>
  <si>
    <t>10:15:31 AM</t>
  </si>
  <si>
    <t>10:15:49 AM</t>
  </si>
  <si>
    <t>10:21:37 AM</t>
  </si>
  <si>
    <t>10:21:56 AM</t>
  </si>
  <si>
    <t>10:25:37 AM</t>
  </si>
  <si>
    <t>Testing the system; noted a 1K whale involved later in the trade.</t>
  </si>
  <si>
    <t>Sure, we'll get in on this Alexander crypto guy. Put a stop down there below 3k and a target of 7k.</t>
  </si>
  <si>
    <t>Alright, I hit my target and I'm out 76% gain, so that's perfect setup, perfect execution</t>
  </si>
  <si>
    <t>perfect setup, perfect execution</t>
  </si>
  <si>
    <t>tokenAddress=FvzmLwxzC9cdUa1oHjwpKNemJvgg8hyDeBU7Q2rmsxJB; Scaled out 50% at 7K, adjusted final target to 9K.</t>
  </si>
  <si>
    <t>pos-1780582567497-3iydcy</t>
  </si>
  <si>
    <t>WT.260604.1</t>
  </si>
  <si>
    <t>crypto guy</t>
  </si>
  <si>
    <t>Mentioned 'crypto guy' but no clear narrative, meta, or setup was defined before entry.</t>
  </si>
  <si>
    <t>No immediate evidence or reason given for entry other than testing the system.</t>
  </si>
  <si>
    <t>Explicitly set a stop below 3k.</t>
  </si>
  <si>
    <t>Set an initial target of 7k, scaled out 50%, and adjusted final target to 9k.</t>
  </si>
  <si>
    <t>Lacks narrative and entry evidence. Stop and target were explicitly stated.</t>
  </si>
  <si>
    <t>source_trade_id</t>
  </si>
  <si>
    <t>entry_date</t>
  </si>
  <si>
    <t>exit_date</t>
  </si>
  <si>
    <t>E:\Apps\WilyTrader Captures\Archive\20260603.2349 Trade</t>
  </si>
  <si>
    <t>E:\Apps\WilyTrader Captures\Archive\20260604.1015 Trade</t>
  </si>
  <si>
    <t>6/4/2026, 4:27:40 PM</t>
  </si>
  <si>
    <t>WT.260603.1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</si>
</sst>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"/>
    <numFmt numFmtId="165" formatCode="&quot;$&quot;#,##0"/>
    <numFmt numFmtId="166" formatCode="0.0%;\(0.0%\);\-"/>
    <numFmt numFmtId="167" formatCode="0.00;\(0.00\);\-"/>
    <numFmt numFmtId="168" formatCode="#,##0.0_);[Red]\(#,##0.0\)"/>
    <numFmt numFmtId="169" formatCode="#,##0%_);[Red]\(#,##0%\)"/>
    <numFmt numFmtId="170" formatCode="mm/dd/yy"/>
    <numFmt numFmtId="171" formatCode="\+0.00;\-0.00;\-"/>
    <numFmt numFmtId="172" formatCode="m/d/yy"/>
    <numFmt numFmtId="173" formatCode="m/d/yy\ h:mm:ss"/>
    <numFmt numFmtId="174" formatCode="\+0.0\ &quot;SOL&quot;;\-0.0\ &quot;SOL&quot;;\-"/>
    <numFmt numFmtId="175" formatCode="0.000"/>
    <numFmt numFmtId="176" formatCode="yymmdd\.hhmm"/>
    <numFmt numFmtId="177" formatCode="0.0"/>
  </numFmts>
  <fonts count="14" x14ac:knownFonts="1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9"/>
      <name val="Calibri"/>
      <family val="2"/>
    </font>
    <font>
      <b/>
      <sz val="11"/>
      <name val="Calibri"/>
    </font>
    <font>
      <sz val="8"/>
      <name val="Calibri"/>
    </font>
    <font>
      <b/>
      <sz val="9"/>
      <color indexed="81"/>
      <name val="Tahoma"/>
    </font>
    <font>
      <sz val="9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6"/>
      <name val="Calibri"/>
      <family val="2"/>
    </font>
    <font>
      <u/>
      <sz val="11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0" borderId="0" xfId="0" applyFont="1"/>
    <xf numFmtId="168" fontId="3" fillId="0" borderId="0" xfId="0" applyNumberFormat="1" applyFont="1"/>
    <xf numFmtId="169" fontId="3" fillId="0" borderId="0" xfId="0" applyNumberFormat="1" applyFont="1"/>
    <xf numFmtId="169" fontId="0" fillId="0" borderId="0" xfId="1" applyNumberFormat="1" applyFont="1"/>
    <xf numFmtId="169" fontId="0" fillId="0" borderId="0" xfId="0" applyNumberFormat="1"/>
    <xf numFmtId="3" fontId="0" fillId="0" borderId="0" xfId="0" applyNumberFormat="1"/>
    <xf numFmtId="170" fontId="0" fillId="0" borderId="0" xfId="0" applyNumberFormat="1"/>
    <xf numFmtId="0" fontId="4" fillId="2" borderId="0" xfId="0" applyFont="1" applyFill="1"/>
    <xf numFmtId="3" fontId="3" fillId="0" borderId="0" xfId="0" applyNumberFormat="1" applyFont="1"/>
    <xf numFmtId="169" fontId="5" fillId="0" borderId="0" xfId="1" applyNumberFormat="1" applyFont="1"/>
    <xf numFmtId="169" fontId="3" fillId="0" borderId="0" xfId="1" applyNumberFormat="1" applyFont="1"/>
    <xf numFmtId="0" fontId="5" fillId="0" borderId="0" xfId="0" applyFont="1"/>
    <xf numFmtId="0" fontId="4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/>
    <xf numFmtId="164" fontId="0" fillId="0" borderId="0" xfId="0" applyNumberFormat="1"/>
    <xf numFmtId="169" fontId="6" fillId="0" borderId="0" xfId="1" applyNumberFormat="1" applyFont="1"/>
    <xf numFmtId="168" fontId="6" fillId="0" borderId="0" xfId="0" applyNumberFormat="1" applyFont="1"/>
    <xf numFmtId="164" fontId="0" fillId="0" borderId="0" xfId="1" applyNumberFormat="1" applyFont="1"/>
    <xf numFmtId="171" fontId="0" fillId="0" borderId="0" xfId="0" applyNumberFormat="1"/>
    <xf numFmtId="172" fontId="0" fillId="0" borderId="0" xfId="0" applyNumberFormat="1"/>
    <xf numFmtId="0" fontId="1" fillId="2" borderId="0" xfId="0" applyFont="1" applyFill="1"/>
    <xf numFmtId="166" fontId="1" fillId="2" borderId="0" xfId="0" applyNumberFormat="1" applyFont="1" applyFill="1"/>
    <xf numFmtId="2" fontId="12" fillId="0" borderId="0" xfId="0" applyNumberFormat="1" applyFont="1"/>
    <xf numFmtId="0" fontId="6" fillId="5" borderId="0" xfId="0" applyFont="1" applyFill="1"/>
    <xf numFmtId="164" fontId="6" fillId="0" borderId="0" xfId="0" applyNumberFormat="1" applyFont="1"/>
    <xf numFmtId="174" fontId="5" fillId="0" borderId="0" xfId="0" applyNumberFormat="1" applyFont="1"/>
    <xf numFmtId="0" fontId="1" fillId="2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3" fontId="1" fillId="6" borderId="0" xfId="0" applyNumberFormat="1" applyFont="1" applyFill="1" applyAlignment="1">
      <alignment vertical="center"/>
    </xf>
    <xf numFmtId="2" fontId="1" fillId="6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72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175" fontId="0" fillId="0" borderId="0" xfId="0" applyNumberFormat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" fontId="0" fillId="6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176" fontId="0" fillId="6" borderId="0" xfId="0" applyNumberFormat="1" applyFill="1" applyAlignment="1">
      <alignment vertical="center"/>
    </xf>
    <xf numFmtId="177" fontId="0" fillId="6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1" fontId="0" fillId="6" borderId="0" xfId="0" applyNumberFormat="1" applyFill="1" applyAlignment="1">
      <alignment vertical="top"/>
    </xf>
    <xf numFmtId="0" fontId="13" fillId="6" borderId="0" xfId="2" applyFill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99">
    <dxf>
      <numFmt numFmtId="172" formatCode="m/d/yy"/>
    </dxf>
    <dxf>
      <numFmt numFmtId="165" formatCode="&quot;$&quot;#,##0"/>
    </dxf>
    <dxf>
      <numFmt numFmtId="0" formatCode="General"/>
    </dxf>
    <dxf>
      <numFmt numFmtId="167" formatCode="0.00;\(0.00\);\-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0.00;\(0.00\);\-"/>
    </dxf>
    <dxf>
      <numFmt numFmtId="166" formatCode="0.0%;\(0.0%\);\-"/>
    </dxf>
    <dxf>
      <numFmt numFmtId="1" formatCode="0"/>
    </dxf>
    <dxf>
      <numFmt numFmtId="165" formatCode="&quot;$&quot;#,##0"/>
    </dxf>
    <dxf>
      <numFmt numFmtId="0" formatCode="General"/>
    </dxf>
    <dxf>
      <numFmt numFmtId="177" formatCode="0.0"/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numFmt numFmtId="176" formatCode="yymmdd\.hhmm"/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numFmt numFmtId="176" formatCode="yymmdd\.hhmm"/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/>
        </patternFill>
      </fill>
      <alignment horizontal="general" vertical="top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numFmt numFmtId="175" formatCode="0.0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72" formatCode="m/d/yy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(SOL)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Analysis!$O$2:$O$3</c:f>
              <c:numCache>
                <c:formatCode>0.00;\(0.00\);\-</c:formatCode>
                <c:ptCount val="2"/>
                <c:pt idx="0">
                  <c:v>-5.0000000000000001E-3</c:v>
                </c:pt>
                <c:pt idx="1">
                  <c:v>0.40399999999999997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BC-4EA8-B005-07702F713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515983"/>
        <c:axId val="1963516463"/>
      </c:lineChart>
      <c:catAx>
        <c:axId val="1963515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16463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351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\(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1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 Rate (bars) &amp; P&amp;L % (lines) by Hold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22076407115778"/>
          <c:y val="0.17268285012760501"/>
          <c:w val="0.83757713619130947"/>
          <c:h val="0.72324612649225295"/>
        </c:manualLayout>
      </c:layout>
      <c:barChart>
        <c:barDir val="col"/>
        <c:grouping val="clustered"/>
        <c:varyColors val="0"/>
        <c:ser>
          <c:idx val="0"/>
          <c:order val="0"/>
          <c:tx>
            <c:v>Win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Analysis!$AW$13:$AW$16</c:f>
              <c:strCache>
                <c:ptCount val="4"/>
                <c:pt idx="0">
                  <c:v>1-15s</c:v>
                </c:pt>
                <c:pt idx="1">
                  <c:v>15-45s</c:v>
                </c:pt>
                <c:pt idx="2">
                  <c:v>45-90s</c:v>
                </c:pt>
                <c:pt idx="3">
                  <c:v>90s+</c:v>
                </c:pt>
              </c:strCache>
            </c:strRef>
          </c:cat>
          <c:val>
            <c:numRef>
              <c:f>Analysis!$AY$13:$AY$16</c:f>
              <c:numCache>
                <c:formatCode>#,##0%_);[Red]\(#,##0%\)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2-4FDB-9BBE-2F5F21882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501695"/>
        <c:axId val="1611504575"/>
      </c:barChart>
      <c:barChart>
        <c:barDir val="col"/>
        <c:grouping val="clustered"/>
        <c:varyColors val="0"/>
        <c:ser>
          <c:idx val="2"/>
          <c:order val="1"/>
          <c:tx>
            <c:v># Trades</c:v>
          </c:tx>
          <c:spPr>
            <a:solidFill>
              <a:srgbClr val="A6A6A6"/>
            </a:solidFill>
            <a:ln w="25400">
              <a:noFill/>
              <a:prstDash val="solid"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Analysis!$AW$13:$AW$16</c:f>
              <c:strCache>
                <c:ptCount val="4"/>
                <c:pt idx="0">
                  <c:v>1-15s</c:v>
                </c:pt>
                <c:pt idx="1">
                  <c:v>15-45s</c:v>
                </c:pt>
                <c:pt idx="2">
                  <c:v>45-90s</c:v>
                </c:pt>
                <c:pt idx="3">
                  <c:v>90s+</c:v>
                </c:pt>
              </c:strCache>
            </c:strRef>
          </c:cat>
          <c:val>
            <c:numRef>
              <c:f>Analysis!$AX$13:$AX$16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E-4230-91FA-A040A802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4006047"/>
        <c:axId val="2143434191"/>
      </c:barChart>
      <c:lineChart>
        <c:grouping val="standard"/>
        <c:varyColors val="0"/>
        <c:ser>
          <c:idx val="3"/>
          <c:order val="2"/>
          <c:tx>
            <c:v>Wtd Avg P&amp;L %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wrap="square" lIns="38100" tIns="0" rIns="38100" bIns="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Analysis!$AW$13:$AW$16</c:f>
              <c:strCache>
                <c:ptCount val="4"/>
                <c:pt idx="0">
                  <c:v>1-15s</c:v>
                </c:pt>
                <c:pt idx="1">
                  <c:v>15-45s</c:v>
                </c:pt>
                <c:pt idx="2">
                  <c:v>45-90s</c:v>
                </c:pt>
                <c:pt idx="3">
                  <c:v>90s+</c:v>
                </c:pt>
              </c:strCache>
            </c:strRef>
          </c:cat>
          <c:val>
            <c:numRef>
              <c:f>Analysis!$BB$13:$BB$16</c:f>
              <c:numCache>
                <c:formatCode>#,##0%_);[Red]\(#,##0%\)</c:formatCode>
                <c:ptCount val="4"/>
                <c:pt idx="0">
                  <c:v>-0.01</c:v>
                </c:pt>
                <c:pt idx="1">
                  <c:v>0</c:v>
                </c:pt>
                <c:pt idx="2">
                  <c:v>0</c:v>
                </c:pt>
                <c:pt idx="3">
                  <c:v>0.81799999999999995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E-4230-91FA-A040A802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501695"/>
        <c:axId val="1611504575"/>
      </c:lineChart>
      <c:catAx>
        <c:axId val="161150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sng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504575"/>
        <c:crosses val="autoZero"/>
        <c:auto val="1"/>
        <c:lblAlgn val="ctr"/>
        <c:lblOffset val="400"/>
        <c:noMultiLvlLbl val="0"/>
      </c:catAx>
      <c:valAx>
        <c:axId val="1611504575"/>
        <c:scaling>
          <c:orientation val="minMax"/>
          <c:max val="0.8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Win</a:t>
                </a:r>
                <a:r>
                  <a:rPr lang="en-US" b="1" baseline="0"/>
                  <a:t> Rate and PnL %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501695"/>
        <c:crosses val="autoZero"/>
        <c:crossBetween val="between"/>
      </c:valAx>
      <c:valAx>
        <c:axId val="2143434191"/>
        <c:scaling>
          <c:orientation val="minMax"/>
          <c:max val="300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6047"/>
        <c:crosses val="max"/>
        <c:crossBetween val="between"/>
      </c:valAx>
      <c:catAx>
        <c:axId val="134006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3434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20676582093906"/>
          <c:y val="0.92972313944627893"/>
          <c:w val="0.47299387576552926"/>
          <c:h val="5.1843680830218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 Equity % Change — HLC (5 SOL base)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v>High %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Analysis!$AC$2:$AC$3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Analysis!$AD$2:$AD$3</c:f>
              <c:numCache>
                <c:formatCode>#,##0%_);[Red]\(#,##0%\)</c:formatCode>
                <c:ptCount val="2"/>
                <c:pt idx="0">
                  <c:v>0</c:v>
                </c:pt>
                <c:pt idx="1">
                  <c:v>8.1799999999999998E-2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D-470C-8130-F3287760BF3E}"/>
            </c:ext>
          </c:extLst>
        </c:ser>
        <c:ser>
          <c:idx val="1"/>
          <c:order val="1"/>
          <c:tx>
            <c:v>Low %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Analysis!$AC$2:$AC$3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Analysis!$AE$2:$AE$3</c:f>
              <c:numCache>
                <c:formatCode>#,##0%_);[Red]\(#,##0%\)</c:formatCode>
                <c:ptCount val="2"/>
                <c:pt idx="0">
                  <c:v>-1E-3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D-470C-8130-F3287760BF3E}"/>
            </c:ext>
          </c:extLst>
        </c:ser>
        <c:ser>
          <c:idx val="2"/>
          <c:order val="2"/>
          <c:tx>
            <c:v>Close %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8"/>
            <c:spPr>
              <a:solidFill>
                <a:srgbClr val="000000"/>
              </a:solidFill>
              <a:ln w="6350">
                <a:solidFill>
                  <a:schemeClr val="tx1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</c:marker>
          <c:cat>
            <c:numRef>
              <c:f>Analysis!$AC$2:$AC$3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Analysis!$AF$2:$AF$3</c:f>
              <c:numCache>
                <c:formatCode>#,##0%_);[Red]\(#,##0%\)</c:formatCode>
                <c:ptCount val="2"/>
                <c:pt idx="0">
                  <c:v>-1E-3</c:v>
                </c:pt>
                <c:pt idx="1">
                  <c:v>8.1799999999999998E-2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9D-470C-8130-F3287760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/>
              </a:solidFill>
              <a:round/>
            </a:ln>
            <a:effectLst/>
          </c:spPr>
        </c:hiLowLines>
        <c:axId val="69723455"/>
        <c:axId val="458313871"/>
      </c:stockChart>
      <c:catAx>
        <c:axId val="69723455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high"/>
        <c:spPr>
          <a:noFill/>
          <a:ln w="9525" cap="flat" cmpd="sng" algn="ctr">
            <a:solidFill>
              <a:srgbClr val="8CA8C5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13871"/>
        <c:crosses val="autoZero"/>
        <c:auto val="0"/>
        <c:lblAlgn val="ctr"/>
        <c:lblOffset val="100"/>
        <c:noMultiLvlLbl val="1"/>
      </c:catAx>
      <c:valAx>
        <c:axId val="45831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(0.0%\)" sourceLinked="0"/>
        <c:majorTickMark val="none"/>
        <c:minorTickMark val="none"/>
        <c:tickLblPos val="nextTo"/>
        <c:spPr>
          <a:noFill/>
          <a:ln w="3175"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Cumulative P&amp;L (SOL) by Day — OHLC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v>Up Vol</c:v>
          </c:tx>
          <c:spPr>
            <a:solidFill>
              <a:srgbClr val="00B050"/>
            </a:solidFill>
            <a:ln w="25400">
              <a:noFill/>
            </a:ln>
            <a:effectLst/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Analysis!$W$2:$W$3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Analysis!$AH$2:$AH$3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D-46CC-A196-F53579D964ED}"/>
            </c:ext>
          </c:extLst>
        </c:ser>
        <c:ser>
          <c:idx val="5"/>
          <c:order val="5"/>
          <c:tx>
            <c:v>Down Vol</c:v>
          </c:tx>
          <c:spPr>
            <a:solidFill>
              <a:srgbClr val="C0392B"/>
            </a:solidFill>
            <a:ln>
              <a:noFill/>
            </a:ln>
            <a:effectLst/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Analysis!$W$2:$W$3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Analysis!$AI$2:$AI$3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3D-46CC-A196-F53579D9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100"/>
        <c:axId val="2067056175"/>
        <c:axId val="2143325711"/>
      </c:barChart>
      <c:stockChart>
        <c:ser>
          <c:idx val="0"/>
          <c:order val="0"/>
          <c:tx>
            <c:strRef>
              <c:f>Analysis!$X$1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Analysis!$W$2:$W$3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Analysis!$X$2:$X$3</c:f>
              <c:numCache>
                <c:formatCode>#,##0.0_);[Red]\(#,##0.0\)</c:formatCode>
                <c:ptCount val="2"/>
                <c:pt idx="0">
                  <c:v>0</c:v>
                </c:pt>
                <c:pt idx="1">
                  <c:v>-5.0000000000000001E-3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3D-46CC-A196-F53579D964ED}"/>
            </c:ext>
          </c:extLst>
        </c:ser>
        <c:ser>
          <c:idx val="1"/>
          <c:order val="1"/>
          <c:tx>
            <c:strRef>
              <c:f>Analysis!$Y$1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Analysis!$W$2:$W$3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Analysis!$Y$2:$Y$3</c:f>
              <c:numCache>
                <c:formatCode>#,##0.0_);[Red]\(#,##0.0\)</c:formatCode>
                <c:ptCount val="2"/>
                <c:pt idx="0">
                  <c:v>0</c:v>
                </c:pt>
                <c:pt idx="1">
                  <c:v>0.40399999999999997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3D-46CC-A196-F53579D964ED}"/>
            </c:ext>
          </c:extLst>
        </c:ser>
        <c:ser>
          <c:idx val="2"/>
          <c:order val="2"/>
          <c:tx>
            <c:strRef>
              <c:f>Analysis!$Z$1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Analysis!$W$2:$W$3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Analysis!$Z$2:$Z$3</c:f>
              <c:numCache>
                <c:formatCode>#,##0.0_);[Red]\(#,##0.0\)</c:formatCode>
                <c:ptCount val="2"/>
                <c:pt idx="0">
                  <c:v>-5.0000000000000001E-3</c:v>
                </c:pt>
                <c:pt idx="1">
                  <c:v>-5.0000000000000001E-3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3D-46CC-A196-F53579D964ED}"/>
            </c:ext>
          </c:extLst>
        </c:ser>
        <c:ser>
          <c:idx val="3"/>
          <c:order val="3"/>
          <c:tx>
            <c:strRef>
              <c:f>Analysis!$AA$1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Analysis!$W$2:$W$3</c:f>
              <c:numCache>
                <c:formatCode>m/d/yy</c:formatCode>
                <c:ptCount val="2"/>
                <c:pt idx="0">
                  <c:v>46176</c:v>
                </c:pt>
                <c:pt idx="1">
                  <c:v>46177</c:v>
                </c:pt>
              </c:numCache>
            </c:numRef>
          </c:cat>
          <c:val>
            <c:numRef>
              <c:f>Analysis!$AA$2:$AA$3</c:f>
              <c:numCache>
                <c:formatCode>#,##0.0_);[Red]\(#,##0.0\)</c:formatCode>
                <c:ptCount val="2"/>
                <c:pt idx="0">
                  <c:v>-5.0000000000000001E-3</c:v>
                </c:pt>
                <c:pt idx="1">
                  <c:v>0.40399999999999997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3D-46CC-A196-F53579D9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112527"/>
        <c:axId val="2143472111"/>
      </c:stockChart>
      <c:catAx>
        <c:axId val="8112527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high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72111"/>
        <c:crosses val="autoZero"/>
        <c:auto val="0"/>
        <c:lblAlgn val="ctr"/>
        <c:lblOffset val="100"/>
        <c:noMultiLvlLbl val="1"/>
      </c:catAx>
      <c:valAx>
        <c:axId val="2143472111"/>
        <c:scaling>
          <c:orientation val="minMax"/>
          <c:min val="-4"/>
        </c:scaling>
        <c:delete val="0"/>
        <c:axPos val="l"/>
        <c:majorGridlines>
          <c:spPr>
            <a:ln w="635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527"/>
        <c:crosses val="autoZero"/>
        <c:crossBetween val="between"/>
      </c:valAx>
      <c:valAx>
        <c:axId val="2143325711"/>
        <c:scaling>
          <c:orientation val="minMax"/>
          <c:max val="400"/>
          <c:min val="0"/>
        </c:scaling>
        <c:delete val="0"/>
        <c:axPos val="r"/>
        <c:numFmt formatCode=";;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056175"/>
        <c:crosses val="max"/>
        <c:crossBetween val="between"/>
        <c:minorUnit val="10"/>
      </c:valAx>
      <c:catAx>
        <c:axId val="2067056175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143325711"/>
        <c:crosses val="autoZero"/>
        <c:auto val="0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Win Rate (bars) &amp; P&amp;L % (lines) by Entry Market Cap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Analysis!$AY$2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1F4E79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>
                    <a:solidFill>
                      <a:srgbClr val="595959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Analysis!$AW$4:$AW$7</c:f>
              <c:strCache>
                <c:ptCount val="4"/>
                <c:pt idx="0">
                  <c:v>2-5K</c:v>
                </c:pt>
                <c:pt idx="1">
                  <c:v>5-10K</c:v>
                </c:pt>
                <c:pt idx="2">
                  <c:v>10-20K</c:v>
                </c:pt>
                <c:pt idx="3">
                  <c:v>20K+</c:v>
                </c:pt>
              </c:strCache>
            </c:strRef>
          </c:cat>
          <c:val>
            <c:numRef>
              <c:f>Analysis!$AY$4:$AY$7</c:f>
              <c:numCache>
                <c:formatCode>#,##0%_);[Red]\(#,##0%\)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9-4614-9FE4-F9A4EE53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062288"/>
        <c:axId val="228036560"/>
      </c:barChart>
      <c:barChart>
        <c:barDir val="col"/>
        <c:grouping val="clustered"/>
        <c:varyColors val="0"/>
        <c:ser>
          <c:idx val="0"/>
          <c:order val="0"/>
          <c:tx>
            <c:strRef>
              <c:f>Analysis!$AX$2</c:f>
              <c:strCache>
                <c:ptCount val="1"/>
                <c:pt idx="0">
                  <c:v># Trades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0" rIns="38100" bIns="0" anchor="ctr">
                <a:spAutoFit/>
              </a:bodyPr>
              <a:lstStyle/>
              <a:p>
                <a:pPr>
                  <a:defRPr sz="1000" b="1" i="0">
                    <a:solidFill>
                      <a:srgbClr val="595959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Analysis!$AW$4:$AW$7</c:f>
              <c:strCache>
                <c:ptCount val="4"/>
                <c:pt idx="0">
                  <c:v>2-5K</c:v>
                </c:pt>
                <c:pt idx="1">
                  <c:v>5-10K</c:v>
                </c:pt>
                <c:pt idx="2">
                  <c:v>10-20K</c:v>
                </c:pt>
                <c:pt idx="3">
                  <c:v>20K+</c:v>
                </c:pt>
              </c:strCache>
            </c:strRef>
          </c:cat>
          <c:val>
            <c:numRef>
              <c:f>Analysis!$AX$4:$AX$7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9-4614-9FE4-F9A4EE53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222011248"/>
        <c:axId val="227859440"/>
      </c:barChart>
      <c:lineChart>
        <c:grouping val="standard"/>
        <c:varyColors val="0"/>
        <c:ser>
          <c:idx val="4"/>
          <c:order val="2"/>
          <c:tx>
            <c:strRef>
              <c:f>Analysis!$BB$2</c:f>
              <c:strCache>
                <c:ptCount val="1"/>
                <c:pt idx="0">
                  <c:v>Wtd Avg P&amp;L %</c:v>
                </c:pt>
              </c:strCache>
            </c:strRef>
          </c:tx>
          <c:spPr>
            <a:ln w="28575">
              <a:solidFill>
                <a:srgbClr val="0F9ED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F9ED5"/>
              </a:solidFill>
              <a:ln>
                <a:solidFill>
                  <a:srgbClr val="0F9ED5"/>
                </a:solidFill>
                <a:prstDash val="solid"/>
              </a:ln>
            </c:spPr>
          </c:marker>
          <c:dLbls>
            <c:numFmt formatCode="#,##0%_);[Red]\(#,##0%\)" sourceLinked="0"/>
            <c:spPr>
              <a:solidFill>
                <a:schemeClr val="bg1">
                  <a:lumMod val="85000"/>
                  <a:alpha val="9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Analysis!$AW$4:$AW$7</c:f>
              <c:strCache>
                <c:ptCount val="4"/>
                <c:pt idx="0">
                  <c:v>2-5K</c:v>
                </c:pt>
                <c:pt idx="1">
                  <c:v>5-10K</c:v>
                </c:pt>
                <c:pt idx="2">
                  <c:v>10-20K</c:v>
                </c:pt>
                <c:pt idx="3">
                  <c:v>20K+</c:v>
                </c:pt>
              </c:strCache>
            </c:strRef>
          </c:cat>
          <c:val>
            <c:numRef>
              <c:f>Analysis!$BB$4:$BB$7</c:f>
              <c:numCache>
                <c:formatCode>#,##0%_);[Red]\(#,##0%\)</c:formatCode>
                <c:ptCount val="4"/>
                <c:pt idx="0">
                  <c:v>0.81799999999999995</c:v>
                </c:pt>
                <c:pt idx="1">
                  <c:v>0</c:v>
                </c:pt>
                <c:pt idx="2">
                  <c:v>0</c:v>
                </c:pt>
                <c:pt idx="3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69-4614-9FE4-F9A4EE53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062288"/>
        <c:axId val="228036560"/>
      </c:lineChart>
      <c:catAx>
        <c:axId val="2220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/>
          <a:lstStyle/>
          <a:p>
            <a:pPr>
              <a:defRPr sz="1000" b="1" i="0" u="sng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28036560"/>
        <c:crosses val="autoZero"/>
        <c:auto val="1"/>
        <c:lblAlgn val="ctr"/>
        <c:lblOffset val="400"/>
        <c:noMultiLvlLbl val="0"/>
      </c:catAx>
      <c:valAx>
        <c:axId val="228036560"/>
        <c:scaling>
          <c:orientation val="minMax"/>
          <c:max val="0.70000000000000007"/>
          <c:min val="-0.4"/>
        </c:scaling>
        <c:delete val="0"/>
        <c:axPos val="l"/>
        <c:majorGridlines>
          <c:spPr>
            <a:ln w="9525"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595959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Win Rate and PnL %</a:t>
                </a:r>
              </a:p>
            </c:rich>
          </c:tx>
          <c:layout>
            <c:manualLayout>
              <c:xMode val="edge"/>
              <c:yMode val="edge"/>
              <c:x val="1.2962962962962963E-2"/>
              <c:y val="0.40113453560240453"/>
            </c:manualLayout>
          </c:layout>
          <c:overlay val="0"/>
        </c:title>
        <c:numFmt formatCode="#,##0%_);[Red]\(#,##0%\)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 b="1" i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22062288"/>
        <c:crosses val="autoZero"/>
        <c:crossBetween val="between"/>
        <c:majorUnit val="0.1"/>
      </c:valAx>
      <c:valAx>
        <c:axId val="227859440"/>
        <c:scaling>
          <c:orientation val="minMax"/>
          <c:max val="30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22011248"/>
        <c:crosses val="autoZero"/>
        <c:crossBetween val="between"/>
        <c:majorUnit val="100"/>
      </c:valAx>
      <c:catAx>
        <c:axId val="22201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785944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sz="900" b="0" i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chemeClr val="tx2">
          <a:lumMod val="75000"/>
          <a:lumOff val="25000"/>
        </a:schemeClr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Win Rate &amp; P&amp;L by Time-of-Day Bucket</a:t>
            </a:r>
          </a:p>
        </c:rich>
      </c:tx>
      <c:layout>
        <c:manualLayout>
          <c:xMode val="edge"/>
          <c:yMode val="edge"/>
          <c:x val="0.33433660036454921"/>
          <c:y val="1.536098310291858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2063994718051551E-2"/>
          <c:y val="0.17231950844854074"/>
          <c:w val="0.89942020834352232"/>
          <c:h val="0.6924151435293817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Analysis!$AY$36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Analysis!$AW$38:$AW$43</c:f>
              <c:strCache>
                <c:ptCount val="6"/>
                <c:pt idx="0">
                  <c:v>WD 12pm-6pm</c:v>
                </c:pt>
                <c:pt idx="1">
                  <c:v>WD 6pm-8pm</c:v>
                </c:pt>
                <c:pt idx="2">
                  <c:v>WD 8pm-12am</c:v>
                </c:pt>
                <c:pt idx="3">
                  <c:v>WE 6am-12pm</c:v>
                </c:pt>
                <c:pt idx="4">
                  <c:v>WE 12pm-6pm</c:v>
                </c:pt>
                <c:pt idx="5">
                  <c:v>WE 6pm-2am</c:v>
                </c:pt>
              </c:strCache>
            </c:strRef>
          </c:cat>
          <c:val>
            <c:numRef>
              <c:f>Analysis!$AY$38:$AY$43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7-435A-8546-D0AC1BFA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53087"/>
        <c:axId val="2064019696"/>
      </c:barChart>
      <c:barChart>
        <c:barDir val="col"/>
        <c:grouping val="clustered"/>
        <c:varyColors val="0"/>
        <c:ser>
          <c:idx val="0"/>
          <c:order val="0"/>
          <c:tx>
            <c:strRef>
              <c:f>Analysis!$AX$36</c:f>
              <c:strCache>
                <c:ptCount val="1"/>
                <c:pt idx="0">
                  <c:v># Trades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Analysis!$AW$38:$AW$43</c:f>
              <c:strCache>
                <c:ptCount val="6"/>
                <c:pt idx="0">
                  <c:v>WD 12pm-6pm</c:v>
                </c:pt>
                <c:pt idx="1">
                  <c:v>WD 6pm-8pm</c:v>
                </c:pt>
                <c:pt idx="2">
                  <c:v>WD 8pm-12am</c:v>
                </c:pt>
                <c:pt idx="3">
                  <c:v>WE 6am-12pm</c:v>
                </c:pt>
                <c:pt idx="4">
                  <c:v>WE 12pm-6pm</c:v>
                </c:pt>
                <c:pt idx="5">
                  <c:v>WE 6pm-2am</c:v>
                </c:pt>
              </c:strCache>
            </c:strRef>
          </c:cat>
          <c:val>
            <c:numRef>
              <c:f>Analysis!$AX$38:$AX$43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7-435A-8546-D0AC1BFA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27446127"/>
        <c:axId val="2063918416"/>
      </c:barChart>
      <c:lineChart>
        <c:grouping val="standard"/>
        <c:varyColors val="0"/>
        <c:ser>
          <c:idx val="4"/>
          <c:order val="3"/>
          <c:tx>
            <c:strRef>
              <c:f>Analysis!$BB$36</c:f>
              <c:strCache>
                <c:ptCount val="1"/>
                <c:pt idx="0">
                  <c:v>Wtd Avg P&amp;L %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dLbls>
            <c:dLbl>
              <c:idx val="2"/>
              <c:layout>
                <c:manualLayout>
                  <c:x val="-2.4213299877928657E-2"/>
                  <c:y val="4.6791445492141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FA-4BC1-A5D3-03652A0E4908}"/>
                </c:ext>
              </c:extLst>
            </c:dLbl>
            <c:dLbl>
              <c:idx val="3"/>
              <c:layout>
                <c:manualLayout>
                  <c:x val="-2.4213299877928713E-2"/>
                  <c:y val="6.2388593989522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FA-4BC1-A5D3-03652A0E4908}"/>
                </c:ext>
              </c:extLst>
            </c:dLbl>
            <c:numFmt formatCode="0%" sourceLinked="0"/>
            <c:spPr>
              <a:solidFill>
                <a:schemeClr val="bg1">
                  <a:lumMod val="85000"/>
                  <a:alpha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Analysis!$AW$38:$AW$43</c:f>
              <c:strCache>
                <c:ptCount val="6"/>
                <c:pt idx="0">
                  <c:v>WD 12pm-6pm</c:v>
                </c:pt>
                <c:pt idx="1">
                  <c:v>WD 6pm-8pm</c:v>
                </c:pt>
                <c:pt idx="2">
                  <c:v>WD 8pm-12am</c:v>
                </c:pt>
                <c:pt idx="3">
                  <c:v>WE 6am-12pm</c:v>
                </c:pt>
                <c:pt idx="4">
                  <c:v>WE 12pm-6pm</c:v>
                </c:pt>
                <c:pt idx="5">
                  <c:v>WE 6pm-2am</c:v>
                </c:pt>
              </c:strCache>
            </c:strRef>
          </c:cat>
          <c:val>
            <c:numRef>
              <c:f>Analysis!$BB$38:$BB$43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27-435A-8546-D0AC1BFA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3087"/>
        <c:axId val="2064019696"/>
      </c:lineChart>
      <c:lineChart>
        <c:grouping val="standard"/>
        <c:varyColors val="0"/>
        <c:ser>
          <c:idx val="3"/>
          <c:order val="2"/>
          <c:tx>
            <c:strRef>
              <c:f>Analysis!$BA$36</c:f>
              <c:strCache>
                <c:ptCount val="1"/>
                <c:pt idx="0">
                  <c:v>Total SOL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prstDash val="solid"/>
              </a:ln>
              <a:effectLst/>
            </c:spPr>
          </c:marker>
          <c:dLbls>
            <c:numFmt formatCode="\+0.0;\-0.0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8572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Analysis!$AW$38:$AW$43</c:f>
              <c:strCache>
                <c:ptCount val="6"/>
                <c:pt idx="0">
                  <c:v>WD 12pm-6pm</c:v>
                </c:pt>
                <c:pt idx="1">
                  <c:v>WD 6pm-8pm</c:v>
                </c:pt>
                <c:pt idx="2">
                  <c:v>WD 8pm-12am</c:v>
                </c:pt>
                <c:pt idx="3">
                  <c:v>WE 6am-12pm</c:v>
                </c:pt>
                <c:pt idx="4">
                  <c:v>WE 12pm-6pm</c:v>
                </c:pt>
                <c:pt idx="5">
                  <c:v>WE 6pm-2am</c:v>
                </c:pt>
              </c:strCache>
            </c:strRef>
          </c:cat>
          <c:val>
            <c:numRef>
              <c:f>Analysis!$BA$38:$BA$43</c:f>
              <c:numCache>
                <c:formatCode>\+0.00;\-0.00;\-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-5.0000000000000001E-3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27-435A-8546-D0AC1BFA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46127"/>
        <c:axId val="2063918416"/>
      </c:lineChart>
      <c:catAx>
        <c:axId val="2745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19696"/>
        <c:crosses val="autoZero"/>
        <c:auto val="1"/>
        <c:lblAlgn val="ctr"/>
        <c:lblOffset val="200"/>
        <c:noMultiLvlLbl val="0"/>
      </c:catAx>
      <c:valAx>
        <c:axId val="2064019696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3087"/>
        <c:crosses val="autoZero"/>
        <c:crossBetween val="between"/>
      </c:valAx>
      <c:valAx>
        <c:axId val="2063918416"/>
        <c:scaling>
          <c:orientation val="minMax"/>
          <c:max val="400"/>
          <c:min val="-1"/>
        </c:scaling>
        <c:delete val="0"/>
        <c:axPos val="r"/>
        <c:numFmt formatCode="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6127"/>
        <c:crosses val="max"/>
        <c:crossBetween val="between"/>
      </c:valAx>
      <c:catAx>
        <c:axId val="27446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391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P&amp;L % per Trade (wins green, losses 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noFill/>
            </a:ln>
            <a:effectLst/>
          </c:spPr>
          <c:invertIfNegative val="0"/>
          <c:val>
            <c:numRef>
              <c:f>Analysis!$A$2:$A$3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2-42D6-BA1A-43BB62A71DF2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Analysis!$BL$2:$BL$3</c:f>
              <c:numCache>
                <c:formatCode>0.0%;\(0.0%\);\-</c:formatCode>
                <c:ptCount val="2"/>
                <c:pt idx="0">
                  <c:v>#N/A</c:v>
                </c:pt>
                <c:pt idx="1">
                  <c:v>0.81799999999999995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2-42D6-BA1A-43BB62A71DF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Analysis!$BM$2:$BM$3</c:f>
              <c:numCache>
                <c:formatCode>0.0%;\(0.0%\);\-</c:formatCode>
                <c:ptCount val="2"/>
                <c:pt idx="0">
                  <c:v>-0.01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C-4A12-A7F3-BD2B9D004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6920095"/>
        <c:axId val="2004318063"/>
      </c:barChart>
      <c:catAx>
        <c:axId val="2692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318063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043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00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Trade Distribution by P&amp;L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# Trades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4E-48E5-926E-531E1983FA8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24E-48E5-926E-531E1983FA8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4E-48E5-926E-531E1983FA8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24E-48E5-926E-531E1983FA8E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4E-48E5-926E-531E1983FA8E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24E-48E5-926E-531E1983FA8E}"/>
              </c:ext>
            </c:extLst>
          </c:dPt>
          <c:dPt>
            <c:idx val="6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4E-48E5-926E-531E1983FA8E}"/>
              </c:ext>
            </c:extLst>
          </c:dPt>
          <c:dPt>
            <c:idx val="7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24E-48E5-926E-531E1983FA8E}"/>
              </c:ext>
            </c:extLst>
          </c:dPt>
          <c:dPt>
            <c:idx val="8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4E-48E5-926E-531E1983FA8E}"/>
              </c:ext>
            </c:extLst>
          </c:dPt>
          <c:dPt>
            <c:idx val="9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4E-48E5-926E-531E1983FA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Analysis!$BN$3:$BN$11</c:f>
              <c:strCache>
                <c:ptCount val="9"/>
                <c:pt idx="0">
                  <c:v>-50% to -75%</c:v>
                </c:pt>
                <c:pt idx="1">
                  <c:v>-25% to -50%</c:v>
                </c:pt>
                <c:pt idx="2">
                  <c:v>0% to -25%</c:v>
                </c:pt>
                <c:pt idx="3">
                  <c:v>0% to +25%</c:v>
                </c:pt>
                <c:pt idx="4">
                  <c:v>+25% to +50%</c:v>
                </c:pt>
                <c:pt idx="5">
                  <c:v>+50% to +75%</c:v>
                </c:pt>
                <c:pt idx="6">
                  <c:v>+75% to +100%</c:v>
                </c:pt>
                <c:pt idx="7">
                  <c:v>+100% to +200%</c:v>
                </c:pt>
                <c:pt idx="8">
                  <c:v>&gt; +200%</c:v>
                </c:pt>
              </c:strCache>
            </c:strRef>
          </c:cat>
          <c:val>
            <c:numRef>
              <c:f>Analysis!$BO$3:$BO$11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E-48E5-926E-531E1983F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1996084207"/>
        <c:axId val="2004357903"/>
      </c:barChart>
      <c:catAx>
        <c:axId val="199608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P&amp;L % 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357903"/>
        <c:crosses val="autoZero"/>
        <c:auto val="1"/>
        <c:lblAlgn val="ctr"/>
        <c:lblOffset val="100"/>
        <c:noMultiLvlLbl val="0"/>
      </c:catAx>
      <c:valAx>
        <c:axId val="20043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Trades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8420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 by Trade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3973565804274E-2"/>
          <c:y val="0.16502211814334444"/>
          <c:w val="0.83906538245219353"/>
          <c:h val="0.73348265308279781"/>
        </c:manualLayout>
      </c:layout>
      <c:barChart>
        <c:barDir val="col"/>
        <c:grouping val="clustered"/>
        <c:varyColors val="0"/>
        <c:ser>
          <c:idx val="1"/>
          <c:order val="1"/>
          <c:tx>
            <c:v>Win Rate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Analysis!$BP$3:$BP$4</c:f>
              <c:strCache>
                <c:ptCount val="2"/>
                <c:pt idx="0">
                  <c:v>Scout</c:v>
                </c:pt>
                <c:pt idx="1">
                  <c:v>Non-NICS</c:v>
                </c:pt>
              </c:strCache>
            </c:strRef>
          </c:cat>
          <c:val>
            <c:numRef>
              <c:f>Analysis!$BR$3:$BR$4</c:f>
              <c:numCache>
                <c:formatCode>0.0%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2-4471-88AB-A65B01E78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412703"/>
        <c:axId val="2004155823"/>
      </c:barChart>
      <c:barChart>
        <c:barDir val="col"/>
        <c:grouping val="clustered"/>
        <c:varyColors val="0"/>
        <c:ser>
          <c:idx val="0"/>
          <c:order val="0"/>
          <c:tx>
            <c:v># Trades</c:v>
          </c:tx>
          <c:spPr>
            <a:solidFill>
              <a:srgbClr val="A9A9A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Analysis!$BP$3:$BP$4</c:f>
              <c:strCache>
                <c:ptCount val="2"/>
                <c:pt idx="0">
                  <c:v>Scout</c:v>
                </c:pt>
                <c:pt idx="1">
                  <c:v>Non-NICS</c:v>
                </c:pt>
              </c:strCache>
            </c:strRef>
          </c:cat>
          <c:val>
            <c:numRef>
              <c:f>Analysis!$BQ$3:$BQ$4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2-4471-88AB-A65B01E78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996085135"/>
        <c:axId val="2004172623"/>
      </c:barChart>
      <c:lineChart>
        <c:grouping val="standard"/>
        <c:varyColors val="0"/>
        <c:ser>
          <c:idx val="2"/>
          <c:order val="2"/>
          <c:tx>
            <c:v>Avg P&amp;L %</c:v>
          </c:tx>
          <c:spPr>
            <a:ln w="28575" cap="rnd">
              <a:solidFill>
                <a:srgbClr val="FF8C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Analysis!$BP$3:$BP$4</c:f>
              <c:strCache>
                <c:ptCount val="2"/>
                <c:pt idx="0">
                  <c:v>Scout</c:v>
                </c:pt>
                <c:pt idx="1">
                  <c:v>Non-NICS</c:v>
                </c:pt>
              </c:strCache>
            </c:strRef>
          </c:cat>
          <c:val>
            <c:numRef>
              <c:f>Analysis!$BS$3:$BS$4</c:f>
              <c:numCache>
                <c:formatCode>0.0%</c:formatCode>
                <c:ptCount val="2"/>
                <c:pt idx="0">
                  <c:v>0</c:v>
                </c:pt>
                <c:pt idx="1">
                  <c:v>0.40399999999999997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C2-4471-88AB-A65B01E78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412703"/>
        <c:axId val="2004155823"/>
      </c:lineChart>
      <c:catAx>
        <c:axId val="200441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155823"/>
        <c:crosses val="autoZero"/>
        <c:auto val="1"/>
        <c:lblAlgn val="ctr"/>
        <c:lblOffset val="400"/>
        <c:noMultiLvlLbl val="0"/>
      </c:catAx>
      <c:valAx>
        <c:axId val="2004155823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Win Rate / Avg P&amp;L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12703"/>
        <c:crosses val="autoZero"/>
        <c:crossBetween val="between"/>
      </c:valAx>
      <c:valAx>
        <c:axId val="2004172623"/>
        <c:scaling>
          <c:orientation val="minMax"/>
          <c:max val="400"/>
        </c:scaling>
        <c:delete val="0"/>
        <c:axPos val="r"/>
        <c:numFmt formatCode="#,##0.0" sourceLinked="0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85135"/>
        <c:crosses val="max"/>
        <c:crossBetween val="between"/>
      </c:valAx>
      <c:catAx>
        <c:axId val="1996085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4172623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 by Accountability Bucket</a:t>
            </a:r>
          </a:p>
        </c:rich>
      </c:tx>
      <c:layout>
        <c:manualLayout>
          <c:xMode val="edge"/>
          <c:yMode val="edge"/>
          <c:x val="0.32311503155157534"/>
          <c:y val="1.176470860692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36194047269042E-2"/>
          <c:y val="0.15649494129109337"/>
          <c:w val="0.85914225878807415"/>
          <c:h val="0.76054904134993995"/>
        </c:manualLayout>
      </c:layout>
      <c:barChart>
        <c:barDir val="col"/>
        <c:grouping val="clustered"/>
        <c:varyColors val="0"/>
        <c:ser>
          <c:idx val="1"/>
          <c:order val="1"/>
          <c:tx>
            <c:v>Win Rate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Analysis!$BW$3:$BW$4</c:f>
              <c:strCache>
                <c:ptCount val="2"/>
                <c:pt idx="0">
                  <c:v>Hard Reset</c:v>
                </c:pt>
                <c:pt idx="1">
                  <c:v>All Else</c:v>
                </c:pt>
              </c:strCache>
            </c:strRef>
          </c:cat>
          <c:val>
            <c:numRef>
              <c:f>Analysis!$BY$3:$BY$4</c:f>
              <c:numCache>
                <c:formatCode>0.0%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6-48EF-A697-B7CF43A4F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437711"/>
        <c:axId val="2004181743"/>
      </c:barChart>
      <c:barChart>
        <c:barDir val="col"/>
        <c:grouping val="clustered"/>
        <c:varyColors val="0"/>
        <c:ser>
          <c:idx val="0"/>
          <c:order val="0"/>
          <c:tx>
            <c:v># Trades</c:v>
          </c:tx>
          <c:spPr>
            <a:solidFill>
              <a:srgbClr val="A9A9A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Analysis!$BW$3:$BW$4</c:f>
              <c:strCache>
                <c:ptCount val="2"/>
                <c:pt idx="0">
                  <c:v>Hard Reset</c:v>
                </c:pt>
                <c:pt idx="1">
                  <c:v>All Else</c:v>
                </c:pt>
              </c:strCache>
            </c:strRef>
          </c:cat>
          <c:val>
            <c:numRef>
              <c:f>Analysis!$BX$3:$BX$4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6-48EF-A697-B7CF43A4F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36357551"/>
        <c:axId val="2004186063"/>
      </c:barChart>
      <c:lineChart>
        <c:grouping val="standard"/>
        <c:varyColors val="0"/>
        <c:ser>
          <c:idx val="2"/>
          <c:order val="2"/>
          <c:tx>
            <c:v>Avg P&amp;L %</c:v>
          </c:tx>
          <c:spPr>
            <a:ln w="28575" cap="rnd">
              <a:solidFill>
                <a:srgbClr val="FF8C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5546328939771764E-2"/>
                  <c:y val="-5.2853617149033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B16-48EF-A697-B7CF43A4FB92}"/>
                </c:ext>
              </c:extLst>
            </c:dLbl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Analysis!$BW$3:$BW$4</c:f>
              <c:strCache>
                <c:ptCount val="2"/>
                <c:pt idx="0">
                  <c:v>Hard Reset</c:v>
                </c:pt>
                <c:pt idx="1">
                  <c:v>All Else</c:v>
                </c:pt>
              </c:strCache>
            </c:strRef>
          </c:cat>
          <c:val>
            <c:numRef>
              <c:f>Analysis!$BZ$3:$BZ$4</c:f>
              <c:numCache>
                <c:formatCode>0.0%</c:formatCode>
                <c:ptCount val="2"/>
                <c:pt idx="0">
                  <c:v>0</c:v>
                </c:pt>
                <c:pt idx="1">
                  <c:v>0.40399999999999997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6-48EF-A697-B7CF43A4F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437711"/>
        <c:axId val="2004181743"/>
      </c:lineChart>
      <c:lineChart>
        <c:grouping val="standard"/>
        <c:varyColors val="0"/>
        <c:ser>
          <c:idx val="3"/>
          <c:order val="3"/>
          <c:tx>
            <c:v>Total SOL</c:v>
          </c:tx>
          <c:spPr>
            <a:ln w="28575" cap="rnd">
              <a:noFill/>
              <a:prstDash val="solid"/>
              <a:round/>
            </a:ln>
            <a:effectLst/>
          </c:spPr>
          <c:marker>
            <c:symbol val="circle"/>
            <c:size val="7"/>
            <c:spPr>
              <a:noFill/>
              <a:ln w="9525">
                <a:noFill/>
              </a:ln>
              <a:effectLst/>
            </c:spPr>
          </c:marker>
          <c:cat>
            <c:strRef>
              <c:f>Analysis!$BW$3:$BW$4</c:f>
              <c:strCache>
                <c:ptCount val="2"/>
                <c:pt idx="0">
                  <c:v>Hard Reset</c:v>
                </c:pt>
                <c:pt idx="1">
                  <c:v>All Else</c:v>
                </c:pt>
              </c:strCache>
            </c:strRef>
          </c:cat>
          <c:val>
            <c:numRef>
              <c:f>Analysis!$CA$3:$CA$4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16-48EF-A697-B7CF43A4F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57551"/>
        <c:axId val="2004186063"/>
      </c:lineChart>
      <c:catAx>
        <c:axId val="201843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181743"/>
        <c:crosses val="autoZero"/>
        <c:auto val="1"/>
        <c:lblAlgn val="ctr"/>
        <c:lblOffset val="400"/>
        <c:noMultiLvlLbl val="0"/>
      </c:catAx>
      <c:valAx>
        <c:axId val="2004181743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 Rate / Avg P&amp;L %</a:t>
                </a:r>
              </a:p>
            </c:rich>
          </c:tx>
          <c:layout>
            <c:manualLayout>
              <c:xMode val="edge"/>
              <c:yMode val="edge"/>
              <c:x val="1.4311270125223614E-2"/>
              <c:y val="0.37535887963621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37711"/>
        <c:crosses val="autoZero"/>
        <c:crossBetween val="between"/>
      </c:valAx>
      <c:valAx>
        <c:axId val="2004186063"/>
        <c:scaling>
          <c:orientation val="minMax"/>
          <c:max val="400"/>
          <c:min val="0"/>
        </c:scaling>
        <c:delete val="0"/>
        <c:axPos val="r"/>
        <c:numFmt formatCode="#,##0.0" sourceLinked="0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7551"/>
        <c:crosses val="max"/>
        <c:crossBetween val="between"/>
      </c:valAx>
      <c:catAx>
        <c:axId val="136357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4186063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28473854125340914"/>
          <c:y val="0.93272022527101095"/>
          <c:w val="0.37577419386226929"/>
          <c:h val="4.9632711818599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Cooldown Analysis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Analysis!$CM$2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Analysis!$CK$4:$CK$8</c:f>
              <c:strCache>
                <c:ptCount val="5"/>
                <c:pt idx="0">
                  <c:v>5–10 min</c:v>
                </c:pt>
                <c:pt idx="1">
                  <c:v>10–15 min</c:v>
                </c:pt>
                <c:pt idx="2">
                  <c:v>15–30 min</c:v>
                </c:pt>
                <c:pt idx="3">
                  <c:v>30 min+</c:v>
                </c:pt>
                <c:pt idx="4">
                  <c:v>OVERALL</c:v>
                </c:pt>
              </c:strCache>
            </c:strRef>
          </c:cat>
          <c:val>
            <c:numRef>
              <c:f>Analysis!$CM$4:$CM$8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D7-4438-85BA-D8AB5045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716223"/>
        <c:axId val="1757806927"/>
      </c:barChart>
      <c:barChart>
        <c:barDir val="col"/>
        <c:grouping val="clustered"/>
        <c:varyColors val="0"/>
        <c:ser>
          <c:idx val="0"/>
          <c:order val="0"/>
          <c:tx>
            <c:strRef>
              <c:f>Analysis!$CL$2</c:f>
              <c:strCache>
                <c:ptCount val="1"/>
                <c:pt idx="0">
                  <c:v># Clusters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Analysis!$CK$4:$CK$8</c:f>
              <c:strCache>
                <c:ptCount val="5"/>
                <c:pt idx="0">
                  <c:v>5–10 min</c:v>
                </c:pt>
                <c:pt idx="1">
                  <c:v>10–15 min</c:v>
                </c:pt>
                <c:pt idx="2">
                  <c:v>15–30 min</c:v>
                </c:pt>
                <c:pt idx="3">
                  <c:v>30 min+</c:v>
                </c:pt>
                <c:pt idx="4">
                  <c:v>OVERALL</c:v>
                </c:pt>
              </c:strCache>
            </c:strRef>
          </c:cat>
          <c:val>
            <c:numRef>
              <c:f>Analysis!$CL$4:$CL$8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7-4438-85BA-D8AB5045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803667695"/>
        <c:axId val="1757661487"/>
      </c:barChart>
      <c:lineChart>
        <c:grouping val="standard"/>
        <c:varyColors val="0"/>
        <c:ser>
          <c:idx val="2"/>
          <c:order val="2"/>
          <c:tx>
            <c:strRef>
              <c:f>Analysis!$CN$2</c:f>
              <c:strCache>
                <c:ptCount val="1"/>
                <c:pt idx="0">
                  <c:v>Avg P&amp;L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Analysis!$CK$4:$CK$8</c:f>
              <c:strCache>
                <c:ptCount val="5"/>
                <c:pt idx="0">
                  <c:v>5–10 min</c:v>
                </c:pt>
                <c:pt idx="1">
                  <c:v>10–15 min</c:v>
                </c:pt>
                <c:pt idx="2">
                  <c:v>15–30 min</c:v>
                </c:pt>
                <c:pt idx="3">
                  <c:v>30 min+</c:v>
                </c:pt>
                <c:pt idx="4">
                  <c:v>OVERALL</c:v>
                </c:pt>
              </c:strCache>
            </c:strRef>
          </c:cat>
          <c:val>
            <c:numRef>
              <c:f>Analysis!$CN$4:$CN$8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0.81799999999999995</c:v>
                </c:pt>
                <c:pt idx="4">
                  <c:v>0.40399999999999997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7-4438-85BA-D8AB5045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716223"/>
        <c:axId val="1757806927"/>
      </c:lineChart>
      <c:catAx>
        <c:axId val="170171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806927"/>
        <c:crosses val="autoZero"/>
        <c:auto val="1"/>
        <c:lblAlgn val="ctr"/>
        <c:lblOffset val="500"/>
        <c:noMultiLvlLbl val="0"/>
      </c:catAx>
      <c:valAx>
        <c:axId val="1757806927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716223"/>
        <c:crosses val="autoZero"/>
        <c:crossBetween val="between"/>
      </c:valAx>
      <c:valAx>
        <c:axId val="1757661487"/>
        <c:scaling>
          <c:orientation val="minMax"/>
          <c:max val="40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67695"/>
        <c:crosses val="max"/>
        <c:crossBetween val="between"/>
      </c:valAx>
      <c:catAx>
        <c:axId val="1803667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766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Session Performance by Trade Number</a:t>
            </a:r>
          </a:p>
        </c:rich>
      </c:tx>
      <c:layout>
        <c:manualLayout>
          <c:xMode val="edge"/>
          <c:yMode val="edge"/>
          <c:x val="0.32726875637455527"/>
          <c:y val="2.2366766155585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Analysis!$CS$2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Analysis!$CQ$4:$CQ$8</c:f>
              <c:strCache>
                <c:ptCount val="5"/>
                <c:pt idx="0">
                  <c:v>Trades 1-10</c:v>
                </c:pt>
                <c:pt idx="1">
                  <c:v>Trades 11-20</c:v>
                </c:pt>
                <c:pt idx="2">
                  <c:v>Trades 21-30</c:v>
                </c:pt>
                <c:pt idx="3">
                  <c:v>Trades 31-40</c:v>
                </c:pt>
                <c:pt idx="4">
                  <c:v>Trades 40+</c:v>
                </c:pt>
              </c:strCache>
            </c:strRef>
          </c:cat>
          <c:val>
            <c:numRef>
              <c:f>Analysis!$CS$4:$CS$8</c:f>
              <c:numCache>
                <c:formatCode>0.0%</c:formatCode>
                <c:ptCount val="5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A-4123-A575-8B4D02EFD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148752"/>
        <c:axId val="1757773807"/>
      </c:barChart>
      <c:barChart>
        <c:barDir val="col"/>
        <c:grouping val="clustered"/>
        <c:varyColors val="0"/>
        <c:ser>
          <c:idx val="0"/>
          <c:order val="0"/>
          <c:tx>
            <c:strRef>
              <c:f>Analysis!$CR$2</c:f>
              <c:strCache>
                <c:ptCount val="1"/>
                <c:pt idx="0">
                  <c:v># Trades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Analysis!$CQ$4:$CQ$8</c:f>
              <c:strCache>
                <c:ptCount val="5"/>
                <c:pt idx="0">
                  <c:v>Trades 1-10</c:v>
                </c:pt>
                <c:pt idx="1">
                  <c:v>Trades 11-20</c:v>
                </c:pt>
                <c:pt idx="2">
                  <c:v>Trades 21-30</c:v>
                </c:pt>
                <c:pt idx="3">
                  <c:v>Trades 31-40</c:v>
                </c:pt>
                <c:pt idx="4">
                  <c:v>Trades 40+</c:v>
                </c:pt>
              </c:strCache>
            </c:strRef>
          </c:cat>
          <c:val>
            <c:numRef>
              <c:f>Analysis!$CR$4:$CR$8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A-4123-A575-8B4D02EFD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2118213712"/>
        <c:axId val="1757813647"/>
      </c:barChart>
      <c:lineChart>
        <c:grouping val="standard"/>
        <c:varyColors val="0"/>
        <c:ser>
          <c:idx val="2"/>
          <c:order val="2"/>
          <c:tx>
            <c:strRef>
              <c:f>Analysis!$CT$2</c:f>
              <c:strCache>
                <c:ptCount val="1"/>
                <c:pt idx="0">
                  <c:v>Avg P&amp;L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Analysis!$CQ$4:$CQ$8</c:f>
              <c:strCache>
                <c:ptCount val="5"/>
                <c:pt idx="0">
                  <c:v>Trades 1-10</c:v>
                </c:pt>
                <c:pt idx="1">
                  <c:v>Trades 11-20</c:v>
                </c:pt>
                <c:pt idx="2">
                  <c:v>Trades 21-30</c:v>
                </c:pt>
                <c:pt idx="3">
                  <c:v>Trades 31-40</c:v>
                </c:pt>
                <c:pt idx="4">
                  <c:v>Trades 40+</c:v>
                </c:pt>
              </c:strCache>
            </c:strRef>
          </c:cat>
          <c:val>
            <c:numRef>
              <c:f>Analysis!$CT$4:$CT$8</c:f>
              <c:numCache>
                <c:formatCode>0.0%</c:formatCode>
                <c:ptCount val="5"/>
                <c:pt idx="0">
                  <c:v>0.40399999999999997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6A-4123-A575-8B4D02EFD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148752"/>
        <c:axId val="1757773807"/>
      </c:lineChart>
      <c:catAx>
        <c:axId val="211814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773807"/>
        <c:crosses val="autoZero"/>
        <c:auto val="1"/>
        <c:lblAlgn val="ctr"/>
        <c:lblOffset val="500"/>
        <c:noMultiLvlLbl val="0"/>
      </c:catAx>
      <c:valAx>
        <c:axId val="1757773807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48752"/>
        <c:crosses val="autoZero"/>
        <c:crossBetween val="between"/>
      </c:valAx>
      <c:valAx>
        <c:axId val="1757813647"/>
        <c:scaling>
          <c:orientation val="minMax"/>
          <c:max val="4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213712"/>
        <c:crosses val="max"/>
        <c:crossBetween val="between"/>
      </c:valAx>
      <c:catAx>
        <c:axId val="2118213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7813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126999</xdr:colOff>
      <xdr:row>0</xdr:row>
      <xdr:rowOff>127000</xdr:rowOff>
    </xdr:from>
    <xdr:to>
      <xdr:col>7</xdr:col>
      <xdr:colOff>1212272</xdr:colOff>
      <xdr:row>23</xdr:row>
      <xdr:rowOff>30596</xdr:rowOff>
    </xdr:to>
    <xdr:graphicFrame macro="">
      <xdr:nvGraphicFramePr>
        <xdr:cNvPr id="12" name="Chart_1">
          <a:extLst>
            <a:ext uri="{FF2B5EF4-FFF2-40B4-BE49-F238E27FC236}">
              <a16:creationId xmlns:a16="http://schemas.microsoft.com/office/drawing/2014/main" id="{9C9424B6-9124-507F-7F44-32510F1A1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533400</xdr:colOff>
      <xdr:row>47</xdr:row>
      <xdr:rowOff>120073</xdr:rowOff>
    </xdr:from>
    <xdr:to>
      <xdr:col>21</xdr:col>
      <xdr:colOff>122382</xdr:colOff>
      <xdr:row>70</xdr:row>
      <xdr:rowOff>17896</xdr:rowOff>
    </xdr:to>
    <xdr:graphicFrame macro="">
      <xdr:nvGraphicFramePr>
        <xdr:cNvPr id="27" name="Chart_6">
          <a:extLst>
            <a:ext uri="{FF2B5EF4-FFF2-40B4-BE49-F238E27FC236}">
              <a16:creationId xmlns:a16="http://schemas.microsoft.com/office/drawing/2014/main" id="{20A8E2A5-1340-D85B-48AA-6786B1919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558800</xdr:colOff>
      <xdr:row>24</xdr:row>
      <xdr:rowOff>43295</xdr:rowOff>
    </xdr:from>
    <xdr:to>
      <xdr:col>21</xdr:col>
      <xdr:colOff>141432</xdr:colOff>
      <xdr:row>46</xdr:row>
      <xdr:rowOff>36945</xdr:rowOff>
    </xdr:to>
    <xdr:graphicFrame macro="">
      <xdr:nvGraphicFramePr>
        <xdr:cNvPr id="18" name="Chart_4">
          <a:extLst>
            <a:ext uri="{FF2B5EF4-FFF2-40B4-BE49-F238E27FC236}">
              <a16:creationId xmlns:a16="http://schemas.microsoft.com/office/drawing/2014/main" id="{09804204-9DBA-B9C0-CB62-3385A1E1F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242454</xdr:colOff>
      <xdr:row>24</xdr:row>
      <xdr:rowOff>59461</xdr:rowOff>
    </xdr:from>
    <xdr:to>
      <xdr:col>7</xdr:col>
      <xdr:colOff>1230168</xdr:colOff>
      <xdr:row>46</xdr:row>
      <xdr:rowOff>103909</xdr:rowOff>
    </xdr:to>
    <xdr:graphicFrame macro="">
      <xdr:nvGraphicFramePr>
        <xdr:cNvPr id="2" name="Chart_3">
          <a:extLst>
            <a:ext uri="{FF2B5EF4-FFF2-40B4-BE49-F238E27FC236}">
              <a16:creationId xmlns:a16="http://schemas.microsoft.com/office/drawing/2014/main" id="{8B456870-29AA-4CFB-72D0-035334649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214170</xdr:colOff>
      <xdr:row>47</xdr:row>
      <xdr:rowOff>95827</xdr:rowOff>
    </xdr:from>
    <xdr:to>
      <xdr:col>7</xdr:col>
      <xdr:colOff>1154546</xdr:colOff>
      <xdr:row>70</xdr:row>
      <xdr:rowOff>7834</xdr:rowOff>
    </xdr:to>
    <xdr:graphicFrame macro="">
      <xdr:nvGraphicFramePr>
        <xdr:cNvPr id="11" name="Chart_5">
          <a:extLst>
            <a:ext uri="{FF2B5EF4-FFF2-40B4-BE49-F238E27FC236}">
              <a16:creationId xmlns:a16="http://schemas.microsoft.com/office/drawing/2014/main" id="{EF8FE9C5-5A45-0B7F-68C1-2D9C4F855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522969</xdr:colOff>
      <xdr:row>71</xdr:row>
      <xdr:rowOff>68819</xdr:rowOff>
    </xdr:from>
    <xdr:to>
      <xdr:col>21</xdr:col>
      <xdr:colOff>86551</xdr:colOff>
      <xdr:row>93</xdr:row>
      <xdr:rowOff>142298</xdr:rowOff>
    </xdr:to>
    <xdr:graphicFrame macro="">
      <xdr:nvGraphicFramePr>
        <xdr:cNvPr id="5" name="Chart_8">
          <a:extLst>
            <a:ext uri="{FF2B5EF4-FFF2-40B4-BE49-F238E27FC236}">
              <a16:creationId xmlns:a16="http://schemas.microsoft.com/office/drawing/2014/main" id="{1EA9F667-2771-227A-1C54-D3AE6978F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559499</xdr:colOff>
      <xdr:row>0</xdr:row>
      <xdr:rowOff>124486</xdr:rowOff>
    </xdr:from>
    <xdr:to>
      <xdr:col>21</xdr:col>
      <xdr:colOff>105682</xdr:colOff>
      <xdr:row>23</xdr:row>
      <xdr:rowOff>48079</xdr:rowOff>
    </xdr:to>
    <xdr:graphicFrame macro="">
      <xdr:nvGraphicFramePr>
        <xdr:cNvPr id="6" name="Chart_2">
          <a:extLst>
            <a:ext uri="{FF2B5EF4-FFF2-40B4-BE49-F238E27FC236}">
              <a16:creationId xmlns:a16="http://schemas.microsoft.com/office/drawing/2014/main" id="{23409683-1E50-CF11-E9E2-69C8014A4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154212</xdr:colOff>
      <xdr:row>71</xdr:row>
      <xdr:rowOff>88901</xdr:rowOff>
    </xdr:from>
    <xdr:to>
      <xdr:col>7</xdr:col>
      <xdr:colOff>1124857</xdr:colOff>
      <xdr:row>94</xdr:row>
      <xdr:rowOff>27215</xdr:rowOff>
    </xdr:to>
    <xdr:graphicFrame macro="">
      <xdr:nvGraphicFramePr>
        <xdr:cNvPr id="8" name="Chart_7">
          <a:extLst>
            <a:ext uri="{FF2B5EF4-FFF2-40B4-BE49-F238E27FC236}">
              <a16:creationId xmlns:a16="http://schemas.microsoft.com/office/drawing/2014/main" id="{1F8C0678-0551-4C71-418F-FB0C0F318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172356</xdr:colOff>
      <xdr:row>95</xdr:row>
      <xdr:rowOff>63500</xdr:rowOff>
    </xdr:from>
    <xdr:to>
      <xdr:col>7</xdr:col>
      <xdr:colOff>1106713</xdr:colOff>
      <xdr:row>118</xdr:row>
      <xdr:rowOff>63500</xdr:rowOff>
    </xdr:to>
    <xdr:graphicFrame macro="">
      <xdr:nvGraphicFramePr>
        <xdr:cNvPr id="14" name="Chart_9">
          <a:extLst>
            <a:ext uri="{FF2B5EF4-FFF2-40B4-BE49-F238E27FC236}">
              <a16:creationId xmlns:a16="http://schemas.microsoft.com/office/drawing/2014/main" id="{DA61170E-19A6-E801-2BE3-4C45133D4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507999</xdr:colOff>
      <xdr:row>94</xdr:row>
      <xdr:rowOff>163286</xdr:rowOff>
    </xdr:from>
    <xdr:to>
      <xdr:col>21</xdr:col>
      <xdr:colOff>63499</xdr:colOff>
      <xdr:row>118</xdr:row>
      <xdr:rowOff>127000</xdr:rowOff>
    </xdr:to>
    <xdr:graphicFrame macro="">
      <xdr:nvGraphicFramePr>
        <xdr:cNvPr id="15" name="Chart_10">
          <a:extLst>
            <a:ext uri="{FF2B5EF4-FFF2-40B4-BE49-F238E27FC236}">
              <a16:creationId xmlns:a16="http://schemas.microsoft.com/office/drawing/2014/main" id="{1DEC31D4-A957-8EB0-E6E2-2E259D51E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173719</xdr:colOff>
      <xdr:row>119</xdr:row>
      <xdr:rowOff>34472</xdr:rowOff>
    </xdr:from>
    <xdr:to>
      <xdr:col>7</xdr:col>
      <xdr:colOff>1114426</xdr:colOff>
      <xdr:row>142</xdr:row>
      <xdr:rowOff>34472</xdr:rowOff>
    </xdr:to>
    <xdr:graphicFrame macro="">
      <xdr:nvGraphicFramePr>
        <xdr:cNvPr id="4" name="Chart_11">
          <a:extLst>
            <a:ext uri="{FF2B5EF4-FFF2-40B4-BE49-F238E27FC236}">
              <a16:creationId xmlns:a16="http://schemas.microsoft.com/office/drawing/2014/main" id="{FEF52A40-C0F4-3B0D-E36E-081A724EC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454024</xdr:colOff>
      <xdr:row>119</xdr:row>
      <xdr:rowOff>122010</xdr:rowOff>
    </xdr:from>
    <xdr:to>
      <xdr:col>21</xdr:col>
      <xdr:colOff>38099</xdr:colOff>
      <xdr:row>142</xdr:row>
      <xdr:rowOff>28121</xdr:rowOff>
    </xdr:to>
    <xdr:graphicFrame macro="">
      <xdr:nvGraphicFramePr>
        <xdr:cNvPr id="9" name="Chart_12">
          <a:extLst>
            <a:ext uri="{FF2B5EF4-FFF2-40B4-BE49-F238E27FC236}">
              <a16:creationId xmlns:a16="http://schemas.microsoft.com/office/drawing/2014/main" id="{3DDF217B-A951-C152-C360-047D16E8A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0.08704</cdr:x>
      <cdr:y>0.13395</cdr:y>
    </cdr:from>
    <cdr:to>
      <cdr:x>0.14907</cdr:x>
      <cdr:y>0.16928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29024791-3788-F5B1-3F62-915BEA632E68}"/>
            </a:ext>
          </a:extLst>
        </cdr:cNvPr>
        <cdr:cNvSpPr/>
      </cdr:nvSpPr>
      <cdr:spPr>
        <a:xfrm xmlns:a="http://schemas.openxmlformats.org/drawingml/2006/main">
          <a:off x="596900" y="553720"/>
          <a:ext cx="425450" cy="146050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PNL:</a:t>
          </a:r>
        </a:p>
      </cdr:txBody>
    </cdr:sp>
  </cdr:relSizeAnchor>
  <cdr:relSizeAnchor xmlns:cdr="http://schemas.openxmlformats.org/drawingml/2006/chartDrawing">
    <cdr:from>
      <cdr:x>0.13889</cdr:x>
      <cdr:y>0.13364</cdr:y>
    </cdr:from>
    <cdr:to>
      <cdr:x>0.23148</cdr:x>
      <cdr:y>0.16743</cdr:y>
    </cdr:to>
    <cdr:sp macro="" textlink="Analysis!$BC$12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19362F1A-D1CA-524D-9BB0-A28F25104B5A}"/>
            </a:ext>
          </a:extLst>
        </cdr:cNvPr>
        <cdr:cNvSpPr/>
      </cdr:nvSpPr>
      <cdr:spPr>
        <a:xfrm xmlns:a="http://schemas.openxmlformats.org/drawingml/2006/main">
          <a:off x="952500" y="552450"/>
          <a:ext cx="635000" cy="139700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D56F124B-7964-419A-9462-08FD7C41357C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0.30648</cdr:x>
      <cdr:y>0.13118</cdr:y>
    </cdr:from>
    <cdr:to>
      <cdr:x>0.39907</cdr:x>
      <cdr:y>0.16498</cdr:y>
    </cdr:to>
    <cdr:sp macro="" textlink="Analysis!$BC$13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F85B5D48-6109-6369-92CD-BF27AC1B09D6}"/>
            </a:ext>
          </a:extLst>
        </cdr:cNvPr>
        <cdr:cNvSpPr/>
      </cdr:nvSpPr>
      <cdr:spPr>
        <a:xfrm xmlns:a="http://schemas.openxmlformats.org/drawingml/2006/main">
          <a:off x="2101850" y="542290"/>
          <a:ext cx="635000" cy="139700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326B431B-9155-4430-9D87-FA05781090CE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0.47315</cdr:x>
      <cdr:y>0.13057</cdr:y>
    </cdr:from>
    <cdr:to>
      <cdr:x>0.56574</cdr:x>
      <cdr:y>0.16436</cdr:y>
    </cdr:to>
    <cdr:sp macro="" textlink="Analysis!$BC$14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F85B5D48-6109-6369-92CD-BF27AC1B09D6}"/>
            </a:ext>
          </a:extLst>
        </cdr:cNvPr>
        <cdr:cNvSpPr/>
      </cdr:nvSpPr>
      <cdr:spPr>
        <a:xfrm xmlns:a="http://schemas.openxmlformats.org/drawingml/2006/main">
          <a:off x="3244850" y="539750"/>
          <a:ext cx="635000" cy="139700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29647490-4A83-49DF-A433-AB8D772535E9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0.64259</cdr:x>
      <cdr:y>0.13026</cdr:y>
    </cdr:from>
    <cdr:to>
      <cdr:x>0.73519</cdr:x>
      <cdr:y>0.16406</cdr:y>
    </cdr:to>
    <cdr:sp macro="" textlink="Analysis!$BC$15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F85B5D48-6109-6369-92CD-BF27AC1B09D6}"/>
            </a:ext>
          </a:extLst>
        </cdr:cNvPr>
        <cdr:cNvSpPr/>
      </cdr:nvSpPr>
      <cdr:spPr>
        <a:xfrm xmlns:a="http://schemas.openxmlformats.org/drawingml/2006/main">
          <a:off x="4406900" y="538480"/>
          <a:ext cx="635000" cy="139700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7D53B8B7-51B7-48E8-A12E-E3B3A503C5F5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0.80926</cdr:x>
      <cdr:y>0.13149</cdr:y>
    </cdr:from>
    <cdr:to>
      <cdr:x>0.90185</cdr:x>
      <cdr:y>0.16528</cdr:y>
    </cdr:to>
    <cdr:sp macro="" textlink="Analysis!$BC$16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F85B5D48-6109-6369-92CD-BF27AC1B09D6}"/>
            </a:ext>
          </a:extLst>
        </cdr:cNvPr>
        <cdr:cNvSpPr/>
      </cdr:nvSpPr>
      <cdr:spPr>
        <a:xfrm xmlns:a="http://schemas.openxmlformats.org/drawingml/2006/main">
          <a:off x="5549900" y="543560"/>
          <a:ext cx="635000" cy="139700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1597C533-EBF3-4C8B-969A-A6085DB4C95B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0.0963</cdr:x>
      <cdr:y>0.13825</cdr:y>
    </cdr:from>
    <cdr:to>
      <cdr:x>0.15833</cdr:x>
      <cdr:y>0.17358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06724988-1FCF-38B0-2965-13A4D214D58F}"/>
            </a:ext>
          </a:extLst>
        </cdr:cNvPr>
        <cdr:cNvSpPr/>
      </cdr:nvSpPr>
      <cdr:spPr>
        <a:xfrm xmlns:a="http://schemas.openxmlformats.org/drawingml/2006/main">
          <a:off x="660400" y="571500"/>
          <a:ext cx="425402" cy="146049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PNL:</a:t>
          </a:r>
        </a:p>
      </cdr:txBody>
    </cdr:sp>
  </cdr:relSizeAnchor>
  <cdr:relSizeAnchor xmlns:cdr="http://schemas.openxmlformats.org/drawingml/2006/chartDrawing">
    <cdr:from>
      <cdr:x>0.1463</cdr:x>
      <cdr:y>0.13825</cdr:y>
    </cdr:from>
    <cdr:to>
      <cdr:x>0.23889</cdr:x>
      <cdr:y>0.17204</cdr:y>
    </cdr:to>
    <cdr:sp macro="" textlink="Analysis!$BC$3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8BF6E2E0-B5BC-D10D-D65D-AA7B735DA933}"/>
            </a:ext>
          </a:extLst>
        </cdr:cNvPr>
        <cdr:cNvSpPr/>
      </cdr:nvSpPr>
      <cdr:spPr>
        <a:xfrm xmlns:a="http://schemas.openxmlformats.org/drawingml/2006/main">
          <a:off x="1003300" y="571500"/>
          <a:ext cx="634982" cy="139683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AC12C57E-1231-4330-9A3E-B43A79167C6D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0.325</cdr:x>
      <cdr:y>0.13671</cdr:y>
    </cdr:from>
    <cdr:to>
      <cdr:x>0.41759</cdr:x>
      <cdr:y>0.1705</cdr:y>
    </cdr:to>
    <cdr:sp macro="" textlink="Analysis!$BC$4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7FC8A0CE-ACE4-EE21-BD9B-6CF951F23446}"/>
            </a:ext>
          </a:extLst>
        </cdr:cNvPr>
        <cdr:cNvSpPr/>
      </cdr:nvSpPr>
      <cdr:spPr>
        <a:xfrm xmlns:a="http://schemas.openxmlformats.org/drawingml/2006/main">
          <a:off x="2228850" y="565150"/>
          <a:ext cx="634982" cy="139683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0CA73A24-0E8B-4BBE-9C37-D6C3D2958474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0.4963</cdr:x>
      <cdr:y>0.13518</cdr:y>
    </cdr:from>
    <cdr:to>
      <cdr:x>0.58889</cdr:x>
      <cdr:y>0.16897</cdr:y>
    </cdr:to>
    <cdr:sp macro="" textlink="Analysis!$BC$5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7FC8A0CE-ACE4-EE21-BD9B-6CF951F23446}"/>
            </a:ext>
          </a:extLst>
        </cdr:cNvPr>
        <cdr:cNvSpPr/>
      </cdr:nvSpPr>
      <cdr:spPr>
        <a:xfrm xmlns:a="http://schemas.openxmlformats.org/drawingml/2006/main">
          <a:off x="3403600" y="558800"/>
          <a:ext cx="634982" cy="139683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99DA5D26-E571-4134-B9F1-1D48A1B2DE58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0.68035</cdr:x>
      <cdr:y>0.13894</cdr:y>
    </cdr:from>
    <cdr:to>
      <cdr:x>0.77294</cdr:x>
      <cdr:y>0.17273</cdr:y>
    </cdr:to>
    <cdr:sp macro="" textlink="Analysis!$BC$6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7FC8A0CE-ACE4-EE21-BD9B-6CF951F23446}"/>
            </a:ext>
          </a:extLst>
        </cdr:cNvPr>
        <cdr:cNvSpPr/>
      </cdr:nvSpPr>
      <cdr:spPr>
        <a:xfrm xmlns:a="http://schemas.openxmlformats.org/drawingml/2006/main">
          <a:off x="5564851" y="566025"/>
          <a:ext cx="757329" cy="137659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EA3DB4DC-5A23-40A9-9DE1-4E1173061F98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0.86257</cdr:x>
      <cdr:y>0.13671</cdr:y>
    </cdr:from>
    <cdr:to>
      <cdr:x>0.95516</cdr:x>
      <cdr:y>0.1705</cdr:y>
    </cdr:to>
    <cdr:sp macro="" textlink="Analysis!$BC$7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7FC8A0CE-ACE4-EE21-BD9B-6CF951F23446}"/>
            </a:ext>
          </a:extLst>
        </cdr:cNvPr>
        <cdr:cNvSpPr/>
      </cdr:nvSpPr>
      <cdr:spPr>
        <a:xfrm xmlns:a="http://schemas.openxmlformats.org/drawingml/2006/main">
          <a:off x="7055266" y="556954"/>
          <a:ext cx="757328" cy="137659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237E337E-7794-4529-B6A1-80338799FD05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-0.0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0.02226</cdr:x>
      <cdr:y>0.88089</cdr:y>
    </cdr:from>
    <cdr:to>
      <cdr:x>0.11891</cdr:x>
      <cdr:y>0.93158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686C3383-4F38-67AF-C667-3A8BBE97EF49}"/>
            </a:ext>
          </a:extLst>
        </cdr:cNvPr>
        <cdr:cNvSpPr/>
      </cdr:nvSpPr>
      <cdr:spPr>
        <a:xfrm xmlns:a="http://schemas.openxmlformats.org/drawingml/2006/main">
          <a:off x="180789" y="3586335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 (SOL):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0.09945</cdr:x>
      <cdr:y>0.12087</cdr:y>
    </cdr:from>
    <cdr:to>
      <cdr:x>0.19547</cdr:x>
      <cdr:y>0.17033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325803D5-EBA0-C4F4-0CFA-732F0ABB118C}"/>
            </a:ext>
          </a:extLst>
        </cdr:cNvPr>
        <cdr:cNvSpPr/>
      </cdr:nvSpPr>
      <cdr:spPr>
        <a:xfrm xmlns:a="http://schemas.openxmlformats.org/drawingml/2006/main">
          <a:off x="812800" y="504372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 (SOL):</a:t>
          </a:r>
        </a:p>
      </cdr:txBody>
    </cdr:sp>
  </cdr:relSizeAnchor>
  <cdr:relSizeAnchor xmlns:cdr="http://schemas.openxmlformats.org/drawingml/2006/chartDrawing">
    <cdr:from>
      <cdr:x>0.196</cdr:x>
      <cdr:y>0.12304</cdr:y>
    </cdr:from>
    <cdr:to>
      <cdr:x>0.29203</cdr:x>
      <cdr:y>0.1725</cdr:y>
    </cdr:to>
    <cdr:sp macro="" textlink="Analysis!$BT$2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325803D5-EBA0-C4F4-0CFA-732F0ABB118C}"/>
            </a:ext>
          </a:extLst>
        </cdr:cNvPr>
        <cdr:cNvSpPr/>
      </cdr:nvSpPr>
      <cdr:spPr>
        <a:xfrm xmlns:a="http://schemas.openxmlformats.org/drawingml/2006/main">
          <a:off x="1602014" y="513443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7B572933-2BC0-4B6A-87DA-25ED0FB542CD}" type="TxLink">
            <a:rPr lang="en-US" sz="9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0.48124</cdr:x>
      <cdr:y>0.12304</cdr:y>
    </cdr:from>
    <cdr:to>
      <cdr:x>0.57727</cdr:x>
      <cdr:y>0.1725</cdr:y>
    </cdr:to>
    <cdr:sp macro="" textlink="Analysis!$BT$3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325803D5-EBA0-C4F4-0CFA-732F0ABB118C}"/>
            </a:ext>
          </a:extLst>
        </cdr:cNvPr>
        <cdr:cNvSpPr/>
      </cdr:nvSpPr>
      <cdr:spPr>
        <a:xfrm xmlns:a="http://schemas.openxmlformats.org/drawingml/2006/main">
          <a:off x="3933372" y="513442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0F7EF700-90B5-451A-BA21-FCAEB6C79BDC}" type="TxLink">
            <a:rPr lang="en-US" sz="9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0.75538</cdr:x>
      <cdr:y>0.12522</cdr:y>
    </cdr:from>
    <cdr:to>
      <cdr:x>0.85141</cdr:x>
      <cdr:y>0.17467</cdr:y>
    </cdr:to>
    <cdr:sp macro="" textlink="Analysis!$BT$4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325803D5-EBA0-C4F4-0CFA-732F0ABB118C}"/>
            </a:ext>
          </a:extLst>
        </cdr:cNvPr>
        <cdr:cNvSpPr/>
      </cdr:nvSpPr>
      <cdr:spPr>
        <a:xfrm xmlns:a="http://schemas.openxmlformats.org/drawingml/2006/main">
          <a:off x="6174015" y="522514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4DDD27C7-0D31-43C2-9F51-AC0D00232DCC}" type="TxLink">
            <a:rPr lang="en-US" sz="9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0.10123</cdr:x>
      <cdr:y>0.11471</cdr:y>
    </cdr:from>
    <cdr:to>
      <cdr:x>0.1979</cdr:x>
      <cdr:y>0.1625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5359B29A-9DCA-7C94-43BD-C396634A3FB3}"/>
            </a:ext>
          </a:extLst>
        </cdr:cNvPr>
        <cdr:cNvSpPr/>
      </cdr:nvSpPr>
      <cdr:spPr>
        <a:xfrm xmlns:a="http://schemas.openxmlformats.org/drawingml/2006/main">
          <a:off x="821873" y="495301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 (SOL):</a:t>
          </a:r>
        </a:p>
      </cdr:txBody>
    </cdr:sp>
  </cdr:relSizeAnchor>
  <cdr:relSizeAnchor xmlns:cdr="http://schemas.openxmlformats.org/drawingml/2006/chartDrawing">
    <cdr:from>
      <cdr:x>0.19397</cdr:x>
      <cdr:y>0.11681</cdr:y>
    </cdr:from>
    <cdr:to>
      <cdr:x>0.29064</cdr:x>
      <cdr:y>0.1646</cdr:y>
    </cdr:to>
    <cdr:sp macro="" textlink="Analysis!$CA$2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70BCEFB4-A008-445B-D468-37CA3023FD9C}"/>
            </a:ext>
          </a:extLst>
        </cdr:cNvPr>
        <cdr:cNvSpPr/>
      </cdr:nvSpPr>
      <cdr:spPr>
        <a:xfrm xmlns:a="http://schemas.openxmlformats.org/drawingml/2006/main">
          <a:off x="1574800" y="504371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E16F07ED-8BB9-45B6-A4E1-28BF43D16760}" type="TxLink">
            <a:rPr lang="en-US" sz="9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0.47441</cdr:x>
      <cdr:y>0.11471</cdr:y>
    </cdr:from>
    <cdr:to>
      <cdr:x>0.57108</cdr:x>
      <cdr:y>0.1625</cdr:y>
    </cdr:to>
    <cdr:sp macro="" textlink="Analysis!$CA$3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CF380D9F-FC17-2948-86D2-27E426E094DE}"/>
            </a:ext>
          </a:extLst>
        </cdr:cNvPr>
        <cdr:cNvSpPr/>
      </cdr:nvSpPr>
      <cdr:spPr>
        <a:xfrm xmlns:a="http://schemas.openxmlformats.org/drawingml/2006/main">
          <a:off x="3851729" y="495299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0F431C83-1C2A-4FE7-AF32-65FF2BDFBD16}" type="TxLink">
            <a:rPr lang="en-US" sz="9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l"/>
            <a:t>0.0 SOL</a:t>
          </a:fld>
          <a:endParaRPr lang="en-US" sz="9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0.7638</cdr:x>
      <cdr:y>0.11891</cdr:y>
    </cdr:from>
    <cdr:to>
      <cdr:x>0.86047</cdr:x>
      <cdr:y>0.1667</cdr:y>
    </cdr:to>
    <cdr:sp macro="" textlink="Analysis!$CA$4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CF380D9F-FC17-2948-86D2-27E426E094DE}"/>
            </a:ext>
          </a:extLst>
        </cdr:cNvPr>
        <cdr:cNvSpPr/>
      </cdr:nvSpPr>
      <cdr:spPr>
        <a:xfrm xmlns:a="http://schemas.openxmlformats.org/drawingml/2006/main">
          <a:off x="6201227" y="513443"/>
          <a:ext cx="784862" cy="206372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6BA3EDB8-5872-4875-8F93-F752F7455F17}" type="TxLink">
            <a:rPr lang="en-US" sz="9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0.0279</cdr:x>
      <cdr:y>0.14292</cdr:y>
    </cdr:from>
    <cdr:to>
      <cdr:x>0.12476</cdr:x>
      <cdr:y>0.19236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385151C3-D1D7-68B9-763D-98D887244D3A}"/>
            </a:ext>
          </a:extLst>
        </cdr:cNvPr>
        <cdr:cNvSpPr/>
      </cdr:nvSpPr>
      <cdr:spPr>
        <a:xfrm xmlns:a="http://schemas.openxmlformats.org/drawingml/2006/main">
          <a:off x="227692" y="581478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 (SOL):</a:t>
          </a:r>
        </a:p>
      </cdr:txBody>
    </cdr:sp>
  </cdr:relSizeAnchor>
  <cdr:relSizeAnchor xmlns:cdr="http://schemas.openxmlformats.org/drawingml/2006/chartDrawing">
    <cdr:from>
      <cdr:x>0.11462</cdr:x>
      <cdr:y>0.14292</cdr:y>
    </cdr:from>
    <cdr:to>
      <cdr:x>0.19489</cdr:x>
      <cdr:y>0.18328</cdr:y>
    </cdr:to>
    <cdr:sp macro="" textlink="Analysis!$CO$3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A87FC890-F156-AB11-A26A-28AFA5DB1C4B}"/>
            </a:ext>
          </a:extLst>
        </cdr:cNvPr>
        <cdr:cNvSpPr/>
      </cdr:nvSpPr>
      <cdr:spPr>
        <a:xfrm xmlns:a="http://schemas.openxmlformats.org/drawingml/2006/main">
          <a:off x="935265" y="581478"/>
          <a:ext cx="654958" cy="164194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50E468E4-DF0A-4AEB-8B33-58B28A6C2082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0.30127</cdr:x>
      <cdr:y>0.14292</cdr:y>
    </cdr:from>
    <cdr:to>
      <cdr:x>0.38154</cdr:x>
      <cdr:y>0.18328</cdr:y>
    </cdr:to>
    <cdr:sp macro="" textlink="Analysis!$CO$4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D717EA05-0BED-974B-DA26-98785CACECD4}"/>
            </a:ext>
          </a:extLst>
        </cdr:cNvPr>
        <cdr:cNvSpPr/>
      </cdr:nvSpPr>
      <cdr:spPr>
        <a:xfrm xmlns:a="http://schemas.openxmlformats.org/drawingml/2006/main">
          <a:off x="2459284" y="581479"/>
          <a:ext cx="655213" cy="164194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DA2BA4E1-076E-41F6-9192-FAD1C8384553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0.48778</cdr:x>
      <cdr:y>0.13958</cdr:y>
    </cdr:from>
    <cdr:to>
      <cdr:x>0.56802</cdr:x>
      <cdr:y>0.17993</cdr:y>
    </cdr:to>
    <cdr:sp macro="" textlink="Analysis!$CO$5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D717EA05-0BED-974B-DA26-98785CACECD4}"/>
            </a:ext>
          </a:extLst>
        </cdr:cNvPr>
        <cdr:cNvSpPr/>
      </cdr:nvSpPr>
      <cdr:spPr>
        <a:xfrm xmlns:a="http://schemas.openxmlformats.org/drawingml/2006/main">
          <a:off x="3983285" y="567872"/>
          <a:ext cx="655213" cy="164194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B1716F69-14C1-4219-A385-936783383BB0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0.66966</cdr:x>
      <cdr:y>0.13958</cdr:y>
    </cdr:from>
    <cdr:to>
      <cdr:x>0.74987</cdr:x>
      <cdr:y>0.17993</cdr:y>
    </cdr:to>
    <cdr:sp macro="" textlink="Analysis!$CO$6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D717EA05-0BED-974B-DA26-98785CACECD4}"/>
            </a:ext>
          </a:extLst>
        </cdr:cNvPr>
        <cdr:cNvSpPr/>
      </cdr:nvSpPr>
      <cdr:spPr>
        <a:xfrm xmlns:a="http://schemas.openxmlformats.org/drawingml/2006/main">
          <a:off x="5466423" y="567872"/>
          <a:ext cx="654704" cy="164194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648B3DFD-2C7B-4EDD-B827-EFED745010D5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0.85303</cdr:x>
      <cdr:y>0.14292</cdr:y>
    </cdr:from>
    <cdr:to>
      <cdr:x>0.93327</cdr:x>
      <cdr:y>0.18328</cdr:y>
    </cdr:to>
    <cdr:sp macro="" textlink="Analysis!$CO$7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D717EA05-0BED-974B-DA26-98785CACECD4}"/>
            </a:ext>
          </a:extLst>
        </cdr:cNvPr>
        <cdr:cNvSpPr/>
      </cdr:nvSpPr>
      <cdr:spPr>
        <a:xfrm xmlns:a="http://schemas.openxmlformats.org/drawingml/2006/main">
          <a:off x="6963229" y="581479"/>
          <a:ext cx="654958" cy="164194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905DDCDD-9467-4ACA-8317-D398CE2D1657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0.01947</cdr:x>
      <cdr:y>0.1463</cdr:y>
    </cdr:from>
    <cdr:to>
      <cdr:x>0.11584</cdr:x>
      <cdr:y>0.19691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D971A179-5D11-66AD-E81E-F93D25757A53}"/>
            </a:ext>
          </a:extLst>
        </cdr:cNvPr>
        <cdr:cNvSpPr/>
      </cdr:nvSpPr>
      <cdr:spPr>
        <a:xfrm xmlns:a="http://schemas.openxmlformats.org/drawingml/2006/main">
          <a:off x="159658" y="581479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PNL (SOL):</a:t>
          </a:r>
        </a:p>
      </cdr:txBody>
    </cdr:sp>
  </cdr:relSizeAnchor>
  <cdr:relSizeAnchor xmlns:cdr="http://schemas.openxmlformats.org/drawingml/2006/chartDrawing">
    <cdr:from>
      <cdr:x>0.10243</cdr:x>
      <cdr:y>0.14287</cdr:y>
    </cdr:from>
    <cdr:to>
      <cdr:x>0.1823</cdr:x>
      <cdr:y>0.18418</cdr:y>
    </cdr:to>
    <cdr:sp macro="" textlink="Analysis!$CU$3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1AB72C4E-0558-2125-F19D-E20B42745665}"/>
            </a:ext>
          </a:extLst>
        </cdr:cNvPr>
        <cdr:cNvSpPr/>
      </cdr:nvSpPr>
      <cdr:spPr>
        <a:xfrm xmlns:a="http://schemas.openxmlformats.org/drawingml/2006/main">
          <a:off x="840015" y="567872"/>
          <a:ext cx="654958" cy="164194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6404F5D9-4527-4FCD-BA14-2712CF2B50C1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0.24347</cdr:x>
      <cdr:y>0.1463</cdr:y>
    </cdr:from>
    <cdr:to>
      <cdr:x>0.33984</cdr:x>
      <cdr:y>0.19691</cdr:y>
    </cdr:to>
    <cdr:sp macro="" textlink="Analysis!$CU$4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1AB72C4E-0558-2125-F19D-E20B42745665}"/>
            </a:ext>
          </a:extLst>
        </cdr:cNvPr>
        <cdr:cNvSpPr/>
      </cdr:nvSpPr>
      <cdr:spPr>
        <a:xfrm xmlns:a="http://schemas.openxmlformats.org/drawingml/2006/main">
          <a:off x="1996621" y="581479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F98DC042-C7F4-4FB2-AEB2-FD4B6AD8872E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+0.4 SOL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0.39115</cdr:x>
      <cdr:y>0.14287</cdr:y>
    </cdr:from>
    <cdr:to>
      <cdr:x>0.48752</cdr:x>
      <cdr:y>0.19348</cdr:y>
    </cdr:to>
    <cdr:sp macro="" textlink="Analysis!$CU$5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1AB72C4E-0558-2125-F19D-E20B42745665}"/>
            </a:ext>
          </a:extLst>
        </cdr:cNvPr>
        <cdr:cNvSpPr/>
      </cdr:nvSpPr>
      <cdr:spPr>
        <a:xfrm xmlns:a="http://schemas.openxmlformats.org/drawingml/2006/main">
          <a:off x="3207657" y="567871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5B9E29D3-A01A-4E17-B070-517CAFDD1151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0.54215</cdr:x>
      <cdr:y>0.13945</cdr:y>
    </cdr:from>
    <cdr:to>
      <cdr:x>0.63852</cdr:x>
      <cdr:y>0.19006</cdr:y>
    </cdr:to>
    <cdr:sp macro="" textlink="Analysis!$CU$6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1AB72C4E-0558-2125-F19D-E20B42745665}"/>
            </a:ext>
          </a:extLst>
        </cdr:cNvPr>
        <cdr:cNvSpPr/>
      </cdr:nvSpPr>
      <cdr:spPr>
        <a:xfrm xmlns:a="http://schemas.openxmlformats.org/drawingml/2006/main">
          <a:off x="4445907" y="554264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A582F9B0-A84F-4903-BD7D-136141C96D0E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0.68982</cdr:x>
      <cdr:y>0.13945</cdr:y>
    </cdr:from>
    <cdr:to>
      <cdr:x>0.78619</cdr:x>
      <cdr:y>0.19006</cdr:y>
    </cdr:to>
    <cdr:sp macro="" textlink="Analysis!$CU$7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1AB72C4E-0558-2125-F19D-E20B42745665}"/>
            </a:ext>
          </a:extLst>
        </cdr:cNvPr>
        <cdr:cNvSpPr/>
      </cdr:nvSpPr>
      <cdr:spPr>
        <a:xfrm xmlns:a="http://schemas.openxmlformats.org/drawingml/2006/main">
          <a:off x="5656943" y="554264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38B799FC-6860-46BF-AD6D-30AE98F9A58E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  <cdr:relSizeAnchor xmlns:cdr="http://schemas.openxmlformats.org/drawingml/2006/chartDrawing">
    <cdr:from>
      <cdr:x>0.84414</cdr:x>
      <cdr:y>0.13603</cdr:y>
    </cdr:from>
    <cdr:to>
      <cdr:x>0.94051</cdr:x>
      <cdr:y>0.18664</cdr:y>
    </cdr:to>
    <cdr:sp macro="" textlink="Analysis!$CU$8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1AB72C4E-0558-2125-F19D-E20B42745665}"/>
            </a:ext>
          </a:extLst>
        </cdr:cNvPr>
        <cdr:cNvSpPr/>
      </cdr:nvSpPr>
      <cdr:spPr>
        <a:xfrm xmlns:a="http://schemas.openxmlformats.org/drawingml/2006/main">
          <a:off x="6922407" y="540657"/>
          <a:ext cx="790294" cy="201155"/>
        </a:xfrm>
        <a:prstGeom xmlns:a="http://schemas.openxmlformats.org/drawingml/2006/main" prst="roundRect">
          <a:avLst/>
        </a:prstGeom>
        <a:solidFill xmlns:a="http://schemas.openxmlformats.org/drawingml/2006/main">
          <a:prstClr val="white">
            <a:alpha val="0"/>
          </a:prstClr>
        </a:solidFill>
        <a:ln xmlns:a="http://schemas.openxmlformats.org/drawingml/2006/main">
          <a:noFill/>
        </a:ln>
      </cdr:spPr>
      <cdr:txBody>
        <a:bodyPr xmlns:a="http://schemas.openxmlformats.org/drawingml/2006/main" vert="horz" wrap="square" tIns="0" bIns="0" rtlCol="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92F0C18C-8105-404A-83C9-A0F73DB1120A}" type="TxLink"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-</a:t>
          </a:fld>
          <a:endParaRPr lang="en-US" sz="9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EE7FEA-1044-46EA-A601-D2E58F633EFB}" name="tblAnalysis" displayName="tblAnalysis" ref="A1:O3" totalsRowShown="0" headerRowDxfId="98">
  <autoFilter ref="A1:O3" xr:uid="{49EE7FEA-1044-46EA-A601-D2E58F633EFB}"/>
  <tableColumns count="15">
    <tableColumn id="1" xr3:uid="{A7BD22D7-5FAD-45F7-ADD6-19E761900F95}" name="Trade #" dataDxfId="14">
      <calculatedColumnFormula>ROW()-1</calculatedColumnFormula>
    </tableColumn>
    <tableColumn id="2" xr3:uid="{00B80469-3682-47E4-8515-C65903DCAF60}" name="Token" dataDxfId="2">
      <calculatedColumnFormula array="1">INDEX(tblTrades[token_name],ROW()-1)</calculatedColumnFormula>
    </tableColumn>
    <tableColumn id="3" xr3:uid="{56D9ECE6-C146-4CF5-8211-2DECDC3D2DD3}" name="Date" dataDxfId="0">
      <calculatedColumnFormula array="1">INDEX(tblTrades[entry_date],ROW()-1)</calculatedColumnFormula>
    </tableColumn>
    <tableColumn id="4" xr3:uid="{EABFBD8D-381D-4E1E-8088-FB43B9A1631D}" name="Entry MC ($)" dataDxfId="1">
      <calculatedColumnFormula array="1">INDEX(tblTrades[entry_mc_actual],ROW()-1)</calculatedColumnFormula>
    </tableColumn>
    <tableColumn id="5" xr3:uid="{8E3B1554-96D2-4EF8-9901-AC6014107D80}" name="Exit MC ($)" dataDxfId="13">
      <calculatedColumnFormula array="1">INDEX(tblTrades[exit_mc_actual],ROW()-1)</calculatedColumnFormula>
    </tableColumn>
    <tableColumn id="6" xr3:uid="{E5A39839-0788-4BF8-AA18-866A707FB093}" name="Hold Time (s)" dataDxfId="12">
      <calculatedColumnFormula array="1">INDEX(tblTrades[time_in_trade_seconds],ROW()-1)</calculatedColumnFormula>
    </tableColumn>
    <tableColumn id="7" xr3:uid="{AE09B0A1-BCC6-4F06-9573-293CF0B3AB1A}" name="P&amp;L %" dataDxfId="11">
      <calculatedColumnFormula array="1">IFERROR(INDEX(tblTrades[pnl_percentage],ROW()-1)*1,"")</calculatedColumnFormula>
    </tableColumn>
    <tableColumn id="8" xr3:uid="{037FB3B6-88D9-485F-A184-B26E614843D9}" name="P&amp;L SOL" dataDxfId="10">
      <calculatedColumnFormula array="1">IFERROR(INDEX(tblTrades[pnl_sol],ROW()-1)*1,"")</calculatedColumnFormula>
    </tableColumn>
    <tableColumn id="9" xr3:uid="{A33D2871-9834-4069-8790-14E919C54209}" name="Win" dataDxfId="9">
      <calculatedColumnFormula>IF(ISNUMBER(G2),IF(G2&gt;0,1,0),"")</calculatedColumnFormula>
    </tableColumn>
    <tableColumn id="10" xr3:uid="{AD581408-19B6-467D-867C-FFEEF8CA52B0}" name="MC Bucket" dataDxfId="8">
      <calculatedColumnFormula>IF(ISNUMBER(D2),IF(D2&lt;2000,"Under 2K",IF(D2&lt;5000,"2-5K",IF(D2&lt;10000,"5-10K",IF(D2&lt;20000,"10-20K","20K+")))),"")</calculatedColumnFormula>
    </tableColumn>
    <tableColumn id="11" xr3:uid="{09DD3DC3-BD85-409B-AD5C-B2629C901513}" name="Hold Bucket" dataDxfId="7">
      <calculatedColumnFormula>IF(ISNUMBER(F2),IF(F2=0,"Unknown (0s)",IF(F2&lt;=15,"1-15s",IF(F2&lt;=45,"15-45s",IF(F2&lt;=90,"45-90s","90s+")))),"")</calculatedColumnFormula>
    </tableColumn>
    <tableColumn id="14" xr3:uid="{C63307D0-8564-4CFB-976D-6686C40371D8}" name="EntrySize" dataDxfId="6">
      <calculatedColumnFormula array="1">IFERROR(INDEX(tblTrades[sol_invested],ROW()-1),"")</calculatedColumnFormula>
    </tableColumn>
    <tableColumn id="13" xr3:uid="{3E1236F7-97D6-4FB0-820C-1A8C9442B493}" name="DupTicker" dataDxfId="5">
      <calculatedColumnFormula>COUNTIFS(tblAnalysis[Token],tblAnalysis[[#This Row],[Token]])</calculatedColumnFormula>
    </tableColumn>
    <tableColumn id="15" xr3:uid="{E5FE7F04-E60D-4BE7-8E4F-468B6086721F}" name="First" dataDxfId="4">
      <calculatedColumnFormula>COUNTIFS($B$2:B2,tblAnalysis[[#This Row],[Token]])</calculatedColumnFormula>
    </tableColumn>
    <tableColumn id="12" xr3:uid="{DC780DE7-F8B4-4271-A92F-D4FD1EC9C931}" name="Cum P&amp;L SOL" dataDxfId="3">
      <calculatedColumnFormula>IFERROR(SUM($H$2:H2),"")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35173-9E14-4A69-AF66-9CB8333E28A3}" name="tblTrades" displayName="tblTrades" ref="A1:CA3" totalsRowShown="0" headerRowDxfId="97" dataDxfId="96">
  <autoFilter ref="A1:CA3" xr:uid="{1E835173-9E14-4A69-AF66-9CB8333E28A3}"/>
  <tableColumns count="79">
    <tableColumn id="1" xr3:uid="{00000000-0010-0000-0100-000001000000}" name="source_session" dataDxfId="95"/>
    <tableColumn id="2" xr3:uid="{00000000-0010-0000-0100-000002000000}" name="source_log_type" dataDxfId="94"/>
    <tableColumn id="3" xr3:uid="{00000000-0010-0000-0100-000003000000}" name="source_folder_archived_path" dataDxfId="93"/>
    <tableColumn id="4" xr3:uid="{00000000-0010-0000-0100-000004000000}" name="processed_at" dataDxfId="92"/>
    <tableColumn id="5" xr3:uid="{00000000-0010-0000-0100-000005000000}" name="trade_id" dataDxfId="91"/>
    <tableColumn id="6" xr3:uid="{00000000-0010-0000-0100-000006000000}" name="token_name" dataDxfId="53"/>
    <tableColumn id="7" xr3:uid="{00000000-0010-0000-0100-000007000000}" name="entry_date" dataDxfId="51"/>
    <tableColumn id="8" xr3:uid="{00000000-0010-0000-0100-000008000000}" name="exit_date" dataDxfId="52"/>
    <tableColumn id="9" xr3:uid="{00000000-0010-0000-0100-000009000000}" name="video_start_time" dataDxfId="90"/>
    <tableColumn id="10" xr3:uid="{00000000-0010-0000-0100-00000A000000}" name="entry_commentary_time" dataDxfId="89"/>
    <tableColumn id="11" xr3:uid="{00000000-0010-0000-0100-00000B000000}" name="exit_commentary_time" dataDxfId="88"/>
    <tableColumn id="12" xr3:uid="{00000000-0010-0000-0100-00000C000000}" name="exit_time_actual" dataDxfId="87"/>
    <tableColumn id="13" xr3:uid="{00000000-0010-0000-0100-00000D000000}" name="time_in_trade_seconds" dataDxfId="86"/>
    <tableColumn id="14" xr3:uid="{00000000-0010-0000-0100-00000E000000}" name="video_end_time" dataDxfId="85"/>
    <tableColumn id="15" xr3:uid="{00000000-0010-0000-0100-00000F000000}" name="entry_mc_actual" dataDxfId="84"/>
    <tableColumn id="16" xr3:uid="{00000000-0010-0000-0100-000010000000}" name="target_exit_low_mc" dataDxfId="83"/>
    <tableColumn id="17" xr3:uid="{00000000-0010-0000-0100-000011000000}" name="target_exit_high_mc" dataDxfId="82"/>
    <tableColumn id="18" xr3:uid="{00000000-0010-0000-0100-000012000000}" name="stop_loss_mc" dataDxfId="81"/>
    <tableColumn id="19" xr3:uid="{00000000-0010-0000-0100-000013000000}" name="exit_mc_actual" dataDxfId="38"/>
    <tableColumn id="20" xr3:uid="{00000000-0010-0000-0100-000014000000}" name="sol_invested" dataDxfId="37"/>
    <tableColumn id="21" xr3:uid="{00000000-0010-0000-0100-000015000000}" name="sol_received" dataDxfId="36"/>
    <tableColumn id="22" xr3:uid="{00000000-0010-0000-0100-000016000000}" name="pnl_sol" dataDxfId="35"/>
    <tableColumn id="23" xr3:uid="{00000000-0010-0000-0100-000017000000}" name="pnl_percentage" dataDxfId="33">
      <calculatedColumnFormula>tblTrades[[#This Row],[pnl_sol]]/tblTrades[[#This Row],[sol_invested]]</calculatedColumnFormula>
    </tableColumn>
    <tableColumn id="24" xr3:uid="{00000000-0010-0000-0100-000018000000}" name="rationale" dataDxfId="34"/>
    <tableColumn id="25" xr3:uid="{00000000-0010-0000-0100-000019000000}" name="pre_transcript_excerpt" dataDxfId="80"/>
    <tableColumn id="26" xr3:uid="{00000000-0010-0000-0100-00001A000000}" name="post_transcript_excerpt" dataDxfId="79"/>
    <tableColumn id="27" xr3:uid="{00000000-0010-0000-0100-00001B000000}" name="adherence_self_assessment" dataDxfId="78"/>
    <tableColumn id="28" xr3:uid="{00000000-0010-0000-0100-00001C000000}" name="notes" dataDxfId="77"/>
    <tableColumn id="29" xr3:uid="{00000000-0010-0000-0100-00001D000000}" name="needs_review" dataDxfId="76"/>
    <tableColumn id="30" xr3:uid="{00000000-0010-0000-0100-00001E000000}" name="source_trade_id" dataDxfId="75"/>
    <tableColumn id="31" xr3:uid="{00000000-0010-0000-0100-00001F000000}" name="Hour" dataDxfId="74">
      <calculatedColumnFormula>IFERROR(HOUR(IFERROR(IFERROR(IFERROR(TIMEVALUE(J2),TIMEVALUE(I2)),TIMEVALUE(L2)),TIMEVALUE(H2))),"")</calculatedColumnFormula>
    </tableColumn>
    <tableColumn id="32" xr3:uid="{00000000-0010-0000-0100-000020000000}" name="Weekday" dataDxfId="73">
      <calculatedColumnFormula>IFERROR(TEXT(IF(ISNUMBER(G2),G2,DATEVALUE(G2)),"ddd"),"")</calculatedColumnFormula>
    </tableColumn>
    <tableColumn id="33" xr3:uid="{00000000-0010-0000-0100-000021000000}" name="WeekdayNum" dataDxfId="72">
      <calculatedColumnFormula>IFERROR(WEEKDAY(IF(ISNUMBER(G2),G2,DATEVALUE(G2)),2),"")</calculatedColumnFormula>
    </tableColumn>
    <tableColumn id="34" xr3:uid="{00000000-0010-0000-0100-000022000000}" name="TimeBucket" dataDxfId="71">
      <calculatedColumnFormula>IF(AE2="","",IF(OR(AG2=6,AG2=7),IF(AE2&gt;=2,IF(AE2&lt;=11,"WE 6am-12pm",IF(AE2&lt;=17,"WE 12pm-6pm",IF(OR(AE2=18,AE2=19),"WE 6pm-8pm",IF(AE2&gt;=20,"WE 8pm-2am",IF(OR(AE2=0,AE2=1),"WE 8pm-2am",""))))),IF(OR(AE2=0,AE2=1),"WE 8pm-2am","")),IF(AE2&lt;=11,"WD 6am-12pm",IF(AE2&lt;=17,"WD 12pm-6pm",IF(OR(AE2=18,AE2=19),"WD 6pm-8pm",IF(AE2&gt;=20,"WD 8pm-12am",""))))))</calculatedColumnFormula>
    </tableColumn>
    <tableColumn id="35" xr3:uid="{00000000-0010-0000-0100-000023000000}" name="meta_cluster_id" dataDxfId="70"/>
    <tableColumn id="36" xr3:uid="{00000000-0010-0000-0100-000024000000}" name="meta_name" dataDxfId="50"/>
    <tableColumn id="37" xr3:uid="{00000000-0010-0000-0100-000025000000}" name="N_score" dataDxfId="49"/>
    <tableColumn id="38" xr3:uid="{00000000-0010-0000-0100-000026000000}" name="N_why" dataDxfId="48"/>
    <tableColumn id="39" xr3:uid="{00000000-0010-0000-0100-000027000000}" name="I_score" dataDxfId="47"/>
    <tableColumn id="40" xr3:uid="{00000000-0010-0000-0100-000028000000}" name="I_why" dataDxfId="46"/>
    <tableColumn id="41" xr3:uid="{00000000-0010-0000-0100-000029000000}" name="C_score" dataDxfId="45"/>
    <tableColumn id="42" xr3:uid="{00000000-0010-0000-0100-00002A000000}" name="C_why" dataDxfId="44"/>
    <tableColumn id="43" xr3:uid="{00000000-0010-0000-0100-00002B000000}" name="S_score" dataDxfId="43"/>
    <tableColumn id="44" xr3:uid="{00000000-0010-0000-0100-00002C000000}" name="S_why" dataDxfId="42"/>
    <tableColumn id="45" xr3:uid="{00000000-0010-0000-0100-00002D000000}" name="NICS_score" dataDxfId="40"/>
    <tableColumn id="46" xr3:uid="{00000000-0010-0000-0100-00002E000000}" name="size_ok" dataDxfId="41"/>
    <tableColumn id="47" xr3:uid="{00000000-0010-0000-0100-00002F000000}" name="zone_ok" dataDxfId="69"/>
    <tableColumn id="48" xr3:uid="{00000000-0010-0000-0100-000030000000}" name="cooldown_ok" dataDxfId="68"/>
    <tableColumn id="49" xr3:uid="{00000000-0010-0000-0100-000031000000}" name="trade_type" dataDxfId="67"/>
    <tableColumn id="50" xr3:uid="{00000000-0010-0000-0100-000032000000}" name="counts_toward_50" dataDxfId="66"/>
    <tableColumn id="51" xr3:uid="{00000000-0010-0000-0100-000033000000}" name="hard_reset" dataDxfId="39"/>
    <tableColumn id="52" xr3:uid="{00000000-0010-0000-0100-000034000000}" name="running_count" dataDxfId="32">
      <calculatedColumnFormula>IF(tblTrades[[#This Row],[hard_reset]]=TRUE,0,N(OFFSET(tblTrades[[#This Row],[running_count]],-1,0))+tblTrades[[#This Row],[counts_toward_50]])</calculatedColumnFormula>
    </tableColumn>
    <tableColumn id="53" xr3:uid="{00000000-0010-0000-0100-000035000000}" name="non_nics_pnl_pct" dataDxfId="31"/>
    <tableColumn id="54" xr3:uid="{00000000-0010-0000-0100-000036000000}" name="cluster_pnl_pct" dataDxfId="29">
      <calculatedColumnFormula>IFERROR(SUMIFS(tblTrades[pnl_sol],tblTrades[meta_cluster_id],tblTrades[[#This Row],[meta_cluster_id]])/SUMIFS(tblTrades[sol_invested],tblTrades[meta_cluster_id],tblTrades[[#This Row],[meta_cluster_id]]),0)</calculatedColumnFormula>
    </tableColumn>
    <tableColumn id="55" xr3:uid="{00000000-0010-0000-0100-000037000000}" name="llm_grade_notes" dataDxfId="30"/>
    <tableColumn id="56" xr3:uid="{00000000-0010-0000-0100-000038000000}" name="ohlc_mc_open" dataDxfId="65"/>
    <tableColumn id="57" xr3:uid="{00000000-0010-0000-0100-000039000000}" name="ohlc_mc_high" dataDxfId="64"/>
    <tableColumn id="58" xr3:uid="{00000000-0010-0000-0100-00003A000000}" name="ohlc_mc_low" dataDxfId="63"/>
    <tableColumn id="59" xr3:uid="{00000000-0010-0000-0100-00003B000000}" name="ohlc_mc_close" dataDxfId="28"/>
    <tableColumn id="63" xr3:uid="{00000000-0010-0000-0100-00003F000000}" name="ohlc_sol_open" dataDxfId="27"/>
    <tableColumn id="64" xr3:uid="{00000000-0010-0000-0100-000040000000}" name="ohlc_sol_high" dataDxfId="26"/>
    <tableColumn id="65" xr3:uid="{00000000-0010-0000-0100-000041000000}" name="ohlc_sol_low" dataDxfId="25"/>
    <tableColumn id="66" xr3:uid="{00000000-0010-0000-0100-000042000000}" name="ohlc_sol_close" dataDxfId="24"/>
    <tableColumn id="60" xr3:uid="{00000000-0010-0000-0100-00003C000000}" name="ohlc_pct_high" dataDxfId="23">
      <calculatedColumnFormula>IFERROR(BE2/BD2-1,"")</calculatedColumnFormula>
    </tableColumn>
    <tableColumn id="61" xr3:uid="{00000000-0010-0000-0100-00003D000000}" name="ohlc_pct_low" dataDxfId="22">
      <calculatedColumnFormula>IFERROR(BF2/BD2-1,"")</calculatedColumnFormula>
    </tableColumn>
    <tableColumn id="62" xr3:uid="{00000000-0010-0000-0100-00003E000000}" name="ohlc_pct_close" dataDxfId="20">
      <calculatedColumnFormula>IFERROR(BG2/BD2-1,"")</calculatedColumnFormula>
    </tableColumn>
    <tableColumn id="67" xr3:uid="{00000000-0010-0000-0100-000043000000}" name="ohlc_screenshot" dataDxfId="21">
      <calculatedColumnFormula>HYPERLINK("E:\Apps\WilyTrader Captures\Archive\20260603.2349 Trade\Inputs\trade-screenshots\2026-06-03_23-51-02-sell-UPTIMIST.-exec-1780545062339-5nddpl-desktop.png","2026-06-03_23-51-02-sell-UPTIMIST.-exec-1780545062339-5nddpl-desktop.png")</calculatedColumnFormula>
    </tableColumn>
    <tableColumn id="68" xr3:uid="{00000000-0010-0000-0100-000044000000}" name="is_new_cluster_start" dataDxfId="62">
      <calculatedColumnFormula>IF(AI2&lt;&gt;AI1,1,0)</calculatedColumnFormula>
    </tableColumn>
    <tableColumn id="69" xr3:uid="{00000000-0010-0000-0100-000045000000}" name="prior_cluster_id" dataDxfId="19">
      <calculatedColumnFormula>IF(BP2=1,IF(ROW()=2,"",AI1),"")</calculatedColumnFormula>
    </tableColumn>
    <tableColumn id="70" xr3:uid="{00000000-0010-0000-0100-000046000000}" name="prior_cluster_last_exit_dt" dataDxfId="18">
      <calculatedColumnFormula>IF(AND(BP2=1,ROW()&gt;2),G1+IFERROR(TIMEVALUE(L1),0),"")</calculatedColumnFormula>
    </tableColumn>
    <tableColumn id="71" xr3:uid="{00000000-0010-0000-0100-000047000000}" name="this_trade_entry_dt" dataDxfId="17">
      <calculatedColumnFormula>IF(BP2=1,G2+IFERROR(TIMEVALUE(J2),IFERROR(TIMEVALUE(L2)-M2/86400,0)),"")</calculatedColumnFormula>
    </tableColumn>
    <tableColumn id="72" xr3:uid="{00000000-0010-0000-0100-000048000000}" name="cooldown_minutes" dataDxfId="15">
      <calculatedColumnFormula>IF(AND(BP2=1,ISNUMBER(BR2),ISNUMBER(BS2)),(BS2-BR2)*1440,"")</calculatedColumnFormula>
    </tableColumn>
    <tableColumn id="73" xr3:uid="{00000000-0010-0000-0100-000049000000}" name="prior_cluster_outcome" dataDxfId="16">
      <calculatedColumnFormula>IF(BQ2="","",IF(SUMIF(AI:AI,BQ2,V:V)&gt;0,"Win","Loss"))</calculatedColumnFormula>
    </tableColumn>
    <tableColumn id="74" xr3:uid="{00000000-0010-0000-0100-00004A000000}" name="cooldown_bucket" dataDxfId="61">
      <calculatedColumnFormula>IF(NOT(ISNUMBER(BT2)),"",IF(BT2&lt;5,"0"&amp;_xlfn.UNICHAR(8211)&amp;"5 min",IF(BT2&lt;10,"5"&amp;_xlfn.UNICHAR(8211)&amp;"10 min",IF(BT2&lt;15,"10"&amp;_xlfn.UNICHAR(8211)&amp;"15 min",IF(BT2&lt;30,"15"&amp;_xlfn.UNICHAR(8211)&amp;"30 min","30 min+")))))</calculatedColumnFormula>
    </tableColumn>
    <tableColumn id="75" xr3:uid="{00000000-0010-0000-0100-00004B000000}" name="cluster_group_id" dataDxfId="60">
      <calculatedColumnFormula>SUM($BP$2:BP2)</calculatedColumnFormula>
    </tableColumn>
    <tableColumn id="76" xr3:uid="{00000000-0010-0000-0100-00004C000000}" name="cluster_total_pnl_sol" dataDxfId="59">
      <calculatedColumnFormula>IF(AND($BP2=1,NOT(ISBLANK($BV2))),SUMIFS(tblTrades[pnl_sol],tblTrades[cluster_group_id],$BW2),"")</calculatedColumnFormula>
    </tableColumn>
    <tableColumn id="77" xr3:uid="{00000000-0010-0000-0100-00004D000000}" name="cluster_avg_pnl_pct" dataDxfId="58">
      <calculatedColumnFormula>IF(AND($BP2=1,NOT(ISBLANK($BV2))),IFERROR(AVERAGEIFS(tblTrades[pnl_percentage],tblTrades[cluster_group_id],$BW2),""),"")</calculatedColumnFormula>
    </tableColumn>
    <tableColumn id="78" xr3:uid="{00000000-0010-0000-0100-00004E000000}" name="cluster_win" dataDxfId="57">
      <calculatedColumnFormula>IF(AND($BP2=1,NOT(ISBLANK($BV2))),IF($BX2&gt;0,1,0),"")</calculatedColumnFormula>
    </tableColumn>
    <tableColumn id="79" xr3:uid="{00000000-0010-0000-0100-00004F000000}" name="trade_num_in_session" dataDxfId="56">
      <calculatedColumnFormula>COUNTIFS($A$2:$A2,$A2)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400E00A-979D-4FFC-A2B9-75197CDC21C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873faca-7c14-4545-accb-429fd104b78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A8BBC9F-0942-4D14-85DB-305B55389A9D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2B54-176F-4643-AD6E-579C92720B30}">
  <dimension ref="A1"/>
  <sheetViews>
    <sheetView showGridLines="0" tabSelected="1" zoomScale="70" zoomScaleNormal="70" workbookViewId="0">
      <selection activeCell="X24" sqref="X24"/>
    </sheetView>
  </sheetViews>
  <sheetFormatPr defaultRowHeight="14.5" x14ac:dyDescent="0.35"/>
  <cols>
    <col min="1" max="1" width="16.36328125" customWidth="1"/>
    <col min="2" max="2" width="10.90625" customWidth="1"/>
    <col min="3" max="6" width="18.1796875" customWidth="1"/>
    <col min="7" max="7" width="3.6328125" customWidth="1"/>
    <col min="8" max="9" width="18.17968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E8B2-F9AB-41DF-B8F1-D64936916287}">
  <dimension ref="A1:CU504"/>
  <sheetViews>
    <sheetView topLeftCell="O1" workbookViewId="0">
      <pane ySplit="1" topLeftCell="A2" activePane="bottomLeft" state="frozen"/>
      <selection pane="bottomLeft" activeCell="AP9" sqref="Y9:AP9"/>
    </sheetView>
  </sheetViews>
  <sheetFormatPr defaultRowHeight="14.5" x14ac:dyDescent="0.35"/>
  <cols>
    <col min="1" max="1" width="9.08984375" customWidth="1"/>
    <col min="2" max="2" width="14.54296875" customWidth="1"/>
    <col min="3" max="3" width="12.7265625" customWidth="1"/>
    <col min="4" max="5" width="13.6328125" customWidth="1"/>
    <col min="6" max="6" width="14.54296875" customWidth="1"/>
    <col min="7" max="8" width="12.7265625" customWidth="1"/>
    <col min="9" max="9" width="9.08984375" customWidth="1"/>
    <col min="10" max="11" width="13.6328125" customWidth="1"/>
    <col min="12" max="12" width="10.6328125" style="1" customWidth="1"/>
    <col min="13" max="13" width="11.54296875" style="1" bestFit="1" customWidth="1"/>
    <col min="14" max="14" width="8.7265625" style="1"/>
    <col min="15" max="15" width="15.453125" customWidth="1"/>
    <col min="17" max="17" width="8.7265625" style="6"/>
    <col min="19" max="19" width="8.7265625" style="6"/>
    <col min="20" max="20" width="8.7265625" style="11"/>
    <col min="21" max="21" width="8.7265625" style="6"/>
    <col min="25" max="28" width="8.7265625" style="6"/>
    <col min="31" max="33" width="8.7265625" style="11"/>
    <col min="40" max="40" width="7.6328125" style="6" customWidth="1"/>
    <col min="43" max="43" width="8.7265625" style="12"/>
    <col min="44" max="44" width="8.7265625" style="11"/>
    <col min="46" max="46" width="8.7265625" style="6"/>
    <col min="49" max="49" width="11.90625" customWidth="1"/>
    <col min="52" max="53" width="8.7265625" style="11"/>
    <col min="54" max="54" width="8.7265625" style="6"/>
    <col min="56" max="56" width="18.08984375" bestFit="1" customWidth="1"/>
  </cols>
  <sheetData>
    <row r="1" spans="1:99" s="7" customFormat="1" x14ac:dyDescent="0.35">
      <c r="A1" s="14" t="s">
        <v>30</v>
      </c>
      <c r="B1" s="14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84</v>
      </c>
      <c r="J1" s="14" t="s">
        <v>38</v>
      </c>
      <c r="K1" s="14" t="s">
        <v>39</v>
      </c>
      <c r="L1" s="19" t="s">
        <v>86</v>
      </c>
      <c r="M1" s="19" t="s">
        <v>85</v>
      </c>
      <c r="N1" s="19" t="s">
        <v>87</v>
      </c>
      <c r="O1" s="14" t="s">
        <v>40</v>
      </c>
      <c r="P1" s="8"/>
      <c r="Q1" s="7" t="s">
        <v>32</v>
      </c>
      <c r="R1" s="8" t="s">
        <v>37</v>
      </c>
      <c r="S1" s="9" t="s">
        <v>36</v>
      </c>
      <c r="T1" s="8" t="s">
        <v>40</v>
      </c>
      <c r="U1" s="7" t="s">
        <v>59</v>
      </c>
      <c r="W1" s="7" t="s">
        <v>32</v>
      </c>
      <c r="X1" s="8" t="s">
        <v>60</v>
      </c>
      <c r="Y1" s="8" t="s">
        <v>61</v>
      </c>
      <c r="Z1" s="8" t="s">
        <v>62</v>
      </c>
      <c r="AA1" s="8" t="s">
        <v>63</v>
      </c>
      <c r="AC1" s="7" t="s">
        <v>32</v>
      </c>
      <c r="AD1" s="9" t="s">
        <v>64</v>
      </c>
      <c r="AE1" s="9" t="s">
        <v>65</v>
      </c>
      <c r="AF1" s="9" t="s">
        <v>66</v>
      </c>
      <c r="AH1" s="7" t="s">
        <v>67</v>
      </c>
      <c r="AI1" s="7" t="s">
        <v>68</v>
      </c>
      <c r="AK1" s="7" t="s">
        <v>30</v>
      </c>
      <c r="AL1" s="7" t="s">
        <v>57</v>
      </c>
      <c r="AM1" s="8" t="s">
        <v>37</v>
      </c>
      <c r="AN1" s="7" t="s">
        <v>58</v>
      </c>
      <c r="AO1" s="7" t="s">
        <v>161</v>
      </c>
      <c r="AP1" s="15" t="s">
        <v>33</v>
      </c>
      <c r="AQ1" s="9" t="s">
        <v>36</v>
      </c>
      <c r="AR1" s="7" t="s">
        <v>35</v>
      </c>
      <c r="AS1" s="8" t="s">
        <v>37</v>
      </c>
      <c r="AU1" s="7" t="s">
        <v>48</v>
      </c>
      <c r="AW1" s="7" t="s">
        <v>44</v>
      </c>
      <c r="AY1" s="9"/>
      <c r="AZ1" s="9"/>
      <c r="BA1" s="8"/>
      <c r="BF1" s="7" t="s">
        <v>70</v>
      </c>
      <c r="BG1" s="7" t="s">
        <v>32</v>
      </c>
      <c r="BH1" s="7" t="s">
        <v>71</v>
      </c>
      <c r="BJ1" s="7" t="s">
        <v>69</v>
      </c>
      <c r="BK1" s="7">
        <v>5</v>
      </c>
      <c r="BL1" s="28" t="s">
        <v>142</v>
      </c>
      <c r="BM1" s="28" t="s">
        <v>143</v>
      </c>
      <c r="BN1" s="28" t="s">
        <v>144</v>
      </c>
      <c r="BO1" s="28" t="s">
        <v>145</v>
      </c>
      <c r="BP1" s="28" t="s">
        <v>156</v>
      </c>
      <c r="BQ1" s="28" t="s">
        <v>45</v>
      </c>
      <c r="BR1" s="28" t="s">
        <v>41</v>
      </c>
      <c r="BS1" s="28" t="s">
        <v>42</v>
      </c>
      <c r="BT1" s="28" t="s">
        <v>46</v>
      </c>
      <c r="BU1" s="28" t="s">
        <v>82</v>
      </c>
      <c r="BW1" s="28" t="s">
        <v>157</v>
      </c>
      <c r="BX1" s="28" t="s">
        <v>45</v>
      </c>
      <c r="BY1" s="28" t="s">
        <v>41</v>
      </c>
      <c r="BZ1" s="28" t="s">
        <v>42</v>
      </c>
      <c r="CA1" s="28" t="s">
        <v>46</v>
      </c>
      <c r="CB1" s="28" t="s">
        <v>82</v>
      </c>
      <c r="CD1"/>
      <c r="CE1"/>
      <c r="CF1"/>
      <c r="CG1"/>
      <c r="CH1"/>
      <c r="CI1"/>
      <c r="CK1" s="7" t="s">
        <v>178</v>
      </c>
      <c r="CQ1" s="31" t="s">
        <v>185</v>
      </c>
      <c r="CR1"/>
      <c r="CS1"/>
      <c r="CT1"/>
      <c r="CU1"/>
    </row>
    <row r="2" spans="1:99" x14ac:dyDescent="0.35">
      <c r="A2">
        <f t="shared" ref="A2:A3" si="0">ROW()-1</f>
        <v>1</v>
      </c>
      <c r="B2" t="str" cm="1">
        <f t="array" ref="B2">INDEX(tblTrades[token_name],ROW()-1)</f>
        <v>UPTIMIST.</v>
      </c>
      <c r="C2" s="27" cm="1">
        <f t="array" ref="C2">INDEX(tblTrades[entry_date],ROW()-1)</f>
        <v>46176</v>
      </c>
      <c r="D2" s="2" cm="1">
        <f t="array" ref="D2">INDEX(tblTrades[entry_mc_actual],ROW()-1)</f>
        <v>39800</v>
      </c>
      <c r="E2" s="2" cm="1">
        <f t="array" ref="E2">INDEX(tblTrades[exit_mc_actual],ROW()-1)</f>
        <v>41100</v>
      </c>
      <c r="F2" s="3" cm="1">
        <f t="array" ref="F2">INDEX(tblTrades[time_in_trade_seconds],ROW()-1)</f>
        <v>14</v>
      </c>
      <c r="G2" s="4" cm="1">
        <f t="array" ref="G2">IFERROR(INDEX(tblTrades[pnl_percentage],ROW()-1)*1,"")</f>
        <v>-0.01</v>
      </c>
      <c r="H2" s="5" cm="1">
        <f t="array" ref="H2">IFERROR(INDEX(tblTrades[pnl_sol],ROW()-1)*1,"")</f>
        <v>-5.0000000000000001E-3</v>
      </c>
      <c r="I2">
        <f t="shared" ref="I2:I3" si="1">IF(ISNUMBER(G2),IF(G2&gt;0,1,0),"")</f>
        <v>0</v>
      </c>
      <c r="J2" t="str">
        <f t="shared" ref="J2:J3" si="2">IF(ISNUMBER(D2),IF(D2&lt;2000,"Under 2K",IF(D2&lt;5000,"2-5K",IF(D2&lt;10000,"5-10K",IF(D2&lt;20000,"10-20K","20K+")))),"")</f>
        <v>20K+</v>
      </c>
      <c r="K2" t="str">
        <f t="shared" ref="K2:K3" si="3">IF(ISNUMBER(F2),IF(F2=0,"Unknown (0s)",IF(F2&lt;=15,"1-15s",IF(F2&lt;=45,"15-45s",IF(F2&lt;=90,"45-90s","90s+")))),"")</f>
        <v>1-15s</v>
      </c>
      <c r="L2" s="20" cm="1">
        <f t="array" ref="L2">IFERROR(INDEX(tblTrades[sol_invested],ROW()-1),"")</f>
        <v>0.5</v>
      </c>
      <c r="M2" s="1">
        <f>COUNTIFS(tblAnalysis[Token],tblAnalysis[[#This Row],[Token]])</f>
        <v>1</v>
      </c>
      <c r="N2" s="1">
        <f>COUNTIFS($B$2:B2,tblAnalysis[[#This Row],[Token]])</f>
        <v>1</v>
      </c>
      <c r="O2" s="5">
        <f>IFERROR(SUM($H$2:H2),"")</f>
        <v>-5.0000000000000001E-3</v>
      </c>
      <c r="P2" s="6"/>
      <c r="Q2" s="27" cm="1">
        <f t="array" ref="Q2:Q3">IFERROR(_xlfn._xlws.SORT(_xlfn.UNIQUE(_xlfn._xlws.FILTER(tblAnalysis[Date],tblAnalysis[Date]&lt;&gt;""))),"")</f>
        <v>46176</v>
      </c>
      <c r="R2" s="6">
        <f>IF(Q2="","",SUMIFS(tblAnalysis[P&amp;L SOL],tblAnalysis[Date],Q2))</f>
        <v>-5.0000000000000001E-3</v>
      </c>
      <c r="S2" s="10">
        <f>IF(Q2="","",SUMIFS(tblAnalysis[P&amp;L %],tblAnalysis[Date],Q2))</f>
        <v>-0.01</v>
      </c>
      <c r="T2" s="6">
        <f>IF(Q2="","",IFERROR(SUM($R$2:R2),""))</f>
        <v>-5.0000000000000001E-3</v>
      </c>
      <c r="U2">
        <f>IF(Q2="","",COUNTIFS(tblAnalysis[Date],Q2))</f>
        <v>1</v>
      </c>
      <c r="W2" s="27">
        <f>IF(Q2="","",Q2)</f>
        <v>46176</v>
      </c>
      <c r="X2" s="6">
        <f>IF(Q2="","",IF(ROW()=2,0,AA1))</f>
        <v>0</v>
      </c>
      <c r="Y2" s="6">
        <f>IF(Q2="","",MAX(X2,_xlfn.MAXIFS(tblAnalysis[Cum P&amp;L SOL],tblAnalysis[Date],Q2)))</f>
        <v>0</v>
      </c>
      <c r="Z2" s="6">
        <f>IF(Q2="","",MIN(X2,_xlfn.MINIFS(tblAnalysis[Cum P&amp;L SOL],tblAnalysis[Date],Q2)))</f>
        <v>-5.0000000000000001E-3</v>
      </c>
      <c r="AA2" s="6">
        <f>IF(Q2="","",T2)</f>
        <v>-5.0000000000000001E-3</v>
      </c>
      <c r="AB2"/>
      <c r="AC2" s="27">
        <f>IF(Q2="","",Q2)</f>
        <v>46176</v>
      </c>
      <c r="AD2" s="10">
        <f>IF(Q2="","",(Y2-X2)/$BK$1)</f>
        <v>0</v>
      </c>
      <c r="AE2" s="10">
        <f>IF(Q2="","",(Z2-X2)/$BK$1)</f>
        <v>-1E-3</v>
      </c>
      <c r="AF2" s="10">
        <f>IF(Q2="","",(AA2-X2)/$BK$1)</f>
        <v>-1E-3</v>
      </c>
      <c r="AG2"/>
      <c r="AH2">
        <f>IF(Q2="","",IF(AA2&gt;=X2,U2,0))</f>
        <v>0</v>
      </c>
      <c r="AI2">
        <f>IF(Q2="","",IF(AA2&lt;X2,U2,0))</f>
        <v>1</v>
      </c>
      <c r="AK2" cm="1">
        <f t="array" ref="AK2">IFERROR(IF(INDEX($A:$A,ROW())="","",INDEX($A:$A,ROW())),"")</f>
        <v>1</v>
      </c>
      <c r="AL2" cm="1">
        <f t="array" ref="AL2">IFERROR(INDEX(tblTrades[sol_invested],ROW()-1),"")</f>
        <v>0.5</v>
      </c>
      <c r="AM2" s="6" cm="1">
        <f t="array" ref="AM2">IFERROR(INDEX(tblAnalysis[P&amp;L SOL],ROW()-1),"")</f>
        <v>-5.0000000000000001E-3</v>
      </c>
      <c r="AN2" t="str" cm="1">
        <f t="array" ref="AN2">IFERROR(IF(INDEX(tblTrades[sol_invested],ROW()-1)&gt;0.5,INDEX(tblAnalysis[Token],ROW()-1)&amp;" ("&amp;TEXT(INDEX(tblTrades[sol_invested],ROW()-1),"0.0")&amp;" SOL)",""),"")</f>
        <v/>
      </c>
      <c r="AO2" s="7" t="str" cm="1">
        <f t="array" ref="AO2">IF(INDEX(tblTrades[sol_invested],ROW()-1)&gt;0.5,INDEX(tblAnalysis[Cum P&amp;L SOL],ROW()-1),"")</f>
        <v/>
      </c>
      <c r="AP2" s="12" cm="1">
        <f t="array" ref="AP2">IFERROR(INDEX(tblAnalysis[Entry MC ($)],ROW()-1),"")</f>
        <v>39800</v>
      </c>
      <c r="AQ2" s="10" cm="1">
        <f t="array" ref="AQ2">IFERROR(INDEX(tblAnalysis[P&amp;L %],ROW()-1),"")</f>
        <v>-0.01</v>
      </c>
      <c r="AR2" cm="1">
        <f t="array" ref="AR2">IFERROR(INDEX(tblAnalysis[Hold Time (s)],ROW()-1),"")</f>
        <v>14</v>
      </c>
      <c r="AS2" s="6" cm="1">
        <f t="array" ref="AS2">IFERROR(INDEX(tblAnalysis[P&amp;L SOL],ROW()-1),"")</f>
        <v>-5.0000000000000001E-3</v>
      </c>
      <c r="AT2"/>
      <c r="AU2" t="s">
        <v>49</v>
      </c>
      <c r="AW2" s="7" t="s">
        <v>38</v>
      </c>
      <c r="AX2" s="7" t="s">
        <v>45</v>
      </c>
      <c r="AY2" s="7" t="s">
        <v>41</v>
      </c>
      <c r="AZ2" s="7" t="s">
        <v>42</v>
      </c>
      <c r="BA2" s="7" t="s">
        <v>46</v>
      </c>
      <c r="BB2" s="7" t="s">
        <v>82</v>
      </c>
      <c r="BC2" s="7" t="s">
        <v>83</v>
      </c>
      <c r="BF2" t="str">
        <f>IF(W2="","","("&amp;U2&amp;")")</f>
        <v>(1)</v>
      </c>
      <c r="BG2" s="27">
        <f>IF(W2="","",W2)</f>
        <v>46176</v>
      </c>
      <c r="BH2">
        <f>IF(W2="","",-2.5)</f>
        <v>-2.5</v>
      </c>
      <c r="BJ2" t="s">
        <v>43</v>
      </c>
      <c r="BK2" s="10">
        <f>AVERAGE(tblAnalysis[P&amp;L %])</f>
        <v>0.40399999999999997</v>
      </c>
      <c r="BL2" s="29" t="e">
        <f>IF(ISNUMBER(G2),IF(G2&gt;0,G2,NA()),NA())</f>
        <v>#N/A</v>
      </c>
      <c r="BM2" s="29">
        <f>IF(ISNUMBER(G2),IF(G2&lt;=0,G2,NA()),NA())</f>
        <v>-0.01</v>
      </c>
      <c r="BN2" t="s">
        <v>150</v>
      </c>
      <c r="BO2">
        <f>COUNTIFS(tblAnalysis[P&amp;L %],"&gt;=-1",tblAnalysis[P&amp;L %],"&lt;=-0.75")</f>
        <v>0</v>
      </c>
      <c r="BP2" t="s">
        <v>140</v>
      </c>
      <c r="BQ2">
        <f>COUNTIF(tblTrades[trade_type],BP2)</f>
        <v>0</v>
      </c>
      <c r="BR2" s="22">
        <f>IFERROR(COUNTIFS(tblTrades[trade_type],BP2,tblTrades[pnl_sol],"&gt;0")/BQ2,0)</f>
        <v>0</v>
      </c>
      <c r="BS2" s="22">
        <f>IFERROR(AVERAGEIFS(tblTrades[pnl_percentage],tblTrades[trade_type],BP2),0)</f>
        <v>0</v>
      </c>
      <c r="BT2" s="30" t="str">
        <f>TEXT(SUMIFS(tblTrades[pnl_sol],tblTrades[trade_type],BP2),"+0.0;-0.0;0.0")&amp;" SOL"</f>
        <v>0.0 SOL</v>
      </c>
      <c r="BU2" s="22" cm="1">
        <f t="array" ref="BU2">IFERROR(SUMIFS(tblTrades[pnl_sol],tblTrades[trade_type],BP2)/SUMPRODUCT((tblTrades[trade_type]=BP2)*IFERROR(ABS(tblTrades[pnl_sol]/tblTrades[pnl_percentage]),0)),0)</f>
        <v>0</v>
      </c>
      <c r="BW2" t="s">
        <v>158</v>
      </c>
      <c r="BX2">
        <f>COUNTIF(tblTrades[counts_toward_50],1)</f>
        <v>0</v>
      </c>
      <c r="BY2" s="22">
        <f>IFERROR(COUNTIFS(tblTrades[counts_toward_50],1,tblTrades[pnl_sol],"&gt;0")/BX2,0)</f>
        <v>0</v>
      </c>
      <c r="BZ2" s="22">
        <f>IFERROR(AVERAGEIFS(tblTrades[pnl_percentage],tblTrades[counts_toward_50],1),0)</f>
        <v>0</v>
      </c>
      <c r="CA2" s="30" t="str">
        <f>TEXT(SUMIFS(tblTrades[pnl_sol],tblTrades[counts_toward_50],1),"+0.0;-0.0;0.0")&amp;" SOL"</f>
        <v>0.0 SOL</v>
      </c>
      <c r="CB2" s="22" cm="1">
        <f t="array" ref="CB2">IFERROR(SUMIFS(tblTrades[pnl_sol],tblTrades[counts_toward_50],1)/SUMPRODUCT((tblTrades[counts_toward_50]=1)*IFERROR(ABS(tblTrades[pnl_sol]/tblTrades[pnl_percentage]),0)),0)</f>
        <v>0</v>
      </c>
      <c r="CK2" s="31" t="s">
        <v>162</v>
      </c>
      <c r="CL2" s="31" t="s">
        <v>179</v>
      </c>
      <c r="CM2" s="31" t="s">
        <v>41</v>
      </c>
      <c r="CN2" s="31" t="s">
        <v>42</v>
      </c>
      <c r="CO2" s="31" t="s">
        <v>169</v>
      </c>
      <c r="CQ2" s="21" t="s">
        <v>186</v>
      </c>
      <c r="CR2" s="21" t="s">
        <v>45</v>
      </c>
      <c r="CS2" s="21" t="s">
        <v>41</v>
      </c>
      <c r="CT2" s="21" t="s">
        <v>42</v>
      </c>
      <c r="CU2" s="31" t="s">
        <v>169</v>
      </c>
    </row>
    <row r="3" spans="1:99" x14ac:dyDescent="0.35">
      <c r="A3">
        <f t="shared" si="0"/>
        <v>2</v>
      </c>
      <c r="B3" t="str" cm="1">
        <f t="array" ref="B3">INDEX(tblTrades[token_name],ROW()-1)</f>
        <v>ALEXANDER</v>
      </c>
      <c r="C3" s="27" cm="1">
        <f t="array" ref="C3">INDEX(tblTrades[entry_date],ROW()-1)</f>
        <v>46177</v>
      </c>
      <c r="D3" s="2" cm="1">
        <f t="array" ref="D3">INDEX(tblTrades[entry_mc_actual],ROW()-1)</f>
        <v>4520</v>
      </c>
      <c r="E3" s="2" cm="1">
        <f t="array" ref="E3">INDEX(tblTrades[exit_mc_actual],ROW()-1)</f>
        <v>8495</v>
      </c>
      <c r="F3" s="3" cm="1">
        <f t="array" ref="F3">INDEX(tblTrades[time_in_trade_seconds],ROW()-1)</f>
        <v>349</v>
      </c>
      <c r="G3" s="4" cm="1">
        <f t="array" ref="G3">IFERROR(INDEX(tblTrades[pnl_percentage],ROW()-1)*1,"")</f>
        <v>0.81799999999999995</v>
      </c>
      <c r="H3" s="5" cm="1">
        <f t="array" ref="H3">IFERROR(INDEX(tblTrades[pnl_sol],ROW()-1)*1,"")</f>
        <v>0.40899999999999997</v>
      </c>
      <c r="I3">
        <f t="shared" si="1"/>
        <v>1</v>
      </c>
      <c r="J3" t="str">
        <f t="shared" si="2"/>
        <v>2-5K</v>
      </c>
      <c r="K3" t="str">
        <f t="shared" si="3"/>
        <v>90s+</v>
      </c>
      <c r="L3" s="20" cm="1">
        <f t="array" ref="L3">IFERROR(INDEX(tblTrades[sol_invested],ROW()-1),"")</f>
        <v>0.5</v>
      </c>
      <c r="M3" s="1">
        <f>COUNTIFS(tblAnalysis[Token],tblAnalysis[[#This Row],[Token]])</f>
        <v>1</v>
      </c>
      <c r="N3" s="1">
        <f>COUNTIFS($B$2:B3,tblAnalysis[[#This Row],[Token]])</f>
        <v>1</v>
      </c>
      <c r="O3" s="5">
        <f>IFERROR(SUM($H$2:H3),"")</f>
        <v>0.40399999999999997</v>
      </c>
      <c r="P3" s="6"/>
      <c r="Q3" s="27">
        <v>46177</v>
      </c>
      <c r="R3" s="6">
        <f>IF(Q3="","",SUMIFS(tblAnalysis[P&amp;L SOL],tblAnalysis[Date],Q3))</f>
        <v>0.40899999999999997</v>
      </c>
      <c r="S3" s="10">
        <f>IF(Q3="","",SUMIFS(tblAnalysis[P&amp;L %],tblAnalysis[Date],Q3))</f>
        <v>0.81799999999999995</v>
      </c>
      <c r="T3" s="6">
        <f>IF(Q3="","",IFERROR(SUM($R$2:R3),""))</f>
        <v>0.40399999999999997</v>
      </c>
      <c r="U3">
        <f>IF(Q3="","",COUNTIFS(tblAnalysis[Date],Q3))</f>
        <v>1</v>
      </c>
      <c r="W3" s="27">
        <f t="shared" ref="W3:W66" si="4">IF(Q3="","",Q3)</f>
        <v>46177</v>
      </c>
      <c r="X3" s="6">
        <f t="shared" ref="X3:X66" si="5">IF(Q3="","",IF(ROW()=2,0,AA2))</f>
        <v>-5.0000000000000001E-3</v>
      </c>
      <c r="Y3" s="6">
        <f>IF(Q3="","",MAX(X3,_xlfn.MAXIFS(tblAnalysis[Cum P&amp;L SOL],tblAnalysis[Date],Q3)))</f>
        <v>0.40399999999999997</v>
      </c>
      <c r="Z3" s="6">
        <f>IF(Q3="","",MIN(X3,_xlfn.MINIFS(tblAnalysis[Cum P&amp;L SOL],tblAnalysis[Date],Q3)))</f>
        <v>-5.0000000000000001E-3</v>
      </c>
      <c r="AA3" s="6">
        <f t="shared" ref="AA3:AA66" si="6">IF(Q3="","",T3)</f>
        <v>0.40399999999999997</v>
      </c>
      <c r="AB3"/>
      <c r="AC3" s="27">
        <f t="shared" ref="AC3:AC66" si="7">IF(Q3="","",Q3)</f>
        <v>46177</v>
      </c>
      <c r="AD3" s="10">
        <f t="shared" ref="AD3:AD66" si="8">IF(Q3="","",(Y3-X3)/$BK$1)</f>
        <v>8.1799999999999998E-2</v>
      </c>
      <c r="AE3" s="10">
        <f t="shared" ref="AE3:AE66" si="9">IF(Q3="","",(Z3-X3)/$BK$1)</f>
        <v>0</v>
      </c>
      <c r="AF3" s="10">
        <f t="shared" ref="AF3:AF66" si="10">IF(Q3="","",(AA3-X3)/$BK$1)</f>
        <v>8.1799999999999998E-2</v>
      </c>
      <c r="AG3"/>
      <c r="AH3">
        <f t="shared" ref="AH3:AH66" si="11">IF(Q3="","",IF(AA3&gt;=X3,U3,0))</f>
        <v>1</v>
      </c>
      <c r="AI3">
        <f t="shared" ref="AI3:AI66" si="12">IF(Q3="","",IF(AA3&lt;X3,U3,0))</f>
        <v>0</v>
      </c>
      <c r="AK3" cm="1">
        <f t="array" ref="AK3">IFERROR(IF(INDEX($A:$A,ROW())="","",INDEX($A:$A,ROW())),"")</f>
        <v>2</v>
      </c>
      <c r="AL3" cm="1">
        <f t="array" ref="AL3">IFERROR(INDEX(tblTrades[sol_invested],ROW()-1),"")</f>
        <v>0.5</v>
      </c>
      <c r="AM3" s="6" cm="1">
        <f t="array" ref="AM3">IFERROR(INDEX(tblAnalysis[P&amp;L SOL],ROW()-1),"")</f>
        <v>0.40899999999999997</v>
      </c>
      <c r="AN3" t="str" cm="1">
        <f t="array" ref="AN3">IFERROR(IF(INDEX(tblTrades[sol_invested],ROW()-1)&gt;0.5,INDEX(tblAnalysis[Token],ROW()-1)&amp;" ("&amp;TEXT(INDEX(tblTrades[sol_invested],ROW()-1),"0.0")&amp;" SOL)",""),"")</f>
        <v/>
      </c>
      <c r="AO3" s="7" t="str" cm="1">
        <f t="array" ref="AO3">IF(INDEX(tblTrades[sol_invested],ROW()-1)&gt;0.5,INDEX(tblAnalysis[Cum P&amp;L SOL],ROW()-1),"")</f>
        <v/>
      </c>
      <c r="AP3" s="12" cm="1">
        <f t="array" ref="AP3">IFERROR(INDEX(tblAnalysis[Entry MC ($)],ROW()-1),"")</f>
        <v>4520</v>
      </c>
      <c r="AQ3" s="10" cm="1">
        <f t="array" ref="AQ3">IFERROR(INDEX(tblAnalysis[P&amp;L %],ROW()-1),"")</f>
        <v>0.81799999999999995</v>
      </c>
      <c r="AR3" cm="1">
        <f t="array" ref="AR3">IFERROR(INDEX(tblAnalysis[Hold Time (s)],ROW()-1),"")</f>
        <v>349</v>
      </c>
      <c r="AS3" s="6" cm="1">
        <f t="array" ref="AS3">IFERROR(INDEX(tblAnalysis[P&amp;L SOL],ROW()-1),"")</f>
        <v>0.40899999999999997</v>
      </c>
      <c r="AT3"/>
      <c r="AU3" t="s">
        <v>50</v>
      </c>
      <c r="AW3" t="s">
        <v>81</v>
      </c>
      <c r="AX3">
        <f>COUNTIF(tblAnalysis[MC Bucket],AW3)</f>
        <v>0</v>
      </c>
      <c r="AY3" s="16">
        <f>IFERROR(COUNTIFS(tblAnalysis[MC Bucket],AW3,tblAnalysis[Win],1)/AX3,0)</f>
        <v>0</v>
      </c>
      <c r="AZ3" s="16">
        <f>IFERROR(AVERAGEIF(tblAnalysis[MC Bucket],AW3,tblAnalysis[P&amp;L %]),0)</f>
        <v>0</v>
      </c>
      <c r="BA3" s="6">
        <f>SUMIF(tblAnalysis[MC Bucket],AW3,tblAnalysis[P&amp;L SOL])</f>
        <v>0</v>
      </c>
      <c r="BB3" s="16">
        <f t="array" ref="BB3">IFERROR(SUMIFS(tblAnalysis[P&amp;L SOL],tblAnalysis[MC Bucket],AW3)/SUMPRODUCT((tblAnalysis[MC Bucket]=AW3)*IFERROR(ABS(tblAnalysis[P&amp;L SOL]/tblAnalysis[P&amp;L %]),0)),0)</f>
        <v>0</v>
      </c>
      <c r="BC3" s="18" t="str">
        <f>TEXT(BA3,"+0.0;-0.0;0.0")&amp;" SOL"</f>
        <v>0.0 SOL</v>
      </c>
      <c r="BF3" t="str">
        <f t="shared" ref="BF3:BF66" si="13">IF(W3="","","("&amp;U3&amp;")")</f>
        <v>(1)</v>
      </c>
      <c r="BG3" s="27">
        <f t="shared" ref="BG3:BG66" si="14">IF(W3="","",W3)</f>
        <v>46177</v>
      </c>
      <c r="BH3">
        <f t="shared" ref="BH3:BH66" si="15">IF(W3="","",-2.5)</f>
        <v>-2.5</v>
      </c>
      <c r="BL3" s="29">
        <f t="shared" ref="BL3:BL66" si="16">IF(ISNUMBER(G3),IF(G3&gt;0,G3,NA()),NA())</f>
        <v>0.81799999999999995</v>
      </c>
      <c r="BM3" s="29" t="e">
        <f t="shared" ref="BM3:BM66" si="17">IF(ISNUMBER(G3),IF(G3&lt;=0,G3,NA()),NA())</f>
        <v>#N/A</v>
      </c>
      <c r="BN3" t="s">
        <v>151</v>
      </c>
      <c r="BO3">
        <f>COUNTIFS(tblAnalysis[P&amp;L %],"&gt;-0.75",tblAnalysis[P&amp;L %],"&lt;=-0.5")</f>
        <v>0</v>
      </c>
      <c r="BP3" t="s">
        <v>141</v>
      </c>
      <c r="BQ3">
        <f>COUNTIF(tblTrades[trade_type],BP3)</f>
        <v>0</v>
      </c>
      <c r="BR3" s="22">
        <f>IFERROR(COUNTIFS(tblTrades[trade_type],BP3,tblTrades[pnl_sol],"&gt;0")/BQ3,0)</f>
        <v>0</v>
      </c>
      <c r="BS3" s="22">
        <f>IFERROR(AVERAGEIFS(tblTrades[pnl_percentage],tblTrades[trade_type],BP3),0)</f>
        <v>0</v>
      </c>
      <c r="BT3" s="30" t="str">
        <f>TEXT(SUMIFS(tblTrades[pnl_sol],tblTrades[trade_type],BP3),"+0.0;-0.0;0.0")&amp;" SOL"</f>
        <v>0.0 SOL</v>
      </c>
      <c r="BU3" s="22" cm="1">
        <f t="array" ref="BU3">IFERROR(SUMIFS(tblTrades[pnl_sol],tblTrades[trade_type],BP3)/SUMPRODUCT((tblTrades[trade_type]=BP3)*IFERROR(ABS(tblTrades[pnl_sol]/tblTrades[pnl_percentage]),0)),0)</f>
        <v>0</v>
      </c>
      <c r="BW3" t="s">
        <v>159</v>
      </c>
      <c r="BX3">
        <f>COUNTIFS(tblTrades[hard_reset],TRUE,tblTrades[counts_toward_50],0)</f>
        <v>0</v>
      </c>
      <c r="BY3" s="22">
        <f>IFERROR(COUNTIFS(tblTrades[hard_reset],TRUE,tblTrades[counts_toward_50],0,tblTrades[pnl_sol],"&gt;0")/BX3,0)</f>
        <v>0</v>
      </c>
      <c r="BZ3" s="22">
        <f>IFERROR(AVERAGEIFS(tblTrades[pnl_percentage],tblTrades[hard_reset],TRUE,tblTrades[counts_toward_50],0),0)</f>
        <v>0</v>
      </c>
      <c r="CA3" s="30" t="str">
        <f>TEXT(SUMIFS(tblTrades[pnl_sol],tblTrades[hard_reset],TRUE,tblTrades[counts_toward_50],0),"+0.0;-0.0;0.0")&amp;" SOL"</f>
        <v>0.0 SOL</v>
      </c>
      <c r="CB3" s="22" cm="1">
        <f t="array" ref="CB3">IFERROR(SUMIFS(tblTrades[pnl_sol],tblTrades[hard_reset],TRUE,tblTrades[counts_toward_50],0)/SUMPRODUCT((tblTrades[hard_reset]=TRUE)*(tblTrades[counts_toward_50]=0)*IFERROR(ABS(tblTrades[pnl_sol]/tblTrades[pnl_percentage]),0)),0)</f>
        <v>0</v>
      </c>
      <c r="CK3" t="s">
        <v>163</v>
      </c>
      <c r="CL3">
        <f>COUNTIFS(tblTrades[cooldown_bucket],$CK3,tblTrades[is_new_cluster_start],1)</f>
        <v>0</v>
      </c>
      <c r="CM3" s="22">
        <f>IFERROR(AVERAGEIFS(tblTrades[cluster_win],tblTrades[cooldown_bucket],$CK3,tblTrades[is_new_cluster_start],1),0)</f>
        <v>0</v>
      </c>
      <c r="CN3" s="22">
        <f>IFERROR(AVERAGEIFS(tblTrades[cluster_avg_pnl_pct],tblTrades[cooldown_bucket],$CK3,tblTrades[is_new_cluster_start],1),0)</f>
        <v>0</v>
      </c>
      <c r="CO3" s="33">
        <f>SUMIFS(tblTrades[cluster_total_pnl_sol],tblTrades[cooldown_bucket],$CK3,tblTrades[is_new_cluster_start],1)</f>
        <v>0</v>
      </c>
      <c r="CQ3" t="s">
        <v>187</v>
      </c>
      <c r="CR3">
        <f>COUNTIFS(tblTrades[trade_num_in_session],1)</f>
        <v>2</v>
      </c>
      <c r="CS3" s="22" cm="1">
        <f t="array" ref="CS3">IFERROR(SUMPRODUCT((tblTrades[trade_num_in_session]=1)*(tblTrades[pnl_sol]&gt;0))/CR3,0)</f>
        <v>0.5</v>
      </c>
      <c r="CT3" s="22">
        <f>IFERROR(AVERAGEIFS(tblTrades[pnl_percentage],tblTrades[trade_num_in_session],1),0)</f>
        <v>0.40399999999999997</v>
      </c>
      <c r="CU3" s="33">
        <f>SUMIFS(tblTrades[pnl_sol],tblTrades[trade_num_in_session],1)</f>
        <v>0.40399999999999997</v>
      </c>
    </row>
    <row r="4" spans="1:99" x14ac:dyDescent="0.35">
      <c r="A4">
        <f t="shared" ref="A2:A17" si="18">ROW()-1</f>
        <v>3</v>
      </c>
      <c r="B4" t="e" cm="1">
        <f t="array" ref="B4">INDEX(tblTrades[token_name],ROW()-1)</f>
        <v>#REF!</v>
      </c>
      <c r="C4" s="27" t="e" cm="1">
        <f t="array" ref="C4">INDEX(tblTrades[entry_date],ROW()-1)</f>
        <v>#REF!</v>
      </c>
      <c r="D4" s="2" t="e" cm="1">
        <f t="array" ref="D4">INDEX(tblTrades[entry_mc_actual],ROW()-1)</f>
        <v>#REF!</v>
      </c>
      <c r="E4" s="2" t="e" cm="1">
        <f t="array" ref="E4">INDEX(tblTrades[exit_mc_actual],ROW()-1)</f>
        <v>#REF!</v>
      </c>
      <c r="F4" s="3" t="e" cm="1">
        <f t="array" ref="F4">INDEX(tblTrades[time_in_trade_seconds],ROW()-1)</f>
        <v>#REF!</v>
      </c>
      <c r="G4" s="4" t="str" cm="1">
        <f t="array" ref="G4">IFERROR(INDEX(tblTrades[pnl_percentage],ROW()-1)*1,"")</f>
        <v/>
      </c>
      <c r="H4" s="5" t="str" cm="1">
        <f t="array" ref="H4">IFERROR(INDEX(tblTrades[pnl_sol],ROW()-1)*1,"")</f>
        <v/>
      </c>
      <c r="I4" t="str">
        <f t="shared" ref="I2:I17" si="19">IF(ISNUMBER(G4),IF(G4&gt;0,1,0),"")</f>
        <v/>
      </c>
      <c r="J4" t="str">
        <f t="shared" ref="J2:J17" si="20">IF(ISNUMBER(D4),IF(D4&lt;2000,"Under 2K",IF(D4&lt;5000,"2-5K",IF(D4&lt;10000,"5-10K",IF(D4&lt;20000,"10-20K","20K+")))),"")</f>
        <v/>
      </c>
      <c r="K4" t="str">
        <f t="shared" ref="K2:K17" si="21">IF(ISNUMBER(F4),IF(F4=0,"Unknown (0s)",IF(F4&lt;=15,"1-15s",IF(F4&lt;=45,"15-45s",IF(F4&lt;=90,"45-90s","90s+")))),"")</f>
        <v/>
      </c>
      <c r="L4" s="20" t="str" cm="1">
        <f t="array" ref="L4">IFERROR(INDEX(tblTrades[sol_invested],ROW()-1),"")</f>
        <v/>
      </c>
      <c r="M4" s="1">
        <f>COUNTIFS(tblAnalysis[Token],tblAnalysis[[#This Row],[Token]])</f>
        <v>0</v>
      </c>
      <c r="N4" s="1">
        <f>COUNTIFS($B$2:B4,tblAnalysis[[#This Row],[Token]])</f>
        <v>0</v>
      </c>
      <c r="O4" s="5">
        <f>IFERROR(SUM($H$2:H4),"")</f>
        <v>0.40399999999999997</v>
      </c>
      <c r="P4" s="6"/>
      <c r="Q4" s="27"/>
      <c r="R4" s="6" t="str">
        <f>IF(Q4="","",SUMIFS(tblAnalysis[P&amp;L SOL],tblAnalysis[Date],Q4))</f>
        <v/>
      </c>
      <c r="S4" s="10" t="str">
        <f>IF(Q4="","",SUMIFS(tblAnalysis[P&amp;L %],tblAnalysis[Date],Q4))</f>
        <v/>
      </c>
      <c r="T4" s="6" t="str">
        <f>IF(Q4="","",IFERROR(SUM($R$2:R4),""))</f>
        <v/>
      </c>
      <c r="U4" t="str">
        <f>IF(Q4="","",COUNTIFS(tblAnalysis[Date],Q4))</f>
        <v/>
      </c>
      <c r="W4" s="27" t="str">
        <f t="shared" si="4"/>
        <v/>
      </c>
      <c r="X4" s="6" t="str">
        <f t="shared" si="5"/>
        <v/>
      </c>
      <c r="Y4" s="6" t="str">
        <f>IF(Q4="","",MAX(X4,_xlfn.MAXIFS(tblAnalysis[Cum P&amp;L SOL],tblAnalysis[Date],Q4)))</f>
        <v/>
      </c>
      <c r="Z4" s="6" t="str">
        <f>IF(Q4="","",MIN(X4,_xlfn.MINIFS(tblAnalysis[Cum P&amp;L SOL],tblAnalysis[Date],Q4)))</f>
        <v/>
      </c>
      <c r="AA4" s="6" t="str">
        <f t="shared" si="6"/>
        <v/>
      </c>
      <c r="AB4"/>
      <c r="AC4" s="27" t="str">
        <f t="shared" si="7"/>
        <v/>
      </c>
      <c r="AD4" s="10" t="str">
        <f t="shared" si="8"/>
        <v/>
      </c>
      <c r="AE4" s="10" t="str">
        <f t="shared" si="9"/>
        <v/>
      </c>
      <c r="AF4" s="10" t="str">
        <f t="shared" si="10"/>
        <v/>
      </c>
      <c r="AG4"/>
      <c r="AH4" t="str">
        <f t="shared" si="11"/>
        <v/>
      </c>
      <c r="AI4" t="str">
        <f t="shared" si="12"/>
        <v/>
      </c>
      <c r="AK4" cm="1">
        <f t="array" ref="AK4">IFERROR(IF(INDEX($A:$A,ROW())="","",INDEX($A:$A,ROW())),"")</f>
        <v>3</v>
      </c>
      <c r="AL4" t="str" cm="1">
        <f t="array" ref="AL4">IFERROR(INDEX(tblTrades[sol_invested],ROW()-1),"")</f>
        <v/>
      </c>
      <c r="AM4" s="6" t="str" cm="1">
        <f t="array" ref="AM4">IFERROR(INDEX(tblAnalysis[P&amp;L SOL],ROW()-1),"")</f>
        <v/>
      </c>
      <c r="AN4" t="str" cm="1">
        <f t="array" ref="AN4">IFERROR(IF(INDEX(tblTrades[sol_invested],ROW()-1)&gt;0.5,INDEX(tblAnalysis[Token],ROW()-1)&amp;" ("&amp;TEXT(INDEX(tblTrades[sol_invested],ROW()-1),"0.0")&amp;" SOL)",""),"")</f>
        <v/>
      </c>
      <c r="AO4" s="7" t="e" cm="1">
        <f t="array" ref="AO4">IF(INDEX(tblTrades[sol_invested],ROW()-1)&gt;0.5,INDEX(tblAnalysis[Cum P&amp;L SOL],ROW()-1),"")</f>
        <v>#REF!</v>
      </c>
      <c r="AP4" s="12" t="str" cm="1">
        <f t="array" ref="AP4">IFERROR(INDEX(tblAnalysis[Entry MC ($)],ROW()-1),"")</f>
        <v/>
      </c>
      <c r="AQ4" s="10" t="str" cm="1">
        <f t="array" ref="AQ4">IFERROR(INDEX(tblAnalysis[P&amp;L %],ROW()-1),"")</f>
        <v/>
      </c>
      <c r="AR4" t="str" cm="1">
        <f t="array" ref="AR4">IFERROR(INDEX(tblAnalysis[Hold Time (s)],ROW()-1),"")</f>
        <v/>
      </c>
      <c r="AS4" s="6" t="str" cm="1">
        <f t="array" ref="AS4">IFERROR(INDEX(tblAnalysis[P&amp;L SOL],ROW()-1),"")</f>
        <v/>
      </c>
      <c r="AT4"/>
      <c r="AU4" t="s">
        <v>51</v>
      </c>
      <c r="AW4" t="s">
        <v>72</v>
      </c>
      <c r="AX4">
        <f>COUNTIF(tblAnalysis[MC Bucket],AW4)</f>
        <v>1</v>
      </c>
      <c r="AY4" s="16">
        <f>IFERROR(COUNTIFS(tblAnalysis[MC Bucket],AW4,tblAnalysis[Win],1)/AX4,0)</f>
        <v>1</v>
      </c>
      <c r="AZ4" s="16">
        <f>IFERROR(AVERAGEIF(tblAnalysis[MC Bucket],AW4,tblAnalysis[P&amp;L %]),0)</f>
        <v>0.81799999999999995</v>
      </c>
      <c r="BA4" s="6">
        <f>SUMIF(tblAnalysis[MC Bucket],AW4,tblAnalysis[P&amp;L SOL])</f>
        <v>0.40899999999999997</v>
      </c>
      <c r="BB4" s="16">
        <f t="array" ref="BB4">IFERROR(SUMIFS(tblAnalysis[P&amp;L SOL],tblAnalysis[MC Bucket],AW4)/SUMPRODUCT((tblAnalysis[MC Bucket]=AW4)*IFERROR(ABS(tblAnalysis[P&amp;L SOL]/tblAnalysis[P&amp;L %]),0)),0)</f>
        <v>0.81799999999999995</v>
      </c>
      <c r="BC4" s="18" t="str">
        <f>TEXT(BA4,"+0.0;-0.0;0.0")&amp;" SOL"</f>
        <v>+0.4 SOL</v>
      </c>
      <c r="BF4" t="str">
        <f t="shared" si="13"/>
        <v/>
      </c>
      <c r="BG4" s="27" t="str">
        <f t="shared" si="14"/>
        <v/>
      </c>
      <c r="BH4" t="str">
        <f t="shared" si="15"/>
        <v/>
      </c>
      <c r="BL4" s="29" t="e">
        <f t="shared" si="16"/>
        <v>#N/A</v>
      </c>
      <c r="BM4" s="29" t="e">
        <f t="shared" si="17"/>
        <v>#N/A</v>
      </c>
      <c r="BN4" t="s">
        <v>152</v>
      </c>
      <c r="BO4">
        <f>COUNTIFS(tblAnalysis[P&amp;L %],"&gt;-0.5",tblAnalysis[P&amp;L %],"&lt;=-0.25")</f>
        <v>0</v>
      </c>
      <c r="BP4" t="s">
        <v>120</v>
      </c>
      <c r="BQ4">
        <f>COUNTIF(tblTrades[trade_type],BP4)</f>
        <v>2</v>
      </c>
      <c r="BR4" s="22">
        <f>IFERROR(COUNTIFS(tblTrades[trade_type],BP4,tblTrades[pnl_sol],"&gt;0")/BQ4,0)</f>
        <v>0.5</v>
      </c>
      <c r="BS4" s="22">
        <f>IFERROR(AVERAGEIFS(tblTrades[pnl_percentage],tblTrades[trade_type],BP4),0)</f>
        <v>0.40399999999999997</v>
      </c>
      <c r="BT4" s="30" t="str">
        <f>TEXT(SUMIFS(tblTrades[pnl_sol],tblTrades[trade_type],BP4),"+0.0;-0.0;0.0")&amp;" SOL"</f>
        <v>+0.4 SOL</v>
      </c>
      <c r="BU4" s="22" cm="1">
        <f t="array" ref="BU4">IFERROR(SUMIFS(tblTrades[pnl_sol],tblTrades[trade_type],BP4)/SUMPRODUCT((tblTrades[trade_type]=BP4)*IFERROR(ABS(tblTrades[pnl_sol]/tblTrades[pnl_percentage]),0)),0)</f>
        <v>0.40399999999999997</v>
      </c>
      <c r="BW4" t="s">
        <v>160</v>
      </c>
      <c r="BX4">
        <f>COUNTIFS(tblTrades[counts_toward_50],0,tblTrades[hard_reset],FALSE)</f>
        <v>2</v>
      </c>
      <c r="BY4" s="22">
        <f>IFERROR(COUNTIFS(tblTrades[counts_toward_50],0,tblTrades[hard_reset],FALSE,tblTrades[pnl_sol],"&gt;0")/BX4,0)</f>
        <v>0.5</v>
      </c>
      <c r="BZ4" s="22">
        <f>IFERROR(AVERAGEIFS(tblTrades[pnl_percentage],tblTrades[counts_toward_50],0,tblTrades[hard_reset],FALSE),0)</f>
        <v>0.40399999999999997</v>
      </c>
      <c r="CA4" s="30" t="str">
        <f>TEXT(SUMIFS(tblTrades[pnl_sol],tblTrades[counts_toward_50],0,tblTrades[hard_reset],FALSE),"+0.0;-0.0;0.0")&amp;" SOL"</f>
        <v>+0.4 SOL</v>
      </c>
      <c r="CB4" s="22" cm="1">
        <f t="array" ref="CB4">IFERROR(SUMIFS(tblTrades[pnl_sol],tblTrades[counts_toward_50],0,tblTrades[hard_reset],FALSE)/SUMPRODUCT((tblTrades[counts_toward_50]=0)*(tblTrades[hard_reset]=FALSE)*IFERROR(ABS(tblTrades[pnl_sol]/tblTrades[pnl_percentage]),0)),0)</f>
        <v>0.40399999999999997</v>
      </c>
      <c r="CK4" t="s">
        <v>164</v>
      </c>
      <c r="CL4">
        <f>COUNTIFS(tblTrades[cooldown_bucket],$CK4,tblTrades[is_new_cluster_start],1)</f>
        <v>0</v>
      </c>
      <c r="CM4" s="22">
        <f>IFERROR(AVERAGEIFS(tblTrades[cluster_win],tblTrades[cooldown_bucket],$CK4,tblTrades[is_new_cluster_start],1),0)</f>
        <v>0</v>
      </c>
      <c r="CN4" s="22">
        <f>IFERROR(AVERAGEIFS(tblTrades[cluster_avg_pnl_pct],tblTrades[cooldown_bucket],$CK4,tblTrades[is_new_cluster_start],1),0)</f>
        <v>0</v>
      </c>
      <c r="CO4" s="33">
        <f>SUMIFS(tblTrades[cluster_total_pnl_sol],tblTrades[cooldown_bucket],$CK4,tblTrades[is_new_cluster_start],1)</f>
        <v>0</v>
      </c>
      <c r="CQ4" t="s">
        <v>188</v>
      </c>
      <c r="CR4">
        <f>COUNTIFS(tblTrades[trade_num_in_session],"&gt;=1",tblTrades[trade_num_in_session],"&lt;=10")</f>
        <v>2</v>
      </c>
      <c r="CS4" s="22" cm="1">
        <f t="array" ref="CS4">IFERROR(SUMPRODUCT((tblTrades[trade_num_in_session]&gt;=1)*(tblTrades[trade_num_in_session]&lt;=10)*(tblTrades[pnl_sol]&gt;0))/CR4,0)</f>
        <v>0.5</v>
      </c>
      <c r="CT4" s="22">
        <f>IFERROR(AVERAGEIFS(tblTrades[pnl_percentage],tblTrades[trade_num_in_session],"&gt;=1",tblTrades[trade_num_in_session],"&lt;=10"),0)</f>
        <v>0.40399999999999997</v>
      </c>
      <c r="CU4" s="33">
        <f>SUMIFS(tblTrades[pnl_sol],tblTrades[trade_num_in_session],"&gt;=1",tblTrades[trade_num_in_session],"&lt;=10")</f>
        <v>0.40399999999999997</v>
      </c>
    </row>
    <row r="5" spans="1:99" x14ac:dyDescent="0.35">
      <c r="A5">
        <f t="shared" si="18"/>
        <v>4</v>
      </c>
      <c r="B5" t="e" cm="1">
        <f t="array" ref="B5">INDEX(tblTrades[token_name],ROW()-1)</f>
        <v>#REF!</v>
      </c>
      <c r="C5" s="27" t="e" cm="1">
        <f t="array" ref="C5">INDEX(tblTrades[entry_date],ROW()-1)</f>
        <v>#REF!</v>
      </c>
      <c r="D5" s="2" t="e" cm="1">
        <f t="array" ref="D5">INDEX(tblTrades[entry_mc_actual],ROW()-1)</f>
        <v>#REF!</v>
      </c>
      <c r="E5" s="2" t="e" cm="1">
        <f t="array" ref="E5">INDEX(tblTrades[exit_mc_actual],ROW()-1)</f>
        <v>#REF!</v>
      </c>
      <c r="F5" s="3" t="e" cm="1">
        <f t="array" ref="F5">INDEX(tblTrades[time_in_trade_seconds],ROW()-1)</f>
        <v>#REF!</v>
      </c>
      <c r="G5" s="4" t="str" cm="1">
        <f t="array" ref="G5">IFERROR(INDEX(tblTrades[pnl_percentage],ROW()-1)*1,"")</f>
        <v/>
      </c>
      <c r="H5" s="5" t="str" cm="1">
        <f t="array" ref="H5">IFERROR(INDEX(tblTrades[pnl_sol],ROW()-1)*1,"")</f>
        <v/>
      </c>
      <c r="I5" t="str">
        <f t="shared" si="19"/>
        <v/>
      </c>
      <c r="J5" t="str">
        <f t="shared" si="20"/>
        <v/>
      </c>
      <c r="K5" t="str">
        <f t="shared" si="21"/>
        <v/>
      </c>
      <c r="L5" s="20" t="str" cm="1">
        <f t="array" ref="L5">IFERROR(INDEX(tblTrades[sol_invested],ROW()-1),"")</f>
        <v/>
      </c>
      <c r="M5" s="1">
        <f>COUNTIFS(tblAnalysis[Token],tblAnalysis[[#This Row],[Token]])</f>
        <v>0</v>
      </c>
      <c r="N5" s="1">
        <f>COUNTIFS($B$2:B5,tblAnalysis[[#This Row],[Token]])</f>
        <v>0</v>
      </c>
      <c r="O5" s="5">
        <f>IFERROR(SUM($H$2:H5),"")</f>
        <v>0.40399999999999997</v>
      </c>
      <c r="P5" s="6"/>
      <c r="Q5" s="27"/>
      <c r="R5" s="6" t="str">
        <f>IF(Q5="","",SUMIFS(tblAnalysis[P&amp;L SOL],tblAnalysis[Date],Q5))</f>
        <v/>
      </c>
      <c r="S5" s="10" t="str">
        <f>IF(Q5="","",SUMIFS(tblAnalysis[P&amp;L %],tblAnalysis[Date],Q5))</f>
        <v/>
      </c>
      <c r="T5" s="6" t="str">
        <f>IF(Q5="","",IFERROR(SUM($R$2:R5),""))</f>
        <v/>
      </c>
      <c r="U5" t="str">
        <f>IF(Q5="","",COUNTIFS(tblAnalysis[Date],Q5))</f>
        <v/>
      </c>
      <c r="W5" s="27" t="str">
        <f t="shared" si="4"/>
        <v/>
      </c>
      <c r="X5" s="6" t="str">
        <f t="shared" si="5"/>
        <v/>
      </c>
      <c r="Y5" s="6" t="str">
        <f>IF(Q5="","",MAX(X5,_xlfn.MAXIFS(tblAnalysis[Cum P&amp;L SOL],tblAnalysis[Date],Q5)))</f>
        <v/>
      </c>
      <c r="Z5" s="6" t="str">
        <f>IF(Q5="","",MIN(X5,_xlfn.MINIFS(tblAnalysis[Cum P&amp;L SOL],tblAnalysis[Date],Q5)))</f>
        <v/>
      </c>
      <c r="AA5" s="6" t="str">
        <f t="shared" si="6"/>
        <v/>
      </c>
      <c r="AB5"/>
      <c r="AC5" s="27" t="str">
        <f t="shared" si="7"/>
        <v/>
      </c>
      <c r="AD5" s="10" t="str">
        <f t="shared" si="8"/>
        <v/>
      </c>
      <c r="AE5" s="10" t="str">
        <f t="shared" si="9"/>
        <v/>
      </c>
      <c r="AF5" s="10" t="str">
        <f t="shared" si="10"/>
        <v/>
      </c>
      <c r="AG5"/>
      <c r="AH5" t="str">
        <f t="shared" si="11"/>
        <v/>
      </c>
      <c r="AI5" t="str">
        <f t="shared" si="12"/>
        <v/>
      </c>
      <c r="AK5" cm="1">
        <f t="array" ref="AK5">IFERROR(IF(INDEX($A:$A,ROW())="","",INDEX($A:$A,ROW())),"")</f>
        <v>4</v>
      </c>
      <c r="AL5" t="str" cm="1">
        <f t="array" ref="AL5">IFERROR(INDEX(tblTrades[sol_invested],ROW()-1),"")</f>
        <v/>
      </c>
      <c r="AM5" s="6" t="str" cm="1">
        <f t="array" ref="AM5">IFERROR(INDEX(tblAnalysis[P&amp;L SOL],ROW()-1),"")</f>
        <v/>
      </c>
      <c r="AN5" t="str" cm="1">
        <f t="array" ref="AN5">IFERROR(IF(INDEX(tblTrades[sol_invested],ROW()-1)&gt;0.5,INDEX(tblAnalysis[Token],ROW()-1)&amp;" ("&amp;TEXT(INDEX(tblTrades[sol_invested],ROW()-1),"0.0")&amp;" SOL)",""),"")</f>
        <v/>
      </c>
      <c r="AO5" s="7" t="e" cm="1">
        <f t="array" ref="AO5">IF(INDEX(tblTrades[sol_invested],ROW()-1)&gt;0.5,INDEX(tblAnalysis[Cum P&amp;L SOL],ROW()-1),"")</f>
        <v>#REF!</v>
      </c>
      <c r="AP5" s="12" t="str" cm="1">
        <f t="array" ref="AP5">IFERROR(INDEX(tblAnalysis[Entry MC ($)],ROW()-1),"")</f>
        <v/>
      </c>
      <c r="AQ5" s="10" t="str" cm="1">
        <f t="array" ref="AQ5">IFERROR(INDEX(tblAnalysis[P&amp;L %],ROW()-1),"")</f>
        <v/>
      </c>
      <c r="AR5" t="str" cm="1">
        <f t="array" ref="AR5">IFERROR(INDEX(tblAnalysis[Hold Time (s)],ROW()-1),"")</f>
        <v/>
      </c>
      <c r="AS5" s="6" t="str" cm="1">
        <f t="array" ref="AS5">IFERROR(INDEX(tblAnalysis[P&amp;L SOL],ROW()-1),"")</f>
        <v/>
      </c>
      <c r="AT5"/>
      <c r="AU5" t="s">
        <v>52</v>
      </c>
      <c r="AW5" t="s">
        <v>73</v>
      </c>
      <c r="AX5">
        <f>COUNTIF(tblAnalysis[MC Bucket],AW5)</f>
        <v>0</v>
      </c>
      <c r="AY5" s="16">
        <f>IFERROR(COUNTIFS(tblAnalysis[MC Bucket],AW5,tblAnalysis[Win],1)/AX5,0)</f>
        <v>0</v>
      </c>
      <c r="AZ5" s="16">
        <f>IFERROR(AVERAGEIF(tblAnalysis[MC Bucket],AW5,tblAnalysis[P&amp;L %]),0)</f>
        <v>0</v>
      </c>
      <c r="BA5" s="6">
        <f>SUMIF(tblAnalysis[MC Bucket],AW5,tblAnalysis[P&amp;L SOL])</f>
        <v>0</v>
      </c>
      <c r="BB5" s="16">
        <f t="array" ref="BB5">IFERROR(SUMIFS(tblAnalysis[P&amp;L SOL],tblAnalysis[MC Bucket],AW5)/SUMPRODUCT((tblAnalysis[MC Bucket]=AW5)*IFERROR(ABS(tblAnalysis[P&amp;L SOL]/tblAnalysis[P&amp;L %]),0)),0)</f>
        <v>0</v>
      </c>
      <c r="BC5" s="18" t="str">
        <f>TEXT(BA5,"+0.0;-0.0;0.0")&amp;" SOL"</f>
        <v>0.0 SOL</v>
      </c>
      <c r="BF5" t="str">
        <f t="shared" si="13"/>
        <v/>
      </c>
      <c r="BG5" s="27" t="str">
        <f t="shared" si="14"/>
        <v/>
      </c>
      <c r="BH5" t="str">
        <f t="shared" si="15"/>
        <v/>
      </c>
      <c r="BL5" s="29" t="e">
        <f t="shared" si="16"/>
        <v>#N/A</v>
      </c>
      <c r="BM5" s="29" t="e">
        <f t="shared" si="17"/>
        <v>#N/A</v>
      </c>
      <c r="BN5" t="s">
        <v>153</v>
      </c>
      <c r="BO5">
        <f>COUNTIFS(tblAnalysis[P&amp;L %],"&gt;-0.25",tblAnalysis[P&amp;L %],"&lt;=0")</f>
        <v>1</v>
      </c>
      <c r="CK5" t="s">
        <v>165</v>
      </c>
      <c r="CL5">
        <f>COUNTIFS(tblTrades[cooldown_bucket],$CK5,tblTrades[is_new_cluster_start],1)</f>
        <v>0</v>
      </c>
      <c r="CM5" s="22">
        <f>IFERROR(AVERAGEIFS(tblTrades[cluster_win],tblTrades[cooldown_bucket],$CK5,tblTrades[is_new_cluster_start],1),0)</f>
        <v>0</v>
      </c>
      <c r="CN5" s="22">
        <f>IFERROR(AVERAGEIFS(tblTrades[cluster_avg_pnl_pct],tblTrades[cooldown_bucket],$CK5,tblTrades[is_new_cluster_start],1),0)</f>
        <v>0</v>
      </c>
      <c r="CO5" s="33">
        <f>SUMIFS(tblTrades[cluster_total_pnl_sol],tblTrades[cooldown_bucket],$CK5,tblTrades[is_new_cluster_start],1)</f>
        <v>0</v>
      </c>
      <c r="CQ5" t="s">
        <v>189</v>
      </c>
      <c r="CR5">
        <f>COUNTIFS(tblTrades[trade_num_in_session],"&gt;=11",tblTrades[trade_num_in_session],"&lt;=20")</f>
        <v>0</v>
      </c>
      <c r="CS5" s="22" cm="1">
        <f t="array" ref="CS5">IFERROR(SUMPRODUCT((tblTrades[trade_num_in_session]&gt;=11)*(tblTrades[trade_num_in_session]&lt;=20)*(tblTrades[pnl_sol]&gt;0))/CR5,0)</f>
        <v>0</v>
      </c>
      <c r="CT5" s="22">
        <f>IFERROR(AVERAGEIFS(tblTrades[pnl_percentage],tblTrades[trade_num_in_session],"&gt;=11",tblTrades[trade_num_in_session],"&lt;=20"),0)</f>
        <v>0</v>
      </c>
      <c r="CU5" s="33">
        <f>SUMIFS(tblTrades[pnl_sol],tblTrades[trade_num_in_session],"&gt;=11",tblTrades[trade_num_in_session],"&lt;=20")</f>
        <v>0</v>
      </c>
    </row>
    <row r="6" spans="1:99" x14ac:dyDescent="0.35">
      <c r="A6">
        <f t="shared" si="18"/>
        <v>5</v>
      </c>
      <c r="B6" t="e" cm="1">
        <f t="array" ref="B6">INDEX(tblTrades[token_name],ROW()-1)</f>
        <v>#REF!</v>
      </c>
      <c r="C6" s="27" t="e" cm="1">
        <f t="array" ref="C6">INDEX(tblTrades[entry_date],ROW()-1)</f>
        <v>#REF!</v>
      </c>
      <c r="D6" s="2" t="e" cm="1">
        <f t="array" ref="D6">INDEX(tblTrades[entry_mc_actual],ROW()-1)</f>
        <v>#REF!</v>
      </c>
      <c r="E6" s="2" t="e" cm="1">
        <f t="array" ref="E6">INDEX(tblTrades[exit_mc_actual],ROW()-1)</f>
        <v>#REF!</v>
      </c>
      <c r="F6" s="3" t="e" cm="1">
        <f t="array" ref="F6">INDEX(tblTrades[time_in_trade_seconds],ROW()-1)</f>
        <v>#REF!</v>
      </c>
      <c r="G6" s="4" t="str" cm="1">
        <f t="array" ref="G6">IFERROR(INDEX(tblTrades[pnl_percentage],ROW()-1)*1,"")</f>
        <v/>
      </c>
      <c r="H6" s="5" t="str" cm="1">
        <f t="array" ref="H6">IFERROR(INDEX(tblTrades[pnl_sol],ROW()-1)*1,"")</f>
        <v/>
      </c>
      <c r="I6" t="str">
        <f t="shared" si="19"/>
        <v/>
      </c>
      <c r="J6" t="str">
        <f t="shared" si="20"/>
        <v/>
      </c>
      <c r="K6" t="str">
        <f t="shared" si="21"/>
        <v/>
      </c>
      <c r="L6" s="20" t="str" cm="1">
        <f t="array" ref="L6">IFERROR(INDEX(tblTrades[sol_invested],ROW()-1),"")</f>
        <v/>
      </c>
      <c r="M6" s="1">
        <f>COUNTIFS(tblAnalysis[Token],tblAnalysis[[#This Row],[Token]])</f>
        <v>0</v>
      </c>
      <c r="N6" s="1">
        <f>COUNTIFS($B$2:B6,tblAnalysis[[#This Row],[Token]])</f>
        <v>0</v>
      </c>
      <c r="O6" s="5">
        <f>IFERROR(SUM($H$2:H6),"")</f>
        <v>0.40399999999999997</v>
      </c>
      <c r="P6" s="6"/>
      <c r="Q6" s="27"/>
      <c r="R6" s="6" t="str">
        <f>IF(Q6="","",SUMIFS(tblAnalysis[P&amp;L SOL],tblAnalysis[Date],Q6))</f>
        <v/>
      </c>
      <c r="S6" s="10" t="str">
        <f>IF(Q6="","",SUMIFS(tblAnalysis[P&amp;L %],tblAnalysis[Date],Q6))</f>
        <v/>
      </c>
      <c r="T6" s="6" t="str">
        <f>IF(Q6="","",IFERROR(SUM($R$2:R6),""))</f>
        <v/>
      </c>
      <c r="U6" t="str">
        <f>IF(Q6="","",COUNTIFS(tblAnalysis[Date],Q6))</f>
        <v/>
      </c>
      <c r="W6" s="27" t="str">
        <f t="shared" si="4"/>
        <v/>
      </c>
      <c r="X6" s="6" t="str">
        <f t="shared" si="5"/>
        <v/>
      </c>
      <c r="Y6" s="6" t="str">
        <f>IF(Q6="","",MAX(X6,_xlfn.MAXIFS(tblAnalysis[Cum P&amp;L SOL],tblAnalysis[Date],Q6)))</f>
        <v/>
      </c>
      <c r="Z6" s="6" t="str">
        <f>IF(Q6="","",MIN(X6,_xlfn.MINIFS(tblAnalysis[Cum P&amp;L SOL],tblAnalysis[Date],Q6)))</f>
        <v/>
      </c>
      <c r="AA6" s="6" t="str">
        <f t="shared" si="6"/>
        <v/>
      </c>
      <c r="AB6"/>
      <c r="AC6" s="27" t="str">
        <f t="shared" si="7"/>
        <v/>
      </c>
      <c r="AD6" s="10" t="str">
        <f t="shared" si="8"/>
        <v/>
      </c>
      <c r="AE6" s="10" t="str">
        <f t="shared" si="9"/>
        <v/>
      </c>
      <c r="AF6" s="10" t="str">
        <f t="shared" si="10"/>
        <v/>
      </c>
      <c r="AG6"/>
      <c r="AH6" t="str">
        <f t="shared" si="11"/>
        <v/>
      </c>
      <c r="AI6" t="str">
        <f t="shared" si="12"/>
        <v/>
      </c>
      <c r="AK6" cm="1">
        <f t="array" ref="AK6">IFERROR(IF(INDEX($A:$A,ROW())="","",INDEX($A:$A,ROW())),"")</f>
        <v>5</v>
      </c>
      <c r="AL6" t="str" cm="1">
        <f t="array" ref="AL6">IFERROR(INDEX(tblTrades[sol_invested],ROW()-1),"")</f>
        <v/>
      </c>
      <c r="AM6" s="6" t="str" cm="1">
        <f t="array" ref="AM6">IFERROR(INDEX(tblAnalysis[P&amp;L SOL],ROW()-1),"")</f>
        <v/>
      </c>
      <c r="AN6" t="str" cm="1">
        <f t="array" ref="AN6">IFERROR(IF(INDEX(tblTrades[sol_invested],ROW()-1)&gt;0.5,INDEX(tblAnalysis[Token],ROW()-1)&amp;" ("&amp;TEXT(INDEX(tblTrades[sol_invested],ROW()-1),"0.0")&amp;" SOL)",""),"")</f>
        <v/>
      </c>
      <c r="AO6" s="7" t="e" cm="1">
        <f t="array" ref="AO6">IF(INDEX(tblTrades[sol_invested],ROW()-1)&gt;0.5,INDEX(tblAnalysis[Cum P&amp;L SOL],ROW()-1),"")</f>
        <v>#REF!</v>
      </c>
      <c r="AP6" s="12" t="str" cm="1">
        <f t="array" ref="AP6">IFERROR(INDEX(tblAnalysis[Entry MC ($)],ROW()-1),"")</f>
        <v/>
      </c>
      <c r="AQ6" s="10" t="str" cm="1">
        <f t="array" ref="AQ6">IFERROR(INDEX(tblAnalysis[P&amp;L %],ROW()-1),"")</f>
        <v/>
      </c>
      <c r="AR6" t="str" cm="1">
        <f t="array" ref="AR6">IFERROR(INDEX(tblAnalysis[Hold Time (s)],ROW()-1),"")</f>
        <v/>
      </c>
      <c r="AS6" s="6" t="str" cm="1">
        <f t="array" ref="AS6">IFERROR(INDEX(tblAnalysis[P&amp;L SOL],ROW()-1),"")</f>
        <v/>
      </c>
      <c r="AT6"/>
      <c r="AU6" t="s">
        <v>53</v>
      </c>
      <c r="AW6" t="s">
        <v>74</v>
      </c>
      <c r="AX6">
        <f>COUNTIF(tblAnalysis[MC Bucket],AW6)</f>
        <v>0</v>
      </c>
      <c r="AY6" s="16">
        <f>IFERROR(COUNTIFS(tblAnalysis[MC Bucket],AW6,tblAnalysis[Win],1)/AX6,0)</f>
        <v>0</v>
      </c>
      <c r="AZ6" s="16">
        <f>IFERROR(AVERAGEIF(tblAnalysis[MC Bucket],AW6,tblAnalysis[P&amp;L %]),0)</f>
        <v>0</v>
      </c>
      <c r="BA6" s="6">
        <f>SUMIF(tblAnalysis[MC Bucket],AW6,tblAnalysis[P&amp;L SOL])</f>
        <v>0</v>
      </c>
      <c r="BB6" s="16">
        <f t="array" ref="BB6">IFERROR(SUMIFS(tblAnalysis[P&amp;L SOL],tblAnalysis[MC Bucket],AW6)/SUMPRODUCT((tblAnalysis[MC Bucket]=AW6)*IFERROR(ABS(tblAnalysis[P&amp;L SOL]/tblAnalysis[P&amp;L %]),0)),0)</f>
        <v>0</v>
      </c>
      <c r="BC6" s="18" t="str">
        <f>TEXT(BA6,"+0.0;-0.0;0.0")&amp;" SOL"</f>
        <v>0.0 SOL</v>
      </c>
      <c r="BF6" t="str">
        <f t="shared" si="13"/>
        <v/>
      </c>
      <c r="BG6" s="27" t="str">
        <f t="shared" si="14"/>
        <v/>
      </c>
      <c r="BH6" t="str">
        <f t="shared" si="15"/>
        <v/>
      </c>
      <c r="BL6" s="29" t="e">
        <f t="shared" si="16"/>
        <v>#N/A</v>
      </c>
      <c r="BM6" s="29" t="e">
        <f t="shared" si="17"/>
        <v>#N/A</v>
      </c>
      <c r="BN6" t="s">
        <v>53</v>
      </c>
      <c r="BO6">
        <f>COUNTIFS(tblAnalysis[P&amp;L %],"&gt;0",tblAnalysis[P&amp;L %],"&lt;=0.25")</f>
        <v>0</v>
      </c>
      <c r="BT6" s="18"/>
      <c r="CK6" t="s">
        <v>166</v>
      </c>
      <c r="CL6">
        <f>COUNTIFS(tblTrades[cooldown_bucket],$CK6,tblTrades[is_new_cluster_start],1)</f>
        <v>0</v>
      </c>
      <c r="CM6" s="22">
        <f>IFERROR(AVERAGEIFS(tblTrades[cluster_win],tblTrades[cooldown_bucket],$CK6,tblTrades[is_new_cluster_start],1),0)</f>
        <v>0</v>
      </c>
      <c r="CN6" s="22">
        <f>IFERROR(AVERAGEIFS(tblTrades[cluster_avg_pnl_pct],tblTrades[cooldown_bucket],$CK6,tblTrades[is_new_cluster_start],1),0)</f>
        <v>0</v>
      </c>
      <c r="CO6" s="33">
        <f>SUMIFS(tblTrades[cluster_total_pnl_sol],tblTrades[cooldown_bucket],$CK6,tblTrades[is_new_cluster_start],1)</f>
        <v>0</v>
      </c>
      <c r="CQ6" t="s">
        <v>190</v>
      </c>
      <c r="CR6">
        <f>COUNTIFS(tblTrades[trade_num_in_session],"&gt;=21",tblTrades[trade_num_in_session],"&lt;=30")</f>
        <v>0</v>
      </c>
      <c r="CS6" s="22" cm="1">
        <f t="array" ref="CS6">IFERROR(SUMPRODUCT((tblTrades[trade_num_in_session]&gt;=21)*(tblTrades[trade_num_in_session]&lt;=30)*(tblTrades[pnl_sol]&gt;0))/CR6,0)</f>
        <v>0</v>
      </c>
      <c r="CT6" s="22">
        <f>IFERROR(AVERAGEIFS(tblTrades[pnl_percentage],tblTrades[trade_num_in_session],"&gt;=21",tblTrades[trade_num_in_session],"&lt;=30"),0)</f>
        <v>0</v>
      </c>
      <c r="CU6" s="33">
        <f>SUMIFS(tblTrades[pnl_sol],tblTrades[trade_num_in_session],"&gt;=21",tblTrades[trade_num_in_session],"&lt;=30")</f>
        <v>0</v>
      </c>
    </row>
    <row r="7" spans="1:99" x14ac:dyDescent="0.35">
      <c r="A7">
        <f t="shared" si="18"/>
        <v>6</v>
      </c>
      <c r="B7" t="e" cm="1">
        <f t="array" ref="B7">INDEX(tblTrades[token_name],ROW()-1)</f>
        <v>#REF!</v>
      </c>
      <c r="C7" s="27" t="e" cm="1">
        <f t="array" ref="C7">INDEX(tblTrades[entry_date],ROW()-1)</f>
        <v>#REF!</v>
      </c>
      <c r="D7" s="2" t="e" cm="1">
        <f t="array" ref="D7">INDEX(tblTrades[entry_mc_actual],ROW()-1)</f>
        <v>#REF!</v>
      </c>
      <c r="E7" s="2" t="e" cm="1">
        <f t="array" ref="E7">INDEX(tblTrades[exit_mc_actual],ROW()-1)</f>
        <v>#REF!</v>
      </c>
      <c r="F7" s="3" t="e" cm="1">
        <f t="array" ref="F7">INDEX(tblTrades[time_in_trade_seconds],ROW()-1)</f>
        <v>#REF!</v>
      </c>
      <c r="G7" s="4" t="str" cm="1">
        <f t="array" ref="G7">IFERROR(INDEX(tblTrades[pnl_percentage],ROW()-1)*1,"")</f>
        <v/>
      </c>
      <c r="H7" s="5" t="str" cm="1">
        <f t="array" ref="H7">IFERROR(INDEX(tblTrades[pnl_sol],ROW()-1)*1,"")</f>
        <v/>
      </c>
      <c r="I7" t="str">
        <f t="shared" si="19"/>
        <v/>
      </c>
      <c r="J7" t="str">
        <f t="shared" si="20"/>
        <v/>
      </c>
      <c r="K7" t="str">
        <f t="shared" si="21"/>
        <v/>
      </c>
      <c r="L7" s="20" t="str" cm="1">
        <f t="array" ref="L7">IFERROR(INDEX(tblTrades[sol_invested],ROW()-1),"")</f>
        <v/>
      </c>
      <c r="M7" s="1">
        <f>COUNTIFS(tblAnalysis[Token],tblAnalysis[[#This Row],[Token]])</f>
        <v>0</v>
      </c>
      <c r="N7" s="1">
        <f>COUNTIFS($B$2:B7,tblAnalysis[[#This Row],[Token]])</f>
        <v>0</v>
      </c>
      <c r="O7" s="5">
        <f>IFERROR(SUM($H$2:H7),"")</f>
        <v>0.40399999999999997</v>
      </c>
      <c r="P7" s="6"/>
      <c r="Q7" s="27"/>
      <c r="R7" s="6" t="str">
        <f>IF(Q7="","",SUMIFS(tblAnalysis[P&amp;L SOL],tblAnalysis[Date],Q7))</f>
        <v/>
      </c>
      <c r="S7" s="10" t="str">
        <f>IF(Q7="","",SUMIFS(tblAnalysis[P&amp;L %],tblAnalysis[Date],Q7))</f>
        <v/>
      </c>
      <c r="T7" s="6" t="str">
        <f>IF(Q7="","",IFERROR(SUM($R$2:R7),""))</f>
        <v/>
      </c>
      <c r="U7" t="str">
        <f>IF(Q7="","",COUNTIFS(tblAnalysis[Date],Q7))</f>
        <v/>
      </c>
      <c r="W7" s="27" t="str">
        <f t="shared" si="4"/>
        <v/>
      </c>
      <c r="X7" s="6" t="str">
        <f t="shared" si="5"/>
        <v/>
      </c>
      <c r="Y7" s="6" t="str">
        <f>IF(Q7="","",MAX(X7,_xlfn.MAXIFS(tblAnalysis[Cum P&amp;L SOL],tblAnalysis[Date],Q7)))</f>
        <v/>
      </c>
      <c r="Z7" s="6" t="str">
        <f>IF(Q7="","",MIN(X7,_xlfn.MINIFS(tblAnalysis[Cum P&amp;L SOL],tblAnalysis[Date],Q7)))</f>
        <v/>
      </c>
      <c r="AA7" s="6" t="str">
        <f t="shared" si="6"/>
        <v/>
      </c>
      <c r="AB7"/>
      <c r="AC7" s="27" t="str">
        <f t="shared" si="7"/>
        <v/>
      </c>
      <c r="AD7" s="10" t="str">
        <f t="shared" si="8"/>
        <v/>
      </c>
      <c r="AE7" s="10" t="str">
        <f t="shared" si="9"/>
        <v/>
      </c>
      <c r="AF7" s="10" t="str">
        <f t="shared" si="10"/>
        <v/>
      </c>
      <c r="AG7"/>
      <c r="AH7" t="str">
        <f t="shared" si="11"/>
        <v/>
      </c>
      <c r="AI7" t="str">
        <f t="shared" si="12"/>
        <v/>
      </c>
      <c r="AK7" cm="1">
        <f t="array" ref="AK7">IFERROR(IF(INDEX($A:$A,ROW())="","",INDEX($A:$A,ROW())),"")</f>
        <v>6</v>
      </c>
      <c r="AL7" t="str" cm="1">
        <f t="array" ref="AL7">IFERROR(INDEX(tblTrades[sol_invested],ROW()-1),"")</f>
        <v/>
      </c>
      <c r="AM7" s="6" t="str" cm="1">
        <f t="array" ref="AM7">IFERROR(INDEX(tblAnalysis[P&amp;L SOL],ROW()-1),"")</f>
        <v/>
      </c>
      <c r="AN7" t="str" cm="1">
        <f t="array" ref="AN7">IFERROR(IF(INDEX(tblTrades[sol_invested],ROW()-1)&gt;0.5,INDEX(tblAnalysis[Token],ROW()-1)&amp;" ("&amp;TEXT(INDEX(tblTrades[sol_invested],ROW()-1),"0.0")&amp;" SOL)",""),"")</f>
        <v/>
      </c>
      <c r="AO7" s="7" t="e" cm="1">
        <f t="array" ref="AO7">IF(INDEX(tblTrades[sol_invested],ROW()-1)&gt;0.5,INDEX(tblAnalysis[Cum P&amp;L SOL],ROW()-1),"")</f>
        <v>#REF!</v>
      </c>
      <c r="AP7" s="12" t="str" cm="1">
        <f t="array" ref="AP7">IFERROR(INDEX(tblAnalysis[Entry MC ($)],ROW()-1),"")</f>
        <v/>
      </c>
      <c r="AQ7" s="10" t="str" cm="1">
        <f t="array" ref="AQ7">IFERROR(INDEX(tblAnalysis[P&amp;L %],ROW()-1),"")</f>
        <v/>
      </c>
      <c r="AR7" t="str" cm="1">
        <f t="array" ref="AR7">IFERROR(INDEX(tblAnalysis[Hold Time (s)],ROW()-1),"")</f>
        <v/>
      </c>
      <c r="AS7" s="6" t="str" cm="1">
        <f t="array" ref="AS7">IFERROR(INDEX(tblAnalysis[P&amp;L SOL],ROW()-1),"")</f>
        <v/>
      </c>
      <c r="AT7"/>
      <c r="AU7" t="s">
        <v>54</v>
      </c>
      <c r="AW7" t="s">
        <v>75</v>
      </c>
      <c r="AX7">
        <f>COUNTIF(tblAnalysis[MC Bucket],AW7)</f>
        <v>1</v>
      </c>
      <c r="AY7" s="16">
        <f>IFERROR(COUNTIFS(tblAnalysis[MC Bucket],AW7,tblAnalysis[Win],1)/AX7,0)</f>
        <v>0</v>
      </c>
      <c r="AZ7" s="16">
        <f>IFERROR(AVERAGEIF(tblAnalysis[MC Bucket],AW7,tblAnalysis[P&amp;L %]),0)</f>
        <v>-0.01</v>
      </c>
      <c r="BA7" s="6">
        <f>SUMIF(tblAnalysis[MC Bucket],AW7,tblAnalysis[P&amp;L SOL])</f>
        <v>-5.0000000000000001E-3</v>
      </c>
      <c r="BB7" s="16">
        <f t="array" ref="BB7">IFERROR(SUMIFS(tblAnalysis[P&amp;L SOL],tblAnalysis[MC Bucket],AW7)/SUMPRODUCT((tblAnalysis[MC Bucket]=AW7)*IFERROR(ABS(tblAnalysis[P&amp;L SOL]/tblAnalysis[P&amp;L %]),0)),0)</f>
        <v>-0.01</v>
      </c>
      <c r="BC7" s="18" t="str">
        <f>TEXT(BA7,"+0.0;-0.0;0.0")&amp;" SOL"</f>
        <v>-0.0 SOL</v>
      </c>
      <c r="BF7" t="str">
        <f t="shared" si="13"/>
        <v/>
      </c>
      <c r="BG7" s="27" t="str">
        <f t="shared" si="14"/>
        <v/>
      </c>
      <c r="BH7" t="str">
        <f t="shared" si="15"/>
        <v/>
      </c>
      <c r="BL7" s="29" t="e">
        <f t="shared" si="16"/>
        <v>#N/A</v>
      </c>
      <c r="BM7" s="29" t="e">
        <f t="shared" si="17"/>
        <v>#N/A</v>
      </c>
      <c r="BN7" t="s">
        <v>54</v>
      </c>
      <c r="BO7">
        <f>COUNTIFS(tblAnalysis[P&amp;L %],"&gt;0.25",tblAnalysis[P&amp;L %],"&lt;=0.5")</f>
        <v>0</v>
      </c>
      <c r="CK7" t="s">
        <v>167</v>
      </c>
      <c r="CL7">
        <f>COUNTIFS(tblTrades[cooldown_bucket],$CK7,tblTrades[is_new_cluster_start],1)</f>
        <v>1</v>
      </c>
      <c r="CM7" s="22">
        <f>IFERROR(AVERAGEIFS(tblTrades[cluster_win],tblTrades[cooldown_bucket],$CK7,tblTrades[is_new_cluster_start],1),0)</f>
        <v>1</v>
      </c>
      <c r="CN7" s="22">
        <f>IFERROR(AVERAGEIFS(tblTrades[cluster_avg_pnl_pct],tblTrades[cooldown_bucket],$CK7,tblTrades[is_new_cluster_start],1),0)</f>
        <v>0.81799999999999995</v>
      </c>
      <c r="CO7" s="33">
        <f>SUMIFS(tblTrades[cluster_total_pnl_sol],tblTrades[cooldown_bucket],$CK7,tblTrades[is_new_cluster_start],1)</f>
        <v>0.40899999999999997</v>
      </c>
      <c r="CQ7" t="s">
        <v>191</v>
      </c>
      <c r="CR7">
        <f>COUNTIFS(tblTrades[trade_num_in_session],"&gt;=31",tblTrades[trade_num_in_session],"&lt;=40")</f>
        <v>0</v>
      </c>
      <c r="CS7" s="22" cm="1">
        <f t="array" ref="CS7">IFERROR(SUMPRODUCT((tblTrades[trade_num_in_session]&gt;=31)*(tblTrades[trade_num_in_session]&lt;=40)*(tblTrades[pnl_sol]&gt;0))/CR7,0)</f>
        <v>0</v>
      </c>
      <c r="CT7" s="22">
        <f>IFERROR(AVERAGEIFS(tblTrades[pnl_percentage],tblTrades[trade_num_in_session],"&gt;=31",tblTrades[trade_num_in_session],"&lt;=40"),0)</f>
        <v>0</v>
      </c>
      <c r="CU7" s="33">
        <f>SUMIFS(tblTrades[pnl_sol],tblTrades[trade_num_in_session],"&gt;=31",tblTrades[trade_num_in_session],"&lt;=40")</f>
        <v>0</v>
      </c>
    </row>
    <row r="8" spans="1:99" x14ac:dyDescent="0.35">
      <c r="A8">
        <f t="shared" si="18"/>
        <v>7</v>
      </c>
      <c r="B8" t="e" cm="1">
        <f t="array" ref="B8">INDEX(tblTrades[token_name],ROW()-1)</f>
        <v>#REF!</v>
      </c>
      <c r="C8" s="27" t="e" cm="1">
        <f t="array" ref="C8">INDEX(tblTrades[entry_date],ROW()-1)</f>
        <v>#REF!</v>
      </c>
      <c r="D8" s="2" t="e" cm="1">
        <f t="array" ref="D8">INDEX(tblTrades[entry_mc_actual],ROW()-1)</f>
        <v>#REF!</v>
      </c>
      <c r="E8" s="2" t="e" cm="1">
        <f t="array" ref="E8">INDEX(tblTrades[exit_mc_actual],ROW()-1)</f>
        <v>#REF!</v>
      </c>
      <c r="F8" s="3" t="e" cm="1">
        <f t="array" ref="F8">INDEX(tblTrades[time_in_trade_seconds],ROW()-1)</f>
        <v>#REF!</v>
      </c>
      <c r="G8" s="4" t="str" cm="1">
        <f t="array" ref="G8">IFERROR(INDEX(tblTrades[pnl_percentage],ROW()-1)*1,"")</f>
        <v/>
      </c>
      <c r="H8" s="5" t="str" cm="1">
        <f t="array" ref="H8">IFERROR(INDEX(tblTrades[pnl_sol],ROW()-1)*1,"")</f>
        <v/>
      </c>
      <c r="I8" t="str">
        <f t="shared" si="19"/>
        <v/>
      </c>
      <c r="J8" t="str">
        <f t="shared" si="20"/>
        <v/>
      </c>
      <c r="K8" t="str">
        <f t="shared" si="21"/>
        <v/>
      </c>
      <c r="L8" s="20" t="str" cm="1">
        <f t="array" ref="L8">IFERROR(INDEX(tblTrades[sol_invested],ROW()-1),"")</f>
        <v/>
      </c>
      <c r="M8" s="1">
        <f>COUNTIFS(tblAnalysis[Token],tblAnalysis[[#This Row],[Token]])</f>
        <v>0</v>
      </c>
      <c r="N8" s="1">
        <f>COUNTIFS($B$2:B8,tblAnalysis[[#This Row],[Token]])</f>
        <v>0</v>
      </c>
      <c r="O8" s="5">
        <f>IFERROR(SUM($H$2:H8),"")</f>
        <v>0.40399999999999997</v>
      </c>
      <c r="P8" s="6"/>
      <c r="Q8" s="27"/>
      <c r="R8" s="6" t="str">
        <f>IF(Q8="","",SUMIFS(tblAnalysis[P&amp;L SOL],tblAnalysis[Date],Q8))</f>
        <v/>
      </c>
      <c r="S8" s="10" t="str">
        <f>IF(Q8="","",SUMIFS(tblAnalysis[P&amp;L %],tblAnalysis[Date],Q8))</f>
        <v/>
      </c>
      <c r="T8" s="6" t="str">
        <f>IF(Q8="","",IFERROR(SUM($R$2:R8),""))</f>
        <v/>
      </c>
      <c r="U8" t="str">
        <f>IF(Q8="","",COUNTIFS(tblAnalysis[Date],Q8))</f>
        <v/>
      </c>
      <c r="W8" s="27" t="str">
        <f t="shared" si="4"/>
        <v/>
      </c>
      <c r="X8" s="6" t="str">
        <f t="shared" si="5"/>
        <v/>
      </c>
      <c r="Y8" s="6" t="str">
        <f>IF(Q8="","",MAX(X8,_xlfn.MAXIFS(tblAnalysis[Cum P&amp;L SOL],tblAnalysis[Date],Q8)))</f>
        <v/>
      </c>
      <c r="Z8" s="6" t="str">
        <f>IF(Q8="","",MIN(X8,_xlfn.MINIFS(tblAnalysis[Cum P&amp;L SOL],tblAnalysis[Date],Q8)))</f>
        <v/>
      </c>
      <c r="AA8" s="6" t="str">
        <f t="shared" si="6"/>
        <v/>
      </c>
      <c r="AB8"/>
      <c r="AC8" s="27" t="str">
        <f t="shared" si="7"/>
        <v/>
      </c>
      <c r="AD8" s="10" t="str">
        <f t="shared" si="8"/>
        <v/>
      </c>
      <c r="AE8" s="10" t="str">
        <f t="shared" si="9"/>
        <v/>
      </c>
      <c r="AF8" s="10" t="str">
        <f t="shared" si="10"/>
        <v/>
      </c>
      <c r="AG8"/>
      <c r="AH8" t="str">
        <f t="shared" si="11"/>
        <v/>
      </c>
      <c r="AI8" t="str">
        <f t="shared" si="12"/>
        <v/>
      </c>
      <c r="AK8" cm="1">
        <f t="array" ref="AK8">IFERROR(IF(INDEX($A:$A,ROW())="","",INDEX($A:$A,ROW())),"")</f>
        <v>7</v>
      </c>
      <c r="AL8" t="str" cm="1">
        <f t="array" ref="AL8">IFERROR(INDEX(tblTrades[sol_invested],ROW()-1),"")</f>
        <v/>
      </c>
      <c r="AM8" s="6" t="str" cm="1">
        <f t="array" ref="AM8">IFERROR(INDEX(tblAnalysis[P&amp;L SOL],ROW()-1),"")</f>
        <v/>
      </c>
      <c r="AN8" t="str" cm="1">
        <f t="array" ref="AN8">IFERROR(IF(INDEX(tblTrades[sol_invested],ROW()-1)&gt;0.5,INDEX(tblAnalysis[Token],ROW()-1)&amp;" ("&amp;TEXT(INDEX(tblTrades[sol_invested],ROW()-1),"0.0")&amp;" SOL)",""),"")</f>
        <v/>
      </c>
      <c r="AO8" s="7" t="e" cm="1">
        <f t="array" ref="AO8">IF(INDEX(tblTrades[sol_invested],ROW()-1)&gt;0.5,INDEX(tblAnalysis[Cum P&amp;L SOL],ROW()-1),"")</f>
        <v>#REF!</v>
      </c>
      <c r="AP8" s="12" t="str" cm="1">
        <f t="array" ref="AP8">IFERROR(INDEX(tblAnalysis[Entry MC ($)],ROW()-1),"")</f>
        <v/>
      </c>
      <c r="AQ8" s="10" t="str" cm="1">
        <f t="array" ref="AQ8">IFERROR(INDEX(tblAnalysis[P&amp;L %],ROW()-1),"")</f>
        <v/>
      </c>
      <c r="AR8" t="str" cm="1">
        <f t="array" ref="AR8">IFERROR(INDEX(tblAnalysis[Hold Time (s)],ROW()-1),"")</f>
        <v/>
      </c>
      <c r="AS8" s="6" t="str" cm="1">
        <f t="array" ref="AS8">IFERROR(INDEX(tblAnalysis[P&amp;L SOL],ROW()-1),"")</f>
        <v/>
      </c>
      <c r="AT8"/>
      <c r="AU8" t="s">
        <v>55</v>
      </c>
      <c r="AY8" s="10"/>
      <c r="AZ8" s="10"/>
      <c r="BA8" s="6"/>
      <c r="BB8"/>
      <c r="BF8" t="str">
        <f t="shared" si="13"/>
        <v/>
      </c>
      <c r="BG8" s="27" t="str">
        <f t="shared" si="14"/>
        <v/>
      </c>
      <c r="BH8" t="str">
        <f t="shared" si="15"/>
        <v/>
      </c>
      <c r="BL8" s="29" t="e">
        <f t="shared" si="16"/>
        <v>#N/A</v>
      </c>
      <c r="BM8" s="29" t="e">
        <f t="shared" si="17"/>
        <v>#N/A</v>
      </c>
      <c r="BN8" t="s">
        <v>146</v>
      </c>
      <c r="BO8">
        <f>COUNTIFS(tblAnalysis[P&amp;L %],"&gt;0.5",tblAnalysis[P&amp;L %],"&lt;=0.75")</f>
        <v>0</v>
      </c>
      <c r="CK8" s="21" t="s">
        <v>168</v>
      </c>
      <c r="CL8" s="21">
        <f>SUM(CL3:CL7)</f>
        <v>1</v>
      </c>
      <c r="CM8" s="32">
        <f>IFERROR(AVERAGEIFS(tblTrades[cluster_win],tblTrades[is_new_cluster_start],1,tblTrades[cooldown_bucket],"&lt;&gt;"),0)</f>
        <v>0.5</v>
      </c>
      <c r="CN8" s="32">
        <f>IFERROR(AVERAGEIFS(tblTrades[cluster_avg_pnl_pct],tblTrades[is_new_cluster_start],1,tblTrades[cooldown_bucket],"&lt;&gt;"),0)</f>
        <v>0.40399999999999997</v>
      </c>
      <c r="CO8" s="33">
        <f>SUM(CO3:CO7)</f>
        <v>0.40899999999999997</v>
      </c>
      <c r="CQ8" t="s">
        <v>192</v>
      </c>
      <c r="CR8">
        <f>COUNTIFS(tblTrades[trade_num_in_session],"&gt;40")</f>
        <v>0</v>
      </c>
      <c r="CS8" s="22" cm="1">
        <f t="array" ref="CS8">IFERROR(SUMPRODUCT((tblTrades[trade_num_in_session]&gt;40)*(tblTrades[pnl_sol]&gt;0))/CR8,0)</f>
        <v>0</v>
      </c>
      <c r="CT8" s="22">
        <f>IFERROR(AVERAGEIFS(tblTrades[pnl_percentage],tblTrades[trade_num_in_session],"&gt;40"),0)</f>
        <v>0</v>
      </c>
      <c r="CU8" s="33">
        <f>SUMIFS(tblTrades[pnl_sol],tblTrades[trade_num_in_session],"&gt;40")</f>
        <v>0</v>
      </c>
    </row>
    <row r="9" spans="1:99" x14ac:dyDescent="0.35">
      <c r="A9">
        <f t="shared" si="18"/>
        <v>8</v>
      </c>
      <c r="B9" t="e" cm="1">
        <f t="array" ref="B9">INDEX(tblTrades[token_name],ROW()-1)</f>
        <v>#REF!</v>
      </c>
      <c r="C9" s="27" t="e" cm="1">
        <f t="array" ref="C9">INDEX(tblTrades[entry_date],ROW()-1)</f>
        <v>#REF!</v>
      </c>
      <c r="D9" s="2" t="e" cm="1">
        <f t="array" ref="D9">INDEX(tblTrades[entry_mc_actual],ROW()-1)</f>
        <v>#REF!</v>
      </c>
      <c r="E9" s="2" t="e" cm="1">
        <f t="array" ref="E9">INDEX(tblTrades[exit_mc_actual],ROW()-1)</f>
        <v>#REF!</v>
      </c>
      <c r="F9" s="3" t="e" cm="1">
        <f t="array" ref="F9">INDEX(tblTrades[time_in_trade_seconds],ROW()-1)</f>
        <v>#REF!</v>
      </c>
      <c r="G9" s="4" t="str" cm="1">
        <f t="array" ref="G9">IFERROR(INDEX(tblTrades[pnl_percentage],ROW()-1)*1,"")</f>
        <v/>
      </c>
      <c r="H9" s="5" t="str" cm="1">
        <f t="array" ref="H9">IFERROR(INDEX(tblTrades[pnl_sol],ROW()-1)*1,"")</f>
        <v/>
      </c>
      <c r="I9" t="str">
        <f t="shared" si="19"/>
        <v/>
      </c>
      <c r="J9" t="str">
        <f t="shared" si="20"/>
        <v/>
      </c>
      <c r="K9" t="str">
        <f t="shared" si="21"/>
        <v/>
      </c>
      <c r="L9" s="20" t="str" cm="1">
        <f t="array" ref="L9">IFERROR(INDEX(tblTrades[sol_invested],ROW()-1),"")</f>
        <v/>
      </c>
      <c r="M9" s="1">
        <f>COUNTIFS(tblAnalysis[Token],tblAnalysis[[#This Row],[Token]])</f>
        <v>0</v>
      </c>
      <c r="N9" s="1">
        <f>COUNTIFS($B$2:B9,tblAnalysis[[#This Row],[Token]])</f>
        <v>0</v>
      </c>
      <c r="O9" s="5">
        <f>IFERROR(SUM($H$2:H9),"")</f>
        <v>0.40399999999999997</v>
      </c>
      <c r="P9" s="6"/>
      <c r="Q9" s="27"/>
      <c r="R9" s="6" t="str">
        <f>IF(Q9="","",SUMIFS(tblAnalysis[P&amp;L SOL],tblAnalysis[Date],Q9))</f>
        <v/>
      </c>
      <c r="S9" s="10" t="str">
        <f>IF(Q9="","",SUMIFS(tblAnalysis[P&amp;L %],tblAnalysis[Date],Q9))</f>
        <v/>
      </c>
      <c r="T9" s="6" t="str">
        <f>IF(Q9="","",IFERROR(SUM($R$2:R9),""))</f>
        <v/>
      </c>
      <c r="U9" t="str">
        <f>IF(Q9="","",COUNTIFS(tblAnalysis[Date],Q9))</f>
        <v/>
      </c>
      <c r="W9" s="27" t="str">
        <f t="shared" si="4"/>
        <v/>
      </c>
      <c r="X9" s="6" t="str">
        <f t="shared" si="5"/>
        <v/>
      </c>
      <c r="Y9" s="6" t="str">
        <f>IF(Q9="","",MAX(X9,_xlfn.MAXIFS(tblAnalysis[Cum P&amp;L SOL],tblAnalysis[Date],Q9)))</f>
        <v/>
      </c>
      <c r="Z9" s="6" t="str">
        <f>IF(Q9="","",MIN(X9,_xlfn.MINIFS(tblAnalysis[Cum P&amp;L SOL],tblAnalysis[Date],Q9)))</f>
        <v/>
      </c>
      <c r="AA9" s="6" t="str">
        <f t="shared" si="6"/>
        <v/>
      </c>
      <c r="AB9"/>
      <c r="AC9" s="27" t="str">
        <f t="shared" si="7"/>
        <v/>
      </c>
      <c r="AD9" s="10" t="str">
        <f t="shared" si="8"/>
        <v/>
      </c>
      <c r="AE9" s="10" t="str">
        <f t="shared" si="9"/>
        <v/>
      </c>
      <c r="AF9" s="10" t="str">
        <f t="shared" si="10"/>
        <v/>
      </c>
      <c r="AG9"/>
      <c r="AH9" t="str">
        <f t="shared" si="11"/>
        <v/>
      </c>
      <c r="AI9" t="str">
        <f t="shared" si="12"/>
        <v/>
      </c>
      <c r="AK9" cm="1">
        <f t="array" ref="AK9">IFERROR(IF(INDEX($A:$A,ROW())="","",INDEX($A:$A,ROW())),"")</f>
        <v>8</v>
      </c>
      <c r="AL9" t="str" cm="1">
        <f t="array" ref="AL9">IFERROR(INDEX(tblTrades[sol_invested],ROW()-1),"")</f>
        <v/>
      </c>
      <c r="AM9" s="6" t="str" cm="1">
        <f t="array" ref="AM9">IFERROR(INDEX(tblAnalysis[P&amp;L SOL],ROW()-1),"")</f>
        <v/>
      </c>
      <c r="AN9" t="str" cm="1">
        <f t="array" ref="AN9">IFERROR(IF(INDEX(tblTrades[sol_invested],ROW()-1)&gt;0.5,INDEX(tblAnalysis[Token],ROW()-1)&amp;" ("&amp;TEXT(INDEX(tblTrades[sol_invested],ROW()-1),"0.0")&amp;" SOL)",""),"")</f>
        <v/>
      </c>
      <c r="AO9" s="7" t="e" cm="1">
        <f t="array" ref="AO9">IF(INDEX(tblTrades[sol_invested],ROW()-1)&gt;0.5,INDEX(tblAnalysis[Cum P&amp;L SOL],ROW()-1),"")</f>
        <v>#REF!</v>
      </c>
      <c r="AP9" s="12" t="str" cm="1">
        <f t="array" ref="AP9">IFERROR(INDEX(tblAnalysis[Entry MC ($)],ROW()-1),"")</f>
        <v/>
      </c>
      <c r="AQ9" s="10" t="str" cm="1">
        <f t="array" ref="AQ9">IFERROR(INDEX(tblAnalysis[P&amp;L %],ROW()-1),"")</f>
        <v/>
      </c>
      <c r="AR9" t="str" cm="1">
        <f t="array" ref="AR9">IFERROR(INDEX(tblAnalysis[Hold Time (s)],ROW()-1),"")</f>
        <v/>
      </c>
      <c r="AS9" s="6" t="str" cm="1">
        <f t="array" ref="AS9">IFERROR(INDEX(tblAnalysis[P&amp;L SOL],ROW()-1),"")</f>
        <v/>
      </c>
      <c r="AT9"/>
      <c r="AU9" t="s">
        <v>56</v>
      </c>
      <c r="AY9" s="10"/>
      <c r="AZ9" s="10"/>
      <c r="BA9" s="6"/>
      <c r="BB9"/>
      <c r="BF9" t="str">
        <f t="shared" si="13"/>
        <v/>
      </c>
      <c r="BG9" s="27" t="str">
        <f t="shared" si="14"/>
        <v/>
      </c>
      <c r="BH9" t="str">
        <f t="shared" si="15"/>
        <v/>
      </c>
      <c r="BL9" s="29" t="e">
        <f t="shared" si="16"/>
        <v>#N/A</v>
      </c>
      <c r="BM9" s="29" t="e">
        <f t="shared" si="17"/>
        <v>#N/A</v>
      </c>
      <c r="BN9" t="s">
        <v>147</v>
      </c>
      <c r="BO9">
        <f>COUNTIFS(tblAnalysis[P&amp;L %],"&gt;0.75",tblAnalysis[P&amp;L %],"&lt;=1")</f>
        <v>1</v>
      </c>
    </row>
    <row r="10" spans="1:99" x14ac:dyDescent="0.35">
      <c r="A10">
        <f t="shared" si="18"/>
        <v>9</v>
      </c>
      <c r="B10" t="e" cm="1">
        <f t="array" ref="B10">INDEX(tblTrades[token_name],ROW()-1)</f>
        <v>#REF!</v>
      </c>
      <c r="C10" s="27" t="e" cm="1">
        <f t="array" ref="C10">INDEX(tblTrades[entry_date],ROW()-1)</f>
        <v>#REF!</v>
      </c>
      <c r="D10" s="2" t="e" cm="1">
        <f t="array" ref="D10">INDEX(tblTrades[entry_mc_actual],ROW()-1)</f>
        <v>#REF!</v>
      </c>
      <c r="E10" s="2" t="e" cm="1">
        <f t="array" ref="E10">INDEX(tblTrades[exit_mc_actual],ROW()-1)</f>
        <v>#REF!</v>
      </c>
      <c r="F10" s="3" t="e" cm="1">
        <f t="array" ref="F10">INDEX(tblTrades[time_in_trade_seconds],ROW()-1)</f>
        <v>#REF!</v>
      </c>
      <c r="G10" s="4" t="str" cm="1">
        <f t="array" ref="G10">IFERROR(INDEX(tblTrades[pnl_percentage],ROW()-1)*1,"")</f>
        <v/>
      </c>
      <c r="H10" s="5" t="str" cm="1">
        <f t="array" ref="H10">IFERROR(INDEX(tblTrades[pnl_sol],ROW()-1)*1,"")</f>
        <v/>
      </c>
      <c r="I10" t="str">
        <f t="shared" si="19"/>
        <v/>
      </c>
      <c r="J10" t="str">
        <f t="shared" si="20"/>
        <v/>
      </c>
      <c r="K10" t="str">
        <f t="shared" si="21"/>
        <v/>
      </c>
      <c r="L10" s="20" t="str" cm="1">
        <f t="array" ref="L10">IFERROR(INDEX(tblTrades[sol_invested],ROW()-1),"")</f>
        <v/>
      </c>
      <c r="M10" s="1">
        <f>COUNTIFS(tblAnalysis[Token],tblAnalysis[[#This Row],[Token]])</f>
        <v>0</v>
      </c>
      <c r="N10" s="1">
        <f>COUNTIFS($B$2:B10,tblAnalysis[[#This Row],[Token]])</f>
        <v>0</v>
      </c>
      <c r="O10" s="5">
        <f>IFERROR(SUM($H$2:H10),"")</f>
        <v>0.40399999999999997</v>
      </c>
      <c r="P10" s="6"/>
      <c r="Q10" s="27"/>
      <c r="R10" s="6" t="str">
        <f>IF(Q10="","",SUMIFS(tblAnalysis[P&amp;L SOL],tblAnalysis[Date],Q10))</f>
        <v/>
      </c>
      <c r="S10" s="10" t="str">
        <f>IF(Q10="","",SUMIFS(tblAnalysis[P&amp;L %],tblAnalysis[Date],Q10))</f>
        <v/>
      </c>
      <c r="T10" s="6" t="str">
        <f>IF(Q10="","",IFERROR(SUM($R$2:R10),""))</f>
        <v/>
      </c>
      <c r="U10" t="str">
        <f>IF(Q10="","",COUNTIFS(tblAnalysis[Date],Q10))</f>
        <v/>
      </c>
      <c r="W10" s="27" t="str">
        <f t="shared" si="4"/>
        <v/>
      </c>
      <c r="X10" s="6" t="str">
        <f t="shared" si="5"/>
        <v/>
      </c>
      <c r="Y10" s="6" t="str">
        <f>IF(Q10="","",MAX(X10,_xlfn.MAXIFS(tblAnalysis[Cum P&amp;L SOL],tblAnalysis[Date],Q10)))</f>
        <v/>
      </c>
      <c r="Z10" s="6" t="str">
        <f>IF(Q10="","",MIN(X10,_xlfn.MINIFS(tblAnalysis[Cum P&amp;L SOL],tblAnalysis[Date],Q10)))</f>
        <v/>
      </c>
      <c r="AA10" s="6" t="str">
        <f t="shared" si="6"/>
        <v/>
      </c>
      <c r="AB10"/>
      <c r="AC10" s="27" t="str">
        <f t="shared" si="7"/>
        <v/>
      </c>
      <c r="AD10" s="10" t="str">
        <f t="shared" si="8"/>
        <v/>
      </c>
      <c r="AE10" s="10" t="str">
        <f t="shared" si="9"/>
        <v/>
      </c>
      <c r="AF10" s="10" t="str">
        <f t="shared" si="10"/>
        <v/>
      </c>
      <c r="AG10"/>
      <c r="AH10" t="str">
        <f t="shared" si="11"/>
        <v/>
      </c>
      <c r="AI10" t="str">
        <f t="shared" si="12"/>
        <v/>
      </c>
      <c r="AK10" cm="1">
        <f t="array" ref="AK10">IFERROR(IF(INDEX($A:$A,ROW())="","",INDEX($A:$A,ROW())),"")</f>
        <v>9</v>
      </c>
      <c r="AL10" t="str" cm="1">
        <f t="array" ref="AL10">IFERROR(INDEX(tblTrades[sol_invested],ROW()-1),"")</f>
        <v/>
      </c>
      <c r="AM10" s="6" t="str" cm="1">
        <f t="array" ref="AM10">IFERROR(INDEX(tblAnalysis[P&amp;L SOL],ROW()-1),"")</f>
        <v/>
      </c>
      <c r="AN10" t="str" cm="1">
        <f t="array" ref="AN10">IFERROR(IF(INDEX(tblTrades[sol_invested],ROW()-1)&gt;0.5,INDEX(tblAnalysis[Token],ROW()-1)&amp;" ("&amp;TEXT(INDEX(tblTrades[sol_invested],ROW()-1),"0.0")&amp;" SOL)",""),"")</f>
        <v/>
      </c>
      <c r="AO10" s="7" t="e" cm="1">
        <f t="array" ref="AO10">IF(INDEX(tblTrades[sol_invested],ROW()-1)&gt;0.5,INDEX(tblAnalysis[Cum P&amp;L SOL],ROW()-1),"")</f>
        <v>#REF!</v>
      </c>
      <c r="AP10" s="12" t="str" cm="1">
        <f t="array" ref="AP10">IFERROR(INDEX(tblAnalysis[Entry MC ($)],ROW()-1),"")</f>
        <v/>
      </c>
      <c r="AQ10" s="10" t="str" cm="1">
        <f t="array" ref="AQ10">IFERROR(INDEX(tblAnalysis[P&amp;L %],ROW()-1),"")</f>
        <v/>
      </c>
      <c r="AR10" t="str" cm="1">
        <f t="array" ref="AR10">IFERROR(INDEX(tblAnalysis[Hold Time (s)],ROW()-1),"")</f>
        <v/>
      </c>
      <c r="AS10" s="6" t="str" cm="1">
        <f t="array" ref="AS10">IFERROR(INDEX(tblAnalysis[P&amp;L SOL],ROW()-1),"")</f>
        <v/>
      </c>
      <c r="AT10"/>
      <c r="AW10" s="7" t="s">
        <v>47</v>
      </c>
      <c r="AY10" s="10"/>
      <c r="AZ10" s="10"/>
      <c r="BA10" s="6"/>
      <c r="BB10"/>
      <c r="BF10" t="str">
        <f t="shared" si="13"/>
        <v/>
      </c>
      <c r="BG10" s="27" t="str">
        <f t="shared" si="14"/>
        <v/>
      </c>
      <c r="BH10" t="str">
        <f t="shared" si="15"/>
        <v/>
      </c>
      <c r="BL10" s="29" t="e">
        <f t="shared" si="16"/>
        <v>#N/A</v>
      </c>
      <c r="BM10" s="29" t="e">
        <f t="shared" si="17"/>
        <v>#N/A</v>
      </c>
      <c r="BN10" t="s">
        <v>148</v>
      </c>
      <c r="BO10">
        <f>COUNTIFS(tblAnalysis[P&amp;L %],"&gt;1",tblAnalysis[P&amp;L %],"&lt;=2")</f>
        <v>0</v>
      </c>
    </row>
    <row r="11" spans="1:99" x14ac:dyDescent="0.35">
      <c r="A11">
        <f t="shared" si="18"/>
        <v>10</v>
      </c>
      <c r="B11" t="e" cm="1">
        <f t="array" ref="B11">INDEX(tblTrades[token_name],ROW()-1)</f>
        <v>#REF!</v>
      </c>
      <c r="C11" s="27" t="e" cm="1">
        <f t="array" ref="C11">INDEX(tblTrades[entry_date],ROW()-1)</f>
        <v>#REF!</v>
      </c>
      <c r="D11" s="2" t="e" cm="1">
        <f t="array" ref="D11">INDEX(tblTrades[entry_mc_actual],ROW()-1)</f>
        <v>#REF!</v>
      </c>
      <c r="E11" s="2" t="e" cm="1">
        <f t="array" ref="E11">INDEX(tblTrades[exit_mc_actual],ROW()-1)</f>
        <v>#REF!</v>
      </c>
      <c r="F11" s="3" t="e" cm="1">
        <f t="array" ref="F11">INDEX(tblTrades[time_in_trade_seconds],ROW()-1)</f>
        <v>#REF!</v>
      </c>
      <c r="G11" s="4" t="str" cm="1">
        <f t="array" ref="G11">IFERROR(INDEX(tblTrades[pnl_percentage],ROW()-1)*1,"")</f>
        <v/>
      </c>
      <c r="H11" s="5" t="str" cm="1">
        <f t="array" ref="H11">IFERROR(INDEX(tblTrades[pnl_sol],ROW()-1)*1,"")</f>
        <v/>
      </c>
      <c r="I11" t="str">
        <f t="shared" si="19"/>
        <v/>
      </c>
      <c r="J11" t="str">
        <f t="shared" si="20"/>
        <v/>
      </c>
      <c r="K11" t="str">
        <f t="shared" si="21"/>
        <v/>
      </c>
      <c r="L11" s="20" t="str" cm="1">
        <f t="array" ref="L11">IFERROR(INDEX(tblTrades[sol_invested],ROW()-1),"")</f>
        <v/>
      </c>
      <c r="M11" s="1">
        <f>COUNTIFS(tblAnalysis[Token],tblAnalysis[[#This Row],[Token]])</f>
        <v>0</v>
      </c>
      <c r="N11" s="1">
        <f>COUNTIFS($B$2:B11,tblAnalysis[[#This Row],[Token]])</f>
        <v>0</v>
      </c>
      <c r="O11" s="5">
        <f>IFERROR(SUM($H$2:H11),"")</f>
        <v>0.40399999999999997</v>
      </c>
      <c r="P11" s="6"/>
      <c r="Q11" s="27"/>
      <c r="R11" s="6" t="str">
        <f>IF(Q11="","",SUMIFS(tblAnalysis[P&amp;L SOL],tblAnalysis[Date],Q11))</f>
        <v/>
      </c>
      <c r="S11" s="10" t="str">
        <f>IF(Q11="","",SUMIFS(tblAnalysis[P&amp;L %],tblAnalysis[Date],Q11))</f>
        <v/>
      </c>
      <c r="T11" s="6" t="str">
        <f>IF(Q11="","",IFERROR(SUM($R$2:R11),""))</f>
        <v/>
      </c>
      <c r="U11" t="str">
        <f>IF(Q11="","",COUNTIFS(tblAnalysis[Date],Q11))</f>
        <v/>
      </c>
      <c r="W11" s="27" t="str">
        <f t="shared" si="4"/>
        <v/>
      </c>
      <c r="X11" s="6" t="str">
        <f t="shared" si="5"/>
        <v/>
      </c>
      <c r="Y11" s="6" t="str">
        <f>IF(Q11="","",MAX(X11,_xlfn.MAXIFS(tblAnalysis[Cum P&amp;L SOL],tblAnalysis[Date],Q11)))</f>
        <v/>
      </c>
      <c r="Z11" s="6" t="str">
        <f>IF(Q11="","",MIN(X11,_xlfn.MINIFS(tblAnalysis[Cum P&amp;L SOL],tblAnalysis[Date],Q11)))</f>
        <v/>
      </c>
      <c r="AA11" s="6" t="str">
        <f t="shared" si="6"/>
        <v/>
      </c>
      <c r="AB11"/>
      <c r="AC11" s="27" t="str">
        <f t="shared" si="7"/>
        <v/>
      </c>
      <c r="AD11" s="10" t="str">
        <f t="shared" si="8"/>
        <v/>
      </c>
      <c r="AE11" s="10" t="str">
        <f t="shared" si="9"/>
        <v/>
      </c>
      <c r="AF11" s="10" t="str">
        <f t="shared" si="10"/>
        <v/>
      </c>
      <c r="AG11"/>
      <c r="AH11" t="str">
        <f t="shared" si="11"/>
        <v/>
      </c>
      <c r="AI11" t="str">
        <f t="shared" si="12"/>
        <v/>
      </c>
      <c r="AK11" cm="1">
        <f t="array" ref="AK11">IFERROR(IF(INDEX($A:$A,ROW())="","",INDEX($A:$A,ROW())),"")</f>
        <v>10</v>
      </c>
      <c r="AL11" t="str" cm="1">
        <f t="array" ref="AL11">IFERROR(INDEX(tblTrades[sol_invested],ROW()-1),"")</f>
        <v/>
      </c>
      <c r="AM11" s="6" t="str" cm="1">
        <f t="array" ref="AM11">IFERROR(INDEX(tblAnalysis[P&amp;L SOL],ROW()-1),"")</f>
        <v/>
      </c>
      <c r="AN11" t="str" cm="1">
        <f t="array" ref="AN11">IFERROR(IF(INDEX(tblTrades[sol_invested],ROW()-1)&gt;0.5,INDEX(tblAnalysis[Token],ROW()-1)&amp;" ("&amp;TEXT(INDEX(tblTrades[sol_invested],ROW()-1),"0.0")&amp;" SOL)",""),"")</f>
        <v/>
      </c>
      <c r="AO11" s="7" t="e" cm="1">
        <f t="array" ref="AO11">IF(INDEX(tblTrades[sol_invested],ROW()-1)&gt;0.5,INDEX(tblAnalysis[Cum P&amp;L SOL],ROW()-1),"")</f>
        <v>#REF!</v>
      </c>
      <c r="AP11" s="12" t="str" cm="1">
        <f t="array" ref="AP11">IFERROR(INDEX(tblAnalysis[Entry MC ($)],ROW()-1),"")</f>
        <v/>
      </c>
      <c r="AQ11" s="10" t="str" cm="1">
        <f t="array" ref="AQ11">IFERROR(INDEX(tblAnalysis[P&amp;L %],ROW()-1),"")</f>
        <v/>
      </c>
      <c r="AR11" t="str" cm="1">
        <f t="array" ref="AR11">IFERROR(INDEX(tblAnalysis[Hold Time (s)],ROW()-1),"")</f>
        <v/>
      </c>
      <c r="AS11" s="6" t="str" cm="1">
        <f t="array" ref="AS11">IFERROR(INDEX(tblAnalysis[P&amp;L SOL],ROW()-1),"")</f>
        <v/>
      </c>
      <c r="AT11"/>
      <c r="AW11" s="7" t="s">
        <v>39</v>
      </c>
      <c r="AX11" s="7" t="s">
        <v>45</v>
      </c>
      <c r="AY11" s="17" t="s">
        <v>41</v>
      </c>
      <c r="AZ11" s="17" t="s">
        <v>42</v>
      </c>
      <c r="BA11" s="8" t="s">
        <v>46</v>
      </c>
      <c r="BB11" s="7" t="s">
        <v>82</v>
      </c>
      <c r="BC11" s="7" t="s">
        <v>83</v>
      </c>
      <c r="BF11" t="str">
        <f t="shared" si="13"/>
        <v/>
      </c>
      <c r="BG11" s="27" t="str">
        <f t="shared" si="14"/>
        <v/>
      </c>
      <c r="BH11" t="str">
        <f t="shared" si="15"/>
        <v/>
      </c>
      <c r="BL11" s="29" t="e">
        <f t="shared" si="16"/>
        <v>#N/A</v>
      </c>
      <c r="BM11" s="29" t="e">
        <f t="shared" si="17"/>
        <v>#N/A</v>
      </c>
      <c r="BN11" t="s">
        <v>149</v>
      </c>
      <c r="BO11">
        <f>COUNTIFS(tblAnalysis[P&amp;L %],"&gt;2")</f>
        <v>0</v>
      </c>
    </row>
    <row r="12" spans="1:99" x14ac:dyDescent="0.35">
      <c r="A12">
        <f t="shared" si="18"/>
        <v>11</v>
      </c>
      <c r="B12" t="e" cm="1">
        <f t="array" ref="B12">INDEX(tblTrades[token_name],ROW()-1)</f>
        <v>#REF!</v>
      </c>
      <c r="C12" s="27" t="e" cm="1">
        <f t="array" ref="C12">INDEX(tblTrades[entry_date],ROW()-1)</f>
        <v>#REF!</v>
      </c>
      <c r="D12" s="2" t="e" cm="1">
        <f t="array" ref="D12">INDEX(tblTrades[entry_mc_actual],ROW()-1)</f>
        <v>#REF!</v>
      </c>
      <c r="E12" s="2" t="e" cm="1">
        <f t="array" ref="E12">INDEX(tblTrades[exit_mc_actual],ROW()-1)</f>
        <v>#REF!</v>
      </c>
      <c r="F12" s="3" t="e" cm="1">
        <f t="array" ref="F12">INDEX(tblTrades[time_in_trade_seconds],ROW()-1)</f>
        <v>#REF!</v>
      </c>
      <c r="G12" s="4" t="str" cm="1">
        <f t="array" ref="G12">IFERROR(INDEX(tblTrades[pnl_percentage],ROW()-1)*1,"")</f>
        <v/>
      </c>
      <c r="H12" s="5" t="str" cm="1">
        <f t="array" ref="H12">IFERROR(INDEX(tblTrades[pnl_sol],ROW()-1)*1,"")</f>
        <v/>
      </c>
      <c r="I12" t="str">
        <f t="shared" si="19"/>
        <v/>
      </c>
      <c r="J12" t="str">
        <f t="shared" si="20"/>
        <v/>
      </c>
      <c r="K12" t="str">
        <f t="shared" si="21"/>
        <v/>
      </c>
      <c r="L12" s="20" t="str" cm="1">
        <f t="array" ref="L12">IFERROR(INDEX(tblTrades[sol_invested],ROW()-1),"")</f>
        <v/>
      </c>
      <c r="M12" s="1">
        <f>COUNTIFS(tblAnalysis[Token],tblAnalysis[[#This Row],[Token]])</f>
        <v>0</v>
      </c>
      <c r="N12" s="1">
        <f>COUNTIFS($B$2:B12,tblAnalysis[[#This Row],[Token]])</f>
        <v>0</v>
      </c>
      <c r="O12" s="5">
        <f>IFERROR(SUM($H$2:H12),"")</f>
        <v>0.40399999999999997</v>
      </c>
      <c r="P12" s="6"/>
      <c r="Q12" s="27"/>
      <c r="R12" s="6" t="str">
        <f>IF(Q12="","",SUMIFS(tblAnalysis[P&amp;L SOL],tblAnalysis[Date],Q12))</f>
        <v/>
      </c>
      <c r="S12" s="10" t="str">
        <f>IF(Q12="","",SUMIFS(tblAnalysis[P&amp;L %],tblAnalysis[Date],Q12))</f>
        <v/>
      </c>
      <c r="T12" s="6" t="str">
        <f>IF(Q12="","",IFERROR(SUM($R$2:R12),""))</f>
        <v/>
      </c>
      <c r="U12" t="str">
        <f>IF(Q12="","",COUNTIFS(tblAnalysis[Date],Q12))</f>
        <v/>
      </c>
      <c r="W12" s="27" t="str">
        <f t="shared" si="4"/>
        <v/>
      </c>
      <c r="X12" s="6" t="str">
        <f t="shared" si="5"/>
        <v/>
      </c>
      <c r="Y12" s="6" t="str">
        <f>IF(Q12="","",MAX(X12,_xlfn.MAXIFS(tblAnalysis[Cum P&amp;L SOL],tblAnalysis[Date],Q12)))</f>
        <v/>
      </c>
      <c r="Z12" s="6" t="str">
        <f>IF(Q12="","",MIN(X12,_xlfn.MINIFS(tblAnalysis[Cum P&amp;L SOL],tblAnalysis[Date],Q12)))</f>
        <v/>
      </c>
      <c r="AA12" s="6" t="str">
        <f t="shared" si="6"/>
        <v/>
      </c>
      <c r="AB12"/>
      <c r="AC12" s="27" t="str">
        <f t="shared" si="7"/>
        <v/>
      </c>
      <c r="AD12" s="10" t="str">
        <f t="shared" si="8"/>
        <v/>
      </c>
      <c r="AE12" s="10" t="str">
        <f t="shared" si="9"/>
        <v/>
      </c>
      <c r="AF12" s="10" t="str">
        <f t="shared" si="10"/>
        <v/>
      </c>
      <c r="AG12"/>
      <c r="AH12" t="str">
        <f t="shared" si="11"/>
        <v/>
      </c>
      <c r="AI12" t="str">
        <f t="shared" si="12"/>
        <v/>
      </c>
      <c r="AK12" cm="1">
        <f t="array" ref="AK12">IFERROR(IF(INDEX($A:$A,ROW())="","",INDEX($A:$A,ROW())),"")</f>
        <v>11</v>
      </c>
      <c r="AL12" t="str" cm="1">
        <f t="array" ref="AL12">IFERROR(INDEX(tblTrades[sol_invested],ROW()-1),"")</f>
        <v/>
      </c>
      <c r="AM12" s="6" t="str" cm="1">
        <f t="array" ref="AM12">IFERROR(INDEX(tblAnalysis[P&amp;L SOL],ROW()-1),"")</f>
        <v/>
      </c>
      <c r="AN12" t="str" cm="1">
        <f t="array" ref="AN12">IFERROR(IF(INDEX(tblTrades[sol_invested],ROW()-1)&gt;0.5,INDEX(tblAnalysis[Token],ROW()-1)&amp;" ("&amp;TEXT(INDEX(tblTrades[sol_invested],ROW()-1),"0.0")&amp;" SOL)",""),"")</f>
        <v/>
      </c>
      <c r="AO12" s="7" t="e" cm="1">
        <f t="array" ref="AO12">IF(INDEX(tblTrades[sol_invested],ROW()-1)&gt;0.5,INDEX(tblAnalysis[Cum P&amp;L SOL],ROW()-1),"")</f>
        <v>#REF!</v>
      </c>
      <c r="AP12" s="12" t="str" cm="1">
        <f t="array" ref="AP12">IFERROR(INDEX(tblAnalysis[Entry MC ($)],ROW()-1),"")</f>
        <v/>
      </c>
      <c r="AQ12" s="10" t="str" cm="1">
        <f t="array" ref="AQ12">IFERROR(INDEX(tblAnalysis[P&amp;L %],ROW()-1),"")</f>
        <v/>
      </c>
      <c r="AR12" t="str" cm="1">
        <f t="array" ref="AR12">IFERROR(INDEX(tblAnalysis[Hold Time (s)],ROW()-1),"")</f>
        <v/>
      </c>
      <c r="AS12" s="6" t="str" cm="1">
        <f t="array" ref="AS12">IFERROR(INDEX(tblAnalysis[P&amp;L SOL],ROW()-1),"")</f>
        <v/>
      </c>
      <c r="AT12"/>
      <c r="AW12" t="s">
        <v>76</v>
      </c>
      <c r="AX12">
        <f>COUNTIF(tblAnalysis[Hold Bucket],AW12)</f>
        <v>0</v>
      </c>
      <c r="AY12" s="10">
        <f>IFERROR(COUNTIFS(tblAnalysis[Hold Bucket],AW12,tblAnalysis[Win],1)/AX12,0)</f>
        <v>0</v>
      </c>
      <c r="AZ12" s="16">
        <f>IFERROR(AVERAGEIF(tblAnalysis[Hold Bucket],AW12,tblAnalysis[P&amp;L %]),0)</f>
        <v>0</v>
      </c>
      <c r="BA12" s="6">
        <f>SUMIF(tblAnalysis[Hold Bucket],AW12,tblAnalysis[P&amp;L SOL])</f>
        <v>0</v>
      </c>
      <c r="BB12" s="16">
        <f t="array" ref="BB12">IFERROR(SUMIFS(tblAnalysis[P&amp;L SOL],tblAnalysis[Hold Bucket],AW12)/SUMPRODUCT((tblAnalysis[Hold Bucket]=AW12)*IFERROR(ABS(tblAnalysis[P&amp;L SOL]/tblAnalysis[P&amp;L %]),0)),0)</f>
        <v>0</v>
      </c>
      <c r="BC12" s="18" t="str">
        <f>TEXT(BA12,"+0.0;-0.0;0.0")&amp;" SOL"</f>
        <v>0.0 SOL</v>
      </c>
      <c r="BF12" t="str">
        <f t="shared" si="13"/>
        <v/>
      </c>
      <c r="BG12" s="27" t="str">
        <f t="shared" si="14"/>
        <v/>
      </c>
      <c r="BH12" t="str">
        <f t="shared" si="15"/>
        <v/>
      </c>
      <c r="BL12" s="29" t="e">
        <f t="shared" si="16"/>
        <v>#N/A</v>
      </c>
      <c r="BM12" s="29" t="e">
        <f t="shared" si="17"/>
        <v>#N/A</v>
      </c>
    </row>
    <row r="13" spans="1:99" x14ac:dyDescent="0.35">
      <c r="A13">
        <f t="shared" si="18"/>
        <v>12</v>
      </c>
      <c r="B13" t="e" cm="1">
        <f t="array" ref="B13">INDEX(tblTrades[token_name],ROW()-1)</f>
        <v>#REF!</v>
      </c>
      <c r="C13" s="27" t="e" cm="1">
        <f t="array" ref="C13">INDEX(tblTrades[entry_date],ROW()-1)</f>
        <v>#REF!</v>
      </c>
      <c r="D13" s="2" t="e" cm="1">
        <f t="array" ref="D13">INDEX(tblTrades[entry_mc_actual],ROW()-1)</f>
        <v>#REF!</v>
      </c>
      <c r="E13" s="2" t="e" cm="1">
        <f t="array" ref="E13">INDEX(tblTrades[exit_mc_actual],ROW()-1)</f>
        <v>#REF!</v>
      </c>
      <c r="F13" s="3" t="e" cm="1">
        <f t="array" ref="F13">INDEX(tblTrades[time_in_trade_seconds],ROW()-1)</f>
        <v>#REF!</v>
      </c>
      <c r="G13" s="4" t="str" cm="1">
        <f t="array" ref="G13">IFERROR(INDEX(tblTrades[pnl_percentage],ROW()-1)*1,"")</f>
        <v/>
      </c>
      <c r="H13" s="5" t="str" cm="1">
        <f t="array" ref="H13">IFERROR(INDEX(tblTrades[pnl_sol],ROW()-1)*1,"")</f>
        <v/>
      </c>
      <c r="I13" t="str">
        <f t="shared" si="19"/>
        <v/>
      </c>
      <c r="J13" t="str">
        <f t="shared" si="20"/>
        <v/>
      </c>
      <c r="K13" t="str">
        <f t="shared" si="21"/>
        <v/>
      </c>
      <c r="L13" s="20" t="str" cm="1">
        <f t="array" ref="L13">IFERROR(INDEX(tblTrades[sol_invested],ROW()-1),"")</f>
        <v/>
      </c>
      <c r="M13" s="1">
        <f>COUNTIFS(tblAnalysis[Token],tblAnalysis[[#This Row],[Token]])</f>
        <v>0</v>
      </c>
      <c r="N13" s="1">
        <f>COUNTIFS($B$2:B13,tblAnalysis[[#This Row],[Token]])</f>
        <v>0</v>
      </c>
      <c r="O13" s="5">
        <f>IFERROR(SUM($H$2:H13),"")</f>
        <v>0.40399999999999997</v>
      </c>
      <c r="P13" s="6"/>
      <c r="Q13" s="27"/>
      <c r="R13" s="6" t="str">
        <f>IF(Q13="","",SUMIFS(tblAnalysis[P&amp;L SOL],tblAnalysis[Date],Q13))</f>
        <v/>
      </c>
      <c r="S13" s="10" t="str">
        <f>IF(Q13="","",SUMIFS(tblAnalysis[P&amp;L %],tblAnalysis[Date],Q13))</f>
        <v/>
      </c>
      <c r="T13" s="6" t="str">
        <f>IF(Q13="","",IFERROR(SUM($R$2:R13),""))</f>
        <v/>
      </c>
      <c r="U13" t="str">
        <f>IF(Q13="","",COUNTIFS(tblAnalysis[Date],Q13))</f>
        <v/>
      </c>
      <c r="W13" s="27" t="str">
        <f t="shared" si="4"/>
        <v/>
      </c>
      <c r="X13" s="6" t="str">
        <f t="shared" si="5"/>
        <v/>
      </c>
      <c r="Y13" s="6" t="str">
        <f>IF(Q13="","",MAX(X13,_xlfn.MAXIFS(tblAnalysis[Cum P&amp;L SOL],tblAnalysis[Date],Q13)))</f>
        <v/>
      </c>
      <c r="Z13" s="6" t="str">
        <f>IF(Q13="","",MIN(X13,_xlfn.MINIFS(tblAnalysis[Cum P&amp;L SOL],tblAnalysis[Date],Q13)))</f>
        <v/>
      </c>
      <c r="AA13" s="6" t="str">
        <f t="shared" si="6"/>
        <v/>
      </c>
      <c r="AB13"/>
      <c r="AC13" s="27" t="str">
        <f t="shared" si="7"/>
        <v/>
      </c>
      <c r="AD13" s="10" t="str">
        <f t="shared" si="8"/>
        <v/>
      </c>
      <c r="AE13" s="10" t="str">
        <f t="shared" si="9"/>
        <v/>
      </c>
      <c r="AF13" s="10" t="str">
        <f t="shared" si="10"/>
        <v/>
      </c>
      <c r="AG13"/>
      <c r="AH13" t="str">
        <f t="shared" si="11"/>
        <v/>
      </c>
      <c r="AI13" t="str">
        <f t="shared" si="12"/>
        <v/>
      </c>
      <c r="AK13" cm="1">
        <f t="array" ref="AK13">IFERROR(IF(INDEX($A:$A,ROW())="","",INDEX($A:$A,ROW())),"")</f>
        <v>12</v>
      </c>
      <c r="AL13" t="str" cm="1">
        <f t="array" ref="AL13">IFERROR(INDEX(tblTrades[sol_invested],ROW()-1),"")</f>
        <v/>
      </c>
      <c r="AM13" s="6" t="str" cm="1">
        <f t="array" ref="AM13">IFERROR(INDEX(tblAnalysis[P&amp;L SOL],ROW()-1),"")</f>
        <v/>
      </c>
      <c r="AN13" t="str" cm="1">
        <f t="array" ref="AN13">IFERROR(IF(INDEX(tblTrades[sol_invested],ROW()-1)&gt;0.5,INDEX(tblAnalysis[Token],ROW()-1)&amp;" ("&amp;TEXT(INDEX(tblTrades[sol_invested],ROW()-1),"0.0")&amp;" SOL)",""),"")</f>
        <v/>
      </c>
      <c r="AO13" s="7" t="e" cm="1">
        <f t="array" ref="AO13">IF(INDEX(tblTrades[sol_invested],ROW()-1)&gt;0.5,INDEX(tblAnalysis[Cum P&amp;L SOL],ROW()-1),"")</f>
        <v>#REF!</v>
      </c>
      <c r="AP13" s="12" t="str" cm="1">
        <f t="array" ref="AP13">IFERROR(INDEX(tblAnalysis[Entry MC ($)],ROW()-1),"")</f>
        <v/>
      </c>
      <c r="AQ13" s="10" t="str" cm="1">
        <f t="array" ref="AQ13">IFERROR(INDEX(tblAnalysis[P&amp;L %],ROW()-1),"")</f>
        <v/>
      </c>
      <c r="AR13" t="str" cm="1">
        <f t="array" ref="AR13">IFERROR(INDEX(tblAnalysis[Hold Time (s)],ROW()-1),"")</f>
        <v/>
      </c>
      <c r="AS13" s="6" t="str" cm="1">
        <f t="array" ref="AS13">IFERROR(INDEX(tblAnalysis[P&amp;L SOL],ROW()-1),"")</f>
        <v/>
      </c>
      <c r="AT13"/>
      <c r="AW13" t="s">
        <v>77</v>
      </c>
      <c r="AX13">
        <f>COUNTIF(tblAnalysis[Hold Bucket],AW13)</f>
        <v>1</v>
      </c>
      <c r="AY13" s="10">
        <f>IFERROR(COUNTIFS(tblAnalysis[Hold Bucket],AW13,tblAnalysis[Win],1)/AX13,0)</f>
        <v>0</v>
      </c>
      <c r="AZ13" s="16">
        <f>IFERROR(AVERAGEIF(tblAnalysis[Hold Bucket],AW13,tblAnalysis[P&amp;L %]),0)</f>
        <v>-0.01</v>
      </c>
      <c r="BA13" s="6">
        <f>SUMIF(tblAnalysis[Hold Bucket],AW13,tblAnalysis[P&amp;L SOL])</f>
        <v>-5.0000000000000001E-3</v>
      </c>
      <c r="BB13" s="16">
        <f t="array" ref="BB13">IFERROR(SUMIFS(tblAnalysis[P&amp;L SOL],tblAnalysis[Hold Bucket],AW13)/SUMPRODUCT((tblAnalysis[Hold Bucket]=AW13)*IFERROR(ABS(tblAnalysis[P&amp;L SOL]/tblAnalysis[P&amp;L %]),0)),0)</f>
        <v>-0.01</v>
      </c>
      <c r="BC13" s="18" t="str">
        <f>TEXT(BA13,"+0.0;-0.0;0.0")&amp;" SOL"</f>
        <v>-0.0 SOL</v>
      </c>
      <c r="BF13" t="str">
        <f t="shared" si="13"/>
        <v/>
      </c>
      <c r="BG13" s="27" t="str">
        <f t="shared" si="14"/>
        <v/>
      </c>
      <c r="BH13" t="str">
        <f t="shared" si="15"/>
        <v/>
      </c>
      <c r="BL13" s="29" t="e">
        <f t="shared" si="16"/>
        <v>#N/A</v>
      </c>
      <c r="BM13" s="29" t="e">
        <f t="shared" si="17"/>
        <v>#N/A</v>
      </c>
    </row>
    <row r="14" spans="1:99" x14ac:dyDescent="0.35">
      <c r="A14">
        <f t="shared" si="18"/>
        <v>13</v>
      </c>
      <c r="B14" t="e" cm="1">
        <f t="array" ref="B14">INDEX(tblTrades[token_name],ROW()-1)</f>
        <v>#REF!</v>
      </c>
      <c r="C14" s="27" t="e" cm="1">
        <f t="array" ref="C14">INDEX(tblTrades[entry_date],ROW()-1)</f>
        <v>#REF!</v>
      </c>
      <c r="D14" s="2" t="e" cm="1">
        <f t="array" ref="D14">INDEX(tblTrades[entry_mc_actual],ROW()-1)</f>
        <v>#REF!</v>
      </c>
      <c r="E14" s="2" t="e" cm="1">
        <f t="array" ref="E14">INDEX(tblTrades[exit_mc_actual],ROW()-1)</f>
        <v>#REF!</v>
      </c>
      <c r="F14" s="3" t="e" cm="1">
        <f t="array" ref="F14">INDEX(tblTrades[time_in_trade_seconds],ROW()-1)</f>
        <v>#REF!</v>
      </c>
      <c r="G14" s="4" t="str" cm="1">
        <f t="array" ref="G14">IFERROR(INDEX(tblTrades[pnl_percentage],ROW()-1)*1,"")</f>
        <v/>
      </c>
      <c r="H14" s="5" t="str" cm="1">
        <f t="array" ref="H14">IFERROR(INDEX(tblTrades[pnl_sol],ROW()-1)*1,"")</f>
        <v/>
      </c>
      <c r="I14" t="str">
        <f t="shared" si="19"/>
        <v/>
      </c>
      <c r="J14" t="str">
        <f t="shared" si="20"/>
        <v/>
      </c>
      <c r="K14" t="str">
        <f t="shared" si="21"/>
        <v/>
      </c>
      <c r="L14" s="20" t="str" cm="1">
        <f t="array" ref="L14">IFERROR(INDEX(tblTrades[sol_invested],ROW()-1),"")</f>
        <v/>
      </c>
      <c r="M14" s="1">
        <f>COUNTIFS(tblAnalysis[Token],tblAnalysis[[#This Row],[Token]])</f>
        <v>0</v>
      </c>
      <c r="N14" s="1">
        <f>COUNTIFS($B$2:B14,tblAnalysis[[#This Row],[Token]])</f>
        <v>0</v>
      </c>
      <c r="O14" s="5">
        <f>IFERROR(SUM($H$2:H14),"")</f>
        <v>0.40399999999999997</v>
      </c>
      <c r="P14" s="6"/>
      <c r="Q14" s="27"/>
      <c r="R14" s="6" t="str">
        <f>IF(Q14="","",SUMIFS(tblAnalysis[P&amp;L SOL],tblAnalysis[Date],Q14))</f>
        <v/>
      </c>
      <c r="S14" s="10" t="str">
        <f>IF(Q14="","",SUMIFS(tblAnalysis[P&amp;L %],tblAnalysis[Date],Q14))</f>
        <v/>
      </c>
      <c r="T14" s="6" t="str">
        <f>IF(Q14="","",IFERROR(SUM($R$2:R14),""))</f>
        <v/>
      </c>
      <c r="U14" t="str">
        <f>IF(Q14="","",COUNTIFS(tblAnalysis[Date],Q14))</f>
        <v/>
      </c>
      <c r="W14" s="27" t="str">
        <f t="shared" si="4"/>
        <v/>
      </c>
      <c r="X14" s="6" t="str">
        <f t="shared" si="5"/>
        <v/>
      </c>
      <c r="Y14" s="6" t="str">
        <f>IF(Q14="","",MAX(X14,_xlfn.MAXIFS(tblAnalysis[Cum P&amp;L SOL],tblAnalysis[Date],Q14)))</f>
        <v/>
      </c>
      <c r="Z14" s="6" t="str">
        <f>IF(Q14="","",MIN(X14,_xlfn.MINIFS(tblAnalysis[Cum P&amp;L SOL],tblAnalysis[Date],Q14)))</f>
        <v/>
      </c>
      <c r="AA14" s="6" t="str">
        <f t="shared" si="6"/>
        <v/>
      </c>
      <c r="AB14"/>
      <c r="AC14" s="27" t="str">
        <f t="shared" si="7"/>
        <v/>
      </c>
      <c r="AD14" s="10" t="str">
        <f t="shared" si="8"/>
        <v/>
      </c>
      <c r="AE14" s="10" t="str">
        <f t="shared" si="9"/>
        <v/>
      </c>
      <c r="AF14" s="10" t="str">
        <f t="shared" si="10"/>
        <v/>
      </c>
      <c r="AG14"/>
      <c r="AH14" t="str">
        <f t="shared" si="11"/>
        <v/>
      </c>
      <c r="AI14" t="str">
        <f t="shared" si="12"/>
        <v/>
      </c>
      <c r="AK14" cm="1">
        <f t="array" ref="AK14">IFERROR(IF(INDEX($A:$A,ROW())="","",INDEX($A:$A,ROW())),"")</f>
        <v>13</v>
      </c>
      <c r="AL14" t="str" cm="1">
        <f t="array" ref="AL14">IFERROR(INDEX(tblTrades[sol_invested],ROW()-1),"")</f>
        <v/>
      </c>
      <c r="AM14" s="6" t="str" cm="1">
        <f t="array" ref="AM14">IFERROR(INDEX(tblAnalysis[P&amp;L SOL],ROW()-1),"")</f>
        <v/>
      </c>
      <c r="AN14" t="str" cm="1">
        <f t="array" ref="AN14">IFERROR(IF(INDEX(tblTrades[sol_invested],ROW()-1)&gt;0.5,INDEX(tblAnalysis[Token],ROW()-1)&amp;" ("&amp;TEXT(INDEX(tblTrades[sol_invested],ROW()-1),"0.0")&amp;" SOL)",""),"")</f>
        <v/>
      </c>
      <c r="AO14" s="7" t="e" cm="1">
        <f t="array" ref="AO14">IF(INDEX(tblTrades[sol_invested],ROW()-1)&gt;0.5,INDEX(tblAnalysis[Cum P&amp;L SOL],ROW()-1),"")</f>
        <v>#REF!</v>
      </c>
      <c r="AP14" s="12" t="str" cm="1">
        <f t="array" ref="AP14">IFERROR(INDEX(tblAnalysis[Entry MC ($)],ROW()-1),"")</f>
        <v/>
      </c>
      <c r="AQ14" s="10" t="str" cm="1">
        <f t="array" ref="AQ14">IFERROR(INDEX(tblAnalysis[P&amp;L %],ROW()-1),"")</f>
        <v/>
      </c>
      <c r="AR14" t="str" cm="1">
        <f t="array" ref="AR14">IFERROR(INDEX(tblAnalysis[Hold Time (s)],ROW()-1),"")</f>
        <v/>
      </c>
      <c r="AS14" s="6" t="str" cm="1">
        <f t="array" ref="AS14">IFERROR(INDEX(tblAnalysis[P&amp;L SOL],ROW()-1),"")</f>
        <v/>
      </c>
      <c r="AT14"/>
      <c r="AW14" t="s">
        <v>78</v>
      </c>
      <c r="AX14">
        <f>COUNTIF(tblAnalysis[Hold Bucket],AW14)</f>
        <v>0</v>
      </c>
      <c r="AY14" s="10">
        <f>IFERROR(COUNTIFS(tblAnalysis[Hold Bucket],AW14,tblAnalysis[Win],1)/AX14,0)</f>
        <v>0</v>
      </c>
      <c r="AZ14" s="16">
        <f>IFERROR(AVERAGEIF(tblAnalysis[Hold Bucket],AW14,tblAnalysis[P&amp;L %]),0)</f>
        <v>0</v>
      </c>
      <c r="BA14" s="6">
        <f>SUMIF(tblAnalysis[Hold Bucket],AW14,tblAnalysis[P&amp;L SOL])</f>
        <v>0</v>
      </c>
      <c r="BB14" s="16">
        <f t="array" ref="BB14">IFERROR(SUMIFS(tblAnalysis[P&amp;L SOL],tblAnalysis[Hold Bucket],AW14)/SUMPRODUCT((tblAnalysis[Hold Bucket]=AW14)*IFERROR(ABS(tblAnalysis[P&amp;L SOL]/tblAnalysis[P&amp;L %]),0)),0)</f>
        <v>0</v>
      </c>
      <c r="BC14" s="18" t="str">
        <f>TEXT(BA14,"+0.0;-0.0;0.0")&amp;" SOL"</f>
        <v>0.0 SOL</v>
      </c>
      <c r="BF14" t="str">
        <f t="shared" si="13"/>
        <v/>
      </c>
      <c r="BG14" s="27" t="str">
        <f t="shared" si="14"/>
        <v/>
      </c>
      <c r="BH14" t="str">
        <f t="shared" si="15"/>
        <v/>
      </c>
      <c r="BL14" s="29" t="e">
        <f t="shared" si="16"/>
        <v>#N/A</v>
      </c>
      <c r="BM14" s="29" t="e">
        <f t="shared" si="17"/>
        <v>#N/A</v>
      </c>
    </row>
    <row r="15" spans="1:99" x14ac:dyDescent="0.35">
      <c r="A15">
        <f t="shared" si="18"/>
        <v>14</v>
      </c>
      <c r="B15" t="e" cm="1">
        <f t="array" ref="B15">INDEX(tblTrades[token_name],ROW()-1)</f>
        <v>#REF!</v>
      </c>
      <c r="C15" s="27" t="e" cm="1">
        <f t="array" ref="C15">INDEX(tblTrades[entry_date],ROW()-1)</f>
        <v>#REF!</v>
      </c>
      <c r="D15" s="2" t="e" cm="1">
        <f t="array" ref="D15">INDEX(tblTrades[entry_mc_actual],ROW()-1)</f>
        <v>#REF!</v>
      </c>
      <c r="E15" s="2" t="e" cm="1">
        <f t="array" ref="E15">INDEX(tblTrades[exit_mc_actual],ROW()-1)</f>
        <v>#REF!</v>
      </c>
      <c r="F15" s="3" t="e" cm="1">
        <f t="array" ref="F15">INDEX(tblTrades[time_in_trade_seconds],ROW()-1)</f>
        <v>#REF!</v>
      </c>
      <c r="G15" s="4" t="str" cm="1">
        <f t="array" ref="G15">IFERROR(INDEX(tblTrades[pnl_percentage],ROW()-1)*1,"")</f>
        <v/>
      </c>
      <c r="H15" s="5" t="str" cm="1">
        <f t="array" ref="H15">IFERROR(INDEX(tblTrades[pnl_sol],ROW()-1)*1,"")</f>
        <v/>
      </c>
      <c r="I15" t="str">
        <f t="shared" si="19"/>
        <v/>
      </c>
      <c r="J15" t="str">
        <f t="shared" si="20"/>
        <v/>
      </c>
      <c r="K15" t="str">
        <f t="shared" si="21"/>
        <v/>
      </c>
      <c r="L15" s="20" t="str" cm="1">
        <f t="array" ref="L15">IFERROR(INDEX(tblTrades[sol_invested],ROW()-1),"")</f>
        <v/>
      </c>
      <c r="M15" s="1">
        <f>COUNTIFS(tblAnalysis[Token],tblAnalysis[[#This Row],[Token]])</f>
        <v>0</v>
      </c>
      <c r="N15" s="1">
        <f>COUNTIFS($B$2:B15,tblAnalysis[[#This Row],[Token]])</f>
        <v>0</v>
      </c>
      <c r="O15" s="5">
        <f>IFERROR(SUM($H$2:H15),"")</f>
        <v>0.40399999999999997</v>
      </c>
      <c r="P15" s="6"/>
      <c r="Q15" s="27"/>
      <c r="R15" s="6" t="str">
        <f>IF(Q15="","",SUMIFS(tblAnalysis[P&amp;L SOL],tblAnalysis[Date],Q15))</f>
        <v/>
      </c>
      <c r="S15" s="10" t="str">
        <f>IF(Q15="","",SUMIFS(tblAnalysis[P&amp;L %],tblAnalysis[Date],Q15))</f>
        <v/>
      </c>
      <c r="T15" s="6" t="str">
        <f>IF(Q15="","",IFERROR(SUM($R$2:R15),""))</f>
        <v/>
      </c>
      <c r="U15" t="str">
        <f>IF(Q15="","",COUNTIFS(tblAnalysis[Date],Q15))</f>
        <v/>
      </c>
      <c r="W15" s="27" t="str">
        <f t="shared" si="4"/>
        <v/>
      </c>
      <c r="X15" s="6" t="str">
        <f t="shared" si="5"/>
        <v/>
      </c>
      <c r="Y15" s="6" t="str">
        <f>IF(Q15="","",MAX(X15,_xlfn.MAXIFS(tblAnalysis[Cum P&amp;L SOL],tblAnalysis[Date],Q15)))</f>
        <v/>
      </c>
      <c r="Z15" s="6" t="str">
        <f>IF(Q15="","",MIN(X15,_xlfn.MINIFS(tblAnalysis[Cum P&amp;L SOL],tblAnalysis[Date],Q15)))</f>
        <v/>
      </c>
      <c r="AA15" s="6" t="str">
        <f t="shared" si="6"/>
        <v/>
      </c>
      <c r="AB15"/>
      <c r="AC15" s="27" t="str">
        <f t="shared" si="7"/>
        <v/>
      </c>
      <c r="AD15" s="10" t="str">
        <f t="shared" si="8"/>
        <v/>
      </c>
      <c r="AE15" s="10" t="str">
        <f t="shared" si="9"/>
        <v/>
      </c>
      <c r="AF15" s="10" t="str">
        <f t="shared" si="10"/>
        <v/>
      </c>
      <c r="AG15"/>
      <c r="AH15" t="str">
        <f t="shared" si="11"/>
        <v/>
      </c>
      <c r="AI15" t="str">
        <f t="shared" si="12"/>
        <v/>
      </c>
      <c r="AK15" cm="1">
        <f t="array" ref="AK15">IFERROR(IF(INDEX($A:$A,ROW())="","",INDEX($A:$A,ROW())),"")</f>
        <v>14</v>
      </c>
      <c r="AL15" t="str" cm="1">
        <f t="array" ref="AL15">IFERROR(INDEX(tblTrades[sol_invested],ROW()-1),"")</f>
        <v/>
      </c>
      <c r="AM15" s="6" t="str" cm="1">
        <f t="array" ref="AM15">IFERROR(INDEX(tblAnalysis[P&amp;L SOL],ROW()-1),"")</f>
        <v/>
      </c>
      <c r="AN15" t="str" cm="1">
        <f t="array" ref="AN15">IFERROR(IF(INDEX(tblTrades[sol_invested],ROW()-1)&gt;0.5,INDEX(tblAnalysis[Token],ROW()-1)&amp;" ("&amp;TEXT(INDEX(tblTrades[sol_invested],ROW()-1),"0.0")&amp;" SOL)",""),"")</f>
        <v/>
      </c>
      <c r="AO15" s="7" t="e" cm="1">
        <f t="array" ref="AO15">IF(INDEX(tblTrades[sol_invested],ROW()-1)&gt;0.5,INDEX(tblAnalysis[Cum P&amp;L SOL],ROW()-1),"")</f>
        <v>#REF!</v>
      </c>
      <c r="AP15" s="12" t="str" cm="1">
        <f t="array" ref="AP15">IFERROR(INDEX(tblAnalysis[Entry MC ($)],ROW()-1),"")</f>
        <v/>
      </c>
      <c r="AQ15" s="10" t="str" cm="1">
        <f t="array" ref="AQ15">IFERROR(INDEX(tblAnalysis[P&amp;L %],ROW()-1),"")</f>
        <v/>
      </c>
      <c r="AR15" t="str" cm="1">
        <f t="array" ref="AR15">IFERROR(INDEX(tblAnalysis[Hold Time (s)],ROW()-1),"")</f>
        <v/>
      </c>
      <c r="AS15" s="6" t="str" cm="1">
        <f t="array" ref="AS15">IFERROR(INDEX(tblAnalysis[P&amp;L SOL],ROW()-1),"")</f>
        <v/>
      </c>
      <c r="AT15"/>
      <c r="AW15" t="s">
        <v>79</v>
      </c>
      <c r="AX15">
        <f>COUNTIF(tblAnalysis[Hold Bucket],AW15)</f>
        <v>0</v>
      </c>
      <c r="AY15" s="10">
        <f>IFERROR(COUNTIFS(tblAnalysis[Hold Bucket],AW15,tblAnalysis[Win],1)/AX15,0)</f>
        <v>0</v>
      </c>
      <c r="AZ15" s="16">
        <f>IFERROR(AVERAGEIF(tblAnalysis[Hold Bucket],AW15,tblAnalysis[P&amp;L %]),0)</f>
        <v>0</v>
      </c>
      <c r="BA15" s="6">
        <f>SUMIF(tblAnalysis[Hold Bucket],AW15,tblAnalysis[P&amp;L SOL])</f>
        <v>0</v>
      </c>
      <c r="BB15" s="16">
        <f t="array" ref="BB15">IFERROR(SUMIFS(tblAnalysis[P&amp;L SOL],tblAnalysis[Hold Bucket],AW15)/SUMPRODUCT((tblAnalysis[Hold Bucket]=AW15)*IFERROR(ABS(tblAnalysis[P&amp;L SOL]/tblAnalysis[P&amp;L %]),0)),0)</f>
        <v>0</v>
      </c>
      <c r="BC15" s="18" t="str">
        <f>TEXT(BA15,"+0.0;-0.0;0.0")&amp;" SOL"</f>
        <v>0.0 SOL</v>
      </c>
      <c r="BF15" t="str">
        <f t="shared" si="13"/>
        <v/>
      </c>
      <c r="BG15" s="27" t="str">
        <f t="shared" si="14"/>
        <v/>
      </c>
      <c r="BH15" t="str">
        <f t="shared" si="15"/>
        <v/>
      </c>
      <c r="BL15" s="29" t="e">
        <f t="shared" si="16"/>
        <v>#N/A</v>
      </c>
      <c r="BM15" s="29" t="e">
        <f t="shared" si="17"/>
        <v>#N/A</v>
      </c>
    </row>
    <row r="16" spans="1:99" x14ac:dyDescent="0.35">
      <c r="A16">
        <f t="shared" si="18"/>
        <v>15</v>
      </c>
      <c r="B16" t="e" cm="1">
        <f t="array" ref="B16">INDEX(tblTrades[token_name],ROW()-1)</f>
        <v>#REF!</v>
      </c>
      <c r="C16" s="27" t="e" cm="1">
        <f t="array" ref="C16">INDEX(tblTrades[entry_date],ROW()-1)</f>
        <v>#REF!</v>
      </c>
      <c r="D16" s="2" t="e" cm="1">
        <f t="array" ref="D16">INDEX(tblTrades[entry_mc_actual],ROW()-1)</f>
        <v>#REF!</v>
      </c>
      <c r="E16" s="2" t="e" cm="1">
        <f t="array" ref="E16">INDEX(tblTrades[exit_mc_actual],ROW()-1)</f>
        <v>#REF!</v>
      </c>
      <c r="F16" s="3" t="e" cm="1">
        <f t="array" ref="F16">INDEX(tblTrades[time_in_trade_seconds],ROW()-1)</f>
        <v>#REF!</v>
      </c>
      <c r="G16" s="4" t="str" cm="1">
        <f t="array" ref="G16">IFERROR(INDEX(tblTrades[pnl_percentage],ROW()-1)*1,"")</f>
        <v/>
      </c>
      <c r="H16" s="5" t="str" cm="1">
        <f t="array" ref="H16">IFERROR(INDEX(tblTrades[pnl_sol],ROW()-1)*1,"")</f>
        <v/>
      </c>
      <c r="I16" t="str">
        <f t="shared" si="19"/>
        <v/>
      </c>
      <c r="J16" t="str">
        <f t="shared" si="20"/>
        <v/>
      </c>
      <c r="K16" t="str">
        <f t="shared" si="21"/>
        <v/>
      </c>
      <c r="L16" s="20" t="str" cm="1">
        <f t="array" ref="L16">IFERROR(INDEX(tblTrades[sol_invested],ROW()-1),"")</f>
        <v/>
      </c>
      <c r="M16" s="1">
        <f>COUNTIFS(tblAnalysis[Token],tblAnalysis[[#This Row],[Token]])</f>
        <v>0</v>
      </c>
      <c r="N16" s="1">
        <f>COUNTIFS($B$2:B16,tblAnalysis[[#This Row],[Token]])</f>
        <v>0</v>
      </c>
      <c r="O16" s="5">
        <f>IFERROR(SUM($H$2:H16),"")</f>
        <v>0.40399999999999997</v>
      </c>
      <c r="P16" s="6"/>
      <c r="Q16" s="27"/>
      <c r="R16" s="6" t="str">
        <f>IF(Q16="","",SUMIFS(tblAnalysis[P&amp;L SOL],tblAnalysis[Date],Q16))</f>
        <v/>
      </c>
      <c r="S16" s="10" t="str">
        <f>IF(Q16="","",SUMIFS(tblAnalysis[P&amp;L %],tblAnalysis[Date],Q16))</f>
        <v/>
      </c>
      <c r="T16" s="6" t="str">
        <f>IF(Q16="","",IFERROR(SUM($R$2:R16),""))</f>
        <v/>
      </c>
      <c r="U16" t="str">
        <f>IF(Q16="","",COUNTIFS(tblAnalysis[Date],Q16))</f>
        <v/>
      </c>
      <c r="W16" s="27" t="str">
        <f t="shared" si="4"/>
        <v/>
      </c>
      <c r="X16" s="6" t="str">
        <f t="shared" si="5"/>
        <v/>
      </c>
      <c r="Y16" s="6" t="str">
        <f>IF(Q16="","",MAX(X16,_xlfn.MAXIFS(tblAnalysis[Cum P&amp;L SOL],tblAnalysis[Date],Q16)))</f>
        <v/>
      </c>
      <c r="Z16" s="6" t="str">
        <f>IF(Q16="","",MIN(X16,_xlfn.MINIFS(tblAnalysis[Cum P&amp;L SOL],tblAnalysis[Date],Q16)))</f>
        <v/>
      </c>
      <c r="AA16" s="6" t="str">
        <f t="shared" si="6"/>
        <v/>
      </c>
      <c r="AB16"/>
      <c r="AC16" s="27" t="str">
        <f t="shared" si="7"/>
        <v/>
      </c>
      <c r="AD16" s="10" t="str">
        <f t="shared" si="8"/>
        <v/>
      </c>
      <c r="AE16" s="10" t="str">
        <f t="shared" si="9"/>
        <v/>
      </c>
      <c r="AF16" s="10" t="str">
        <f t="shared" si="10"/>
        <v/>
      </c>
      <c r="AG16"/>
      <c r="AH16" t="str">
        <f t="shared" si="11"/>
        <v/>
      </c>
      <c r="AI16" t="str">
        <f t="shared" si="12"/>
        <v/>
      </c>
      <c r="AK16" cm="1">
        <f t="array" ref="AK16">IFERROR(IF(INDEX($A:$A,ROW())="","",INDEX($A:$A,ROW())),"")</f>
        <v>15</v>
      </c>
      <c r="AL16" t="str" cm="1">
        <f t="array" ref="AL16">IFERROR(INDEX(tblTrades[sol_invested],ROW()-1),"")</f>
        <v/>
      </c>
      <c r="AM16" s="6" t="str" cm="1">
        <f t="array" ref="AM16">IFERROR(INDEX(tblAnalysis[P&amp;L SOL],ROW()-1),"")</f>
        <v/>
      </c>
      <c r="AN16" t="str" cm="1">
        <f t="array" ref="AN16">IFERROR(IF(INDEX(tblTrades[sol_invested],ROW()-1)&gt;0.5,INDEX(tblAnalysis[Token],ROW()-1)&amp;" ("&amp;TEXT(INDEX(tblTrades[sol_invested],ROW()-1),"0.0")&amp;" SOL)",""),"")</f>
        <v/>
      </c>
      <c r="AO16" s="7" t="e" cm="1">
        <f t="array" ref="AO16">IF(INDEX(tblTrades[sol_invested],ROW()-1)&gt;0.5,INDEX(tblAnalysis[Cum P&amp;L SOL],ROW()-1),"")</f>
        <v>#REF!</v>
      </c>
      <c r="AP16" s="12" t="str" cm="1">
        <f t="array" ref="AP16">IFERROR(INDEX(tblAnalysis[Entry MC ($)],ROW()-1),"")</f>
        <v/>
      </c>
      <c r="AQ16" s="10" t="str" cm="1">
        <f t="array" ref="AQ16">IFERROR(INDEX(tblAnalysis[P&amp;L %],ROW()-1),"")</f>
        <v/>
      </c>
      <c r="AR16" t="str" cm="1">
        <f t="array" ref="AR16">IFERROR(INDEX(tblAnalysis[Hold Time (s)],ROW()-1),"")</f>
        <v/>
      </c>
      <c r="AS16" s="6" t="str" cm="1">
        <f t="array" ref="AS16">IFERROR(INDEX(tblAnalysis[P&amp;L SOL],ROW()-1),"")</f>
        <v/>
      </c>
      <c r="AT16"/>
      <c r="AW16" t="s">
        <v>80</v>
      </c>
      <c r="AX16">
        <f>COUNTIF(tblAnalysis[Hold Bucket],AW16)</f>
        <v>1</v>
      </c>
      <c r="AY16" s="10">
        <f>IFERROR(COUNTIFS(tblAnalysis[Hold Bucket],AW16,tblAnalysis[Win],1)/AX16,0)</f>
        <v>1</v>
      </c>
      <c r="AZ16" s="16">
        <f>IFERROR(AVERAGEIF(tblAnalysis[Hold Bucket],AW16,tblAnalysis[P&amp;L %]),0)</f>
        <v>0.81799999999999995</v>
      </c>
      <c r="BA16" s="6">
        <f>SUMIF(tblAnalysis[Hold Bucket],AW16,tblAnalysis[P&amp;L SOL])</f>
        <v>0.40899999999999997</v>
      </c>
      <c r="BB16" s="16">
        <f t="array" ref="BB16">IFERROR(SUMIFS(tblAnalysis[P&amp;L SOL],tblAnalysis[Hold Bucket],AW16)/SUMPRODUCT((tblAnalysis[Hold Bucket]=AW16)*IFERROR(ABS(tblAnalysis[P&amp;L SOL]/tblAnalysis[P&amp;L %]),0)),0)</f>
        <v>0.81799999999999995</v>
      </c>
      <c r="BC16" s="18" t="str">
        <f>TEXT(BA16,"+0.0;-0.0;0.0")&amp;" SOL"</f>
        <v>+0.4 SOL</v>
      </c>
      <c r="BF16" t="str">
        <f t="shared" si="13"/>
        <v/>
      </c>
      <c r="BG16" s="27" t="str">
        <f t="shared" si="14"/>
        <v/>
      </c>
      <c r="BH16" t="str">
        <f t="shared" si="15"/>
        <v/>
      </c>
      <c r="BL16" s="29" t="e">
        <f t="shared" si="16"/>
        <v>#N/A</v>
      </c>
      <c r="BM16" s="29" t="e">
        <f t="shared" si="17"/>
        <v>#N/A</v>
      </c>
    </row>
    <row r="17" spans="1:65" x14ac:dyDescent="0.35">
      <c r="A17">
        <f t="shared" si="18"/>
        <v>16</v>
      </c>
      <c r="B17" t="e" cm="1">
        <f t="array" ref="B17">INDEX(tblTrades[token_name],ROW()-1)</f>
        <v>#REF!</v>
      </c>
      <c r="C17" s="27" t="e" cm="1">
        <f t="array" ref="C17">INDEX(tblTrades[entry_date],ROW()-1)</f>
        <v>#REF!</v>
      </c>
      <c r="D17" s="2" t="e" cm="1">
        <f t="array" ref="D17">INDEX(tblTrades[entry_mc_actual],ROW()-1)</f>
        <v>#REF!</v>
      </c>
      <c r="E17" s="2" t="e" cm="1">
        <f t="array" ref="E17">INDEX(tblTrades[exit_mc_actual],ROW()-1)</f>
        <v>#REF!</v>
      </c>
      <c r="F17" s="3" t="e" cm="1">
        <f t="array" ref="F17">INDEX(tblTrades[time_in_trade_seconds],ROW()-1)</f>
        <v>#REF!</v>
      </c>
      <c r="G17" s="4" t="str" cm="1">
        <f t="array" ref="G17">IFERROR(INDEX(tblTrades[pnl_percentage],ROW()-1)*1,"")</f>
        <v/>
      </c>
      <c r="H17" s="5" t="str" cm="1">
        <f t="array" ref="H17">IFERROR(INDEX(tblTrades[pnl_sol],ROW()-1)*1,"")</f>
        <v/>
      </c>
      <c r="I17" t="str">
        <f t="shared" si="19"/>
        <v/>
      </c>
      <c r="J17" t="str">
        <f t="shared" si="20"/>
        <v/>
      </c>
      <c r="K17" t="str">
        <f t="shared" si="21"/>
        <v/>
      </c>
      <c r="L17" s="20" t="str" cm="1">
        <f t="array" ref="L17">IFERROR(INDEX(tblTrades[sol_invested],ROW()-1),"")</f>
        <v/>
      </c>
      <c r="M17" s="1">
        <f>COUNTIFS(tblAnalysis[Token],tblAnalysis[[#This Row],[Token]])</f>
        <v>0</v>
      </c>
      <c r="N17" s="1">
        <f>COUNTIFS($B$2:B3,tblAnalysis[[#This Row],[Token]])</f>
        <v>0</v>
      </c>
      <c r="O17" s="5">
        <f>IFERROR(SUM($H$2:H3),"")</f>
        <v>0.40399999999999997</v>
      </c>
      <c r="P17" s="6"/>
      <c r="Q17" s="27"/>
      <c r="R17" s="6" t="str">
        <f>IF(Q17="","",SUMIFS(tblAnalysis[P&amp;L SOL],tblAnalysis[Date],Q17))</f>
        <v/>
      </c>
      <c r="S17" s="10" t="str">
        <f>IF(Q17="","",SUMIFS(tblAnalysis[P&amp;L %],tblAnalysis[Date],Q17))</f>
        <v/>
      </c>
      <c r="T17" s="6" t="str">
        <f>IF(Q17="","",IFERROR(SUM($R$2:R17),""))</f>
        <v/>
      </c>
      <c r="U17" t="str">
        <f>IF(Q17="","",COUNTIFS(tblAnalysis[Date],Q17))</f>
        <v/>
      </c>
      <c r="W17" s="27" t="str">
        <f t="shared" si="4"/>
        <v/>
      </c>
      <c r="X17" s="6" t="str">
        <f t="shared" si="5"/>
        <v/>
      </c>
      <c r="Y17" s="6" t="str">
        <f>IF(Q17="","",MAX(X17,_xlfn.MAXIFS(tblAnalysis[Cum P&amp;L SOL],tblAnalysis[Date],Q17)))</f>
        <v/>
      </c>
      <c r="Z17" s="6" t="str">
        <f>IF(Q17="","",MIN(X17,_xlfn.MINIFS(tblAnalysis[Cum P&amp;L SOL],tblAnalysis[Date],Q17)))</f>
        <v/>
      </c>
      <c r="AA17" s="6" t="str">
        <f t="shared" si="6"/>
        <v/>
      </c>
      <c r="AB17"/>
      <c r="AC17" s="27" t="str">
        <f t="shared" si="7"/>
        <v/>
      </c>
      <c r="AD17" s="10" t="str">
        <f t="shared" si="8"/>
        <v/>
      </c>
      <c r="AE17" s="10" t="str">
        <f t="shared" si="9"/>
        <v/>
      </c>
      <c r="AF17" s="10" t="str">
        <f t="shared" si="10"/>
        <v/>
      </c>
      <c r="AG17"/>
      <c r="AH17" t="str">
        <f t="shared" si="11"/>
        <v/>
      </c>
      <c r="AI17" t="str">
        <f t="shared" si="12"/>
        <v/>
      </c>
      <c r="AK17" cm="1">
        <f t="array" ref="AK17">IFERROR(IF(INDEX($A:$A,ROW())="","",INDEX($A:$A,ROW())),"")</f>
        <v>16</v>
      </c>
      <c r="AL17" t="str" cm="1">
        <f t="array" ref="AL17">IFERROR(INDEX(tblTrades[sol_invested],ROW()-1),"")</f>
        <v/>
      </c>
      <c r="AM17" s="6" t="str" cm="1">
        <f t="array" ref="AM17">IFERROR(INDEX(tblAnalysis[P&amp;L SOL],ROW()-1),"")</f>
        <v/>
      </c>
      <c r="AN17" t="str" cm="1">
        <f t="array" ref="AN17">IFERROR(IF(INDEX(tblTrades[sol_invested],ROW()-1)&gt;0.5,INDEX(tblAnalysis[Token],ROW()-1)&amp;" ("&amp;TEXT(INDEX(tblTrades[sol_invested],ROW()-1),"0.0")&amp;" SOL)",""),"")</f>
        <v/>
      </c>
      <c r="AO17" s="7" t="e" cm="1">
        <f t="array" ref="AO17">IF(INDEX(tblTrades[sol_invested],ROW()-1)&gt;0.5,INDEX(tblAnalysis[Cum P&amp;L SOL],ROW()-1),"")</f>
        <v>#REF!</v>
      </c>
      <c r="AP17" s="12" t="str" cm="1">
        <f t="array" ref="AP17">IFERROR(INDEX(tblAnalysis[Entry MC ($)],ROW()-1),"")</f>
        <v/>
      </c>
      <c r="AQ17" s="10" t="str" cm="1">
        <f t="array" ref="AQ17">IFERROR(INDEX(tblAnalysis[P&amp;L %],ROW()-1),"")</f>
        <v/>
      </c>
      <c r="AR17" t="str" cm="1">
        <f t="array" ref="AR17">IFERROR(INDEX(tblAnalysis[Hold Time (s)],ROW()-1),"")</f>
        <v/>
      </c>
      <c r="AS17" s="6" t="str" cm="1">
        <f t="array" ref="AS17">IFERROR(INDEX(tblAnalysis[P&amp;L SOL],ROW()-1),"")</f>
        <v/>
      </c>
      <c r="AT17"/>
      <c r="AY17" s="10"/>
      <c r="AZ17" s="10"/>
      <c r="BA17" s="6"/>
      <c r="BB17"/>
      <c r="BF17" t="str">
        <f t="shared" si="13"/>
        <v/>
      </c>
      <c r="BG17" s="27" t="str">
        <f t="shared" si="14"/>
        <v/>
      </c>
      <c r="BH17" t="str">
        <f t="shared" si="15"/>
        <v/>
      </c>
      <c r="BL17" s="29" t="e">
        <f t="shared" si="16"/>
        <v>#N/A</v>
      </c>
      <c r="BM17" s="29" t="e">
        <f t="shared" si="17"/>
        <v>#N/A</v>
      </c>
    </row>
    <row r="18" spans="1:65" x14ac:dyDescent="0.35">
      <c r="A18">
        <f t="shared" ref="A18:A65" si="22">ROW()-1</f>
        <v>17</v>
      </c>
      <c r="B18" t="e" cm="1">
        <f t="array" ref="B18">INDEX(tblTrades[token_name],ROW()-1)</f>
        <v>#REF!</v>
      </c>
      <c r="C18" s="27" t="e" cm="1">
        <f t="array" ref="C18">INDEX(tblTrades[entry_date],ROW()-1)</f>
        <v>#REF!</v>
      </c>
      <c r="D18" s="2" t="e" cm="1">
        <f t="array" ref="D18">INDEX(tblTrades[entry_mc_actual],ROW()-1)</f>
        <v>#REF!</v>
      </c>
      <c r="E18" s="2" t="e" cm="1">
        <f t="array" ref="E18">INDEX(tblTrades[exit_mc_actual],ROW()-1)</f>
        <v>#REF!</v>
      </c>
      <c r="F18" s="3" t="e" cm="1">
        <f t="array" ref="F18">INDEX(tblTrades[time_in_trade_seconds],ROW()-1)</f>
        <v>#REF!</v>
      </c>
      <c r="G18" s="4" t="str" cm="1">
        <f t="array" ref="G18">IFERROR(INDEX(tblTrades[pnl_percentage],ROW()-1)*1,"")</f>
        <v/>
      </c>
      <c r="H18" s="5" t="str" cm="1">
        <f t="array" ref="H18">IFERROR(INDEX(tblTrades[pnl_sol],ROW()-1)*1,"")</f>
        <v/>
      </c>
      <c r="I18" t="str">
        <f t="shared" ref="I18:I65" si="23">IF(ISNUMBER(G18),IF(G18&gt;0,1,0),"")</f>
        <v/>
      </c>
      <c r="J18" t="str">
        <f t="shared" ref="J18:J65" si="24">IF(ISNUMBER(D18),IF(D18&lt;2000,"Under 2K",IF(D18&lt;5000,"2-5K",IF(D18&lt;10000,"5-10K",IF(D18&lt;20000,"10-20K","20K+")))),"")</f>
        <v/>
      </c>
      <c r="K18" t="str">
        <f t="shared" ref="K18:K65" si="25">IF(ISNUMBER(F18),IF(F18=0,"Unknown (0s)",IF(F18&lt;=15,"1-15s",IF(F18&lt;=45,"15-45s",IF(F18&lt;=90,"45-90s","90s+")))),"")</f>
        <v/>
      </c>
      <c r="L18" s="20" t="str" cm="1">
        <f t="array" ref="L18">IFERROR(INDEX(tblTrades[sol_invested],ROW()-1),"")</f>
        <v/>
      </c>
      <c r="M18" s="1">
        <f>COUNTIFS(tblAnalysis[Token],tblAnalysis[[#This Row],[Token]])</f>
        <v>0</v>
      </c>
      <c r="N18" s="1">
        <f>COUNTIFS($B$2:B18,tblAnalysis[[#This Row],[Token]])</f>
        <v>0</v>
      </c>
      <c r="O18" s="5">
        <f>IFERROR(SUM($H$2:H18),"")</f>
        <v>0.40399999999999997</v>
      </c>
      <c r="P18" s="6"/>
      <c r="Q18" s="27"/>
      <c r="R18" s="6" t="str">
        <f>IF(Q18="","",SUMIFS(tblAnalysis[P&amp;L SOL],tblAnalysis[Date],Q18))</f>
        <v/>
      </c>
      <c r="S18" s="10" t="str">
        <f>IF(Q18="","",SUMIFS(tblAnalysis[P&amp;L %],tblAnalysis[Date],Q18))</f>
        <v/>
      </c>
      <c r="T18" s="6" t="str">
        <f>IF(Q18="","",IFERROR(SUM($R$2:R18),""))</f>
        <v/>
      </c>
      <c r="U18" t="str">
        <f>IF(Q18="","",COUNTIFS(tblAnalysis[Date],Q18))</f>
        <v/>
      </c>
      <c r="W18" s="27" t="str">
        <f t="shared" si="4"/>
        <v/>
      </c>
      <c r="X18" s="6" t="str">
        <f t="shared" si="5"/>
        <v/>
      </c>
      <c r="Y18" s="6" t="str">
        <f>IF(Q18="","",MAX(X18,_xlfn.MAXIFS(tblAnalysis[Cum P&amp;L SOL],tblAnalysis[Date],Q18)))</f>
        <v/>
      </c>
      <c r="Z18" s="6" t="str">
        <f>IF(Q18="","",MIN(X18,_xlfn.MINIFS(tblAnalysis[Cum P&amp;L SOL],tblAnalysis[Date],Q18)))</f>
        <v/>
      </c>
      <c r="AA18" s="6" t="str">
        <f t="shared" si="6"/>
        <v/>
      </c>
      <c r="AB18"/>
      <c r="AC18" s="27" t="str">
        <f t="shared" si="7"/>
        <v/>
      </c>
      <c r="AD18" s="10" t="str">
        <f t="shared" si="8"/>
        <v/>
      </c>
      <c r="AE18" s="10" t="str">
        <f t="shared" si="9"/>
        <v/>
      </c>
      <c r="AF18" s="10" t="str">
        <f t="shared" si="10"/>
        <v/>
      </c>
      <c r="AG18"/>
      <c r="AH18" t="str">
        <f t="shared" si="11"/>
        <v/>
      </c>
      <c r="AI18" t="str">
        <f t="shared" si="12"/>
        <v/>
      </c>
      <c r="AK18" cm="1">
        <f t="array" ref="AK18">IFERROR(IF(INDEX($A:$A,ROW())="","",INDEX($A:$A,ROW())),"")</f>
        <v>17</v>
      </c>
      <c r="AL18" t="str" cm="1">
        <f t="array" ref="AL18">IFERROR(INDEX(tblTrades[sol_invested],ROW()-1),"")</f>
        <v/>
      </c>
      <c r="AM18" s="6" t="str" cm="1">
        <f t="array" ref="AM18">IFERROR(INDEX(tblAnalysis[P&amp;L SOL],ROW()-1),"")</f>
        <v/>
      </c>
      <c r="AN18" t="str" cm="1">
        <f t="array" ref="AN18">IFERROR(IF(INDEX(tblTrades[sol_invested],ROW()-1)&gt;0.5,INDEX(tblAnalysis[Token],ROW()-1)&amp;" ("&amp;TEXT(INDEX(tblTrades[sol_invested],ROW()-1),"0.0")&amp;" SOL)",""),"")</f>
        <v/>
      </c>
      <c r="AO18" s="7" t="e" cm="1">
        <f t="array" ref="AO18">IF(INDEX(tblTrades[sol_invested],ROW()-1)&gt;0.5,INDEX(tblAnalysis[Cum P&amp;L SOL],ROW()-1),"")</f>
        <v>#REF!</v>
      </c>
      <c r="AP18" s="12" t="str" cm="1">
        <f t="array" ref="AP18">IFERROR(INDEX(tblAnalysis[Entry MC ($)],ROW()-1),"")</f>
        <v/>
      </c>
      <c r="AQ18" s="10" t="str" cm="1">
        <f t="array" ref="AQ18">IFERROR(INDEX(tblAnalysis[P&amp;L %],ROW()-1),"")</f>
        <v/>
      </c>
      <c r="AR18" t="str" cm="1">
        <f t="array" ref="AR18">IFERROR(INDEX(tblAnalysis[Hold Time (s)],ROW()-1),"")</f>
        <v/>
      </c>
      <c r="AS18" s="6" t="str" cm="1">
        <f t="array" ref="AS18">IFERROR(INDEX(tblAnalysis[P&amp;L SOL],ROW()-1),"")</f>
        <v/>
      </c>
      <c r="AT18"/>
      <c r="AY18" s="10"/>
      <c r="AZ18" s="10"/>
      <c r="BA18" s="6"/>
      <c r="BB18"/>
      <c r="BF18" t="str">
        <f t="shared" si="13"/>
        <v/>
      </c>
      <c r="BG18" s="27" t="str">
        <f t="shared" si="14"/>
        <v/>
      </c>
      <c r="BH18" t="str">
        <f t="shared" si="15"/>
        <v/>
      </c>
      <c r="BL18" s="29" t="e">
        <f t="shared" si="16"/>
        <v>#N/A</v>
      </c>
      <c r="BM18" s="29" t="e">
        <f t="shared" si="17"/>
        <v>#N/A</v>
      </c>
    </row>
    <row r="19" spans="1:65" x14ac:dyDescent="0.35">
      <c r="A19">
        <f t="shared" si="22"/>
        <v>18</v>
      </c>
      <c r="B19" t="e" cm="1">
        <f t="array" ref="B19">INDEX(tblTrades[token_name],ROW()-1)</f>
        <v>#REF!</v>
      </c>
      <c r="C19" s="27" t="e" cm="1">
        <f t="array" ref="C19">INDEX(tblTrades[entry_date],ROW()-1)</f>
        <v>#REF!</v>
      </c>
      <c r="D19" s="2" t="e" cm="1">
        <f t="array" ref="D19">INDEX(tblTrades[entry_mc_actual],ROW()-1)</f>
        <v>#REF!</v>
      </c>
      <c r="E19" s="2" t="e" cm="1">
        <f t="array" ref="E19">INDEX(tblTrades[exit_mc_actual],ROW()-1)</f>
        <v>#REF!</v>
      </c>
      <c r="F19" s="3" t="e" cm="1">
        <f t="array" ref="F19">INDEX(tblTrades[time_in_trade_seconds],ROW()-1)</f>
        <v>#REF!</v>
      </c>
      <c r="G19" s="4" t="str" cm="1">
        <f t="array" ref="G19">IFERROR(INDEX(tblTrades[pnl_percentage],ROW()-1)*1,"")</f>
        <v/>
      </c>
      <c r="H19" s="5" t="str" cm="1">
        <f t="array" ref="H19">IFERROR(INDEX(tblTrades[pnl_sol],ROW()-1)*1,"")</f>
        <v/>
      </c>
      <c r="I19" t="str">
        <f t="shared" si="23"/>
        <v/>
      </c>
      <c r="J19" t="str">
        <f t="shared" si="24"/>
        <v/>
      </c>
      <c r="K19" t="str">
        <f t="shared" si="25"/>
        <v/>
      </c>
      <c r="L19" s="20" t="str" cm="1">
        <f t="array" ref="L19">IFERROR(INDEX(tblTrades[sol_invested],ROW()-1),"")</f>
        <v/>
      </c>
      <c r="M19" s="1">
        <f>COUNTIFS(tblAnalysis[Token],tblAnalysis[[#This Row],[Token]])</f>
        <v>0</v>
      </c>
      <c r="N19" s="1">
        <f>COUNTIFS($B$2:B19,tblAnalysis[[#This Row],[Token]])</f>
        <v>0</v>
      </c>
      <c r="O19" s="5">
        <f>IFERROR(SUM($H$2:H19),"")</f>
        <v>0.40399999999999997</v>
      </c>
      <c r="P19" s="6"/>
      <c r="Q19" s="27"/>
      <c r="R19" s="6" t="str">
        <f>IF(Q19="","",SUMIFS(tblAnalysis[P&amp;L SOL],tblAnalysis[Date],Q19))</f>
        <v/>
      </c>
      <c r="S19" s="10" t="str">
        <f>IF(Q19="","",SUMIFS(tblAnalysis[P&amp;L %],tblAnalysis[Date],Q19))</f>
        <v/>
      </c>
      <c r="T19" s="6" t="str">
        <f>IF(Q19="","",IFERROR(SUM($R$2:R19),""))</f>
        <v/>
      </c>
      <c r="U19" t="str">
        <f>IF(Q19="","",COUNTIFS(tblAnalysis[Date],Q19))</f>
        <v/>
      </c>
      <c r="W19" s="27" t="str">
        <f t="shared" si="4"/>
        <v/>
      </c>
      <c r="X19" s="6" t="str">
        <f t="shared" si="5"/>
        <v/>
      </c>
      <c r="Y19" s="6" t="str">
        <f>IF(Q19="","",MAX(X19,_xlfn.MAXIFS(tblAnalysis[Cum P&amp;L SOL],tblAnalysis[Date],Q19)))</f>
        <v/>
      </c>
      <c r="Z19" s="6" t="str">
        <f>IF(Q19="","",MIN(X19,_xlfn.MINIFS(tblAnalysis[Cum P&amp;L SOL],tblAnalysis[Date],Q19)))</f>
        <v/>
      </c>
      <c r="AA19" s="6" t="str">
        <f t="shared" si="6"/>
        <v/>
      </c>
      <c r="AB19"/>
      <c r="AC19" s="27" t="str">
        <f t="shared" si="7"/>
        <v/>
      </c>
      <c r="AD19" s="10" t="str">
        <f t="shared" si="8"/>
        <v/>
      </c>
      <c r="AE19" s="10" t="str">
        <f t="shared" si="9"/>
        <v/>
      </c>
      <c r="AF19" s="10" t="str">
        <f t="shared" si="10"/>
        <v/>
      </c>
      <c r="AG19"/>
      <c r="AH19" t="str">
        <f t="shared" si="11"/>
        <v/>
      </c>
      <c r="AI19" t="str">
        <f t="shared" si="12"/>
        <v/>
      </c>
      <c r="AK19" cm="1">
        <f t="array" ref="AK19">IFERROR(IF(INDEX($A:$A,ROW())="","",INDEX($A:$A,ROW())),"")</f>
        <v>18</v>
      </c>
      <c r="AL19" t="str" cm="1">
        <f t="array" ref="AL19">IFERROR(INDEX(tblTrades[sol_invested],ROW()-1),"")</f>
        <v/>
      </c>
      <c r="AM19" s="6" t="str" cm="1">
        <f t="array" ref="AM19">IFERROR(INDEX(tblAnalysis[P&amp;L SOL],ROW()-1),"")</f>
        <v/>
      </c>
      <c r="AN19" t="str" cm="1">
        <f t="array" ref="AN19">IFERROR(IF(INDEX(tblTrades[sol_invested],ROW()-1)&gt;0.5,INDEX(tblAnalysis[Token],ROW()-1)&amp;" ("&amp;TEXT(INDEX(tblTrades[sol_invested],ROW()-1),"0.0")&amp;" SOL)",""),"")</f>
        <v/>
      </c>
      <c r="AO19" s="7" t="e" cm="1">
        <f t="array" ref="AO19">IF(INDEX(tblTrades[sol_invested],ROW()-1)&gt;0.5,INDEX(tblAnalysis[Cum P&amp;L SOL],ROW()-1),"")</f>
        <v>#REF!</v>
      </c>
      <c r="AP19" s="12" t="str" cm="1">
        <f t="array" ref="AP19">IFERROR(INDEX(tblAnalysis[Entry MC ($)],ROW()-1),"")</f>
        <v/>
      </c>
      <c r="AQ19" s="10" t="str" cm="1">
        <f t="array" ref="AQ19">IFERROR(INDEX(tblAnalysis[P&amp;L %],ROW()-1),"")</f>
        <v/>
      </c>
      <c r="AR19" t="str" cm="1">
        <f t="array" ref="AR19">IFERROR(INDEX(tblAnalysis[Hold Time (s)],ROW()-1),"")</f>
        <v/>
      </c>
      <c r="AS19" s="6" t="str" cm="1">
        <f t="array" ref="AS19">IFERROR(INDEX(tblAnalysis[P&amp;L SOL],ROW()-1),"")</f>
        <v/>
      </c>
      <c r="AT19"/>
      <c r="AY19" s="10"/>
      <c r="AZ19" s="10"/>
      <c r="BA19" s="6"/>
      <c r="BB19"/>
      <c r="BF19" t="str">
        <f t="shared" si="13"/>
        <v/>
      </c>
      <c r="BG19" s="27" t="str">
        <f t="shared" si="14"/>
        <v/>
      </c>
      <c r="BH19" t="str">
        <f t="shared" si="15"/>
        <v/>
      </c>
      <c r="BL19" s="29" t="e">
        <f t="shared" si="16"/>
        <v>#N/A</v>
      </c>
      <c r="BM19" s="29" t="e">
        <f t="shared" si="17"/>
        <v>#N/A</v>
      </c>
    </row>
    <row r="20" spans="1:65" x14ac:dyDescent="0.35">
      <c r="A20">
        <f t="shared" si="22"/>
        <v>19</v>
      </c>
      <c r="B20" t="e" cm="1">
        <f t="array" ref="B20">INDEX(tblTrades[token_name],ROW()-1)</f>
        <v>#REF!</v>
      </c>
      <c r="C20" s="27" t="e" cm="1">
        <f t="array" ref="C20">INDEX(tblTrades[entry_date],ROW()-1)</f>
        <v>#REF!</v>
      </c>
      <c r="D20" s="2" t="e" cm="1">
        <f t="array" ref="D20">INDEX(tblTrades[entry_mc_actual],ROW()-1)</f>
        <v>#REF!</v>
      </c>
      <c r="E20" s="2" t="e" cm="1">
        <f t="array" ref="E20">INDEX(tblTrades[exit_mc_actual],ROW()-1)</f>
        <v>#REF!</v>
      </c>
      <c r="F20" s="3" t="e" cm="1">
        <f t="array" ref="F20">INDEX(tblTrades[time_in_trade_seconds],ROW()-1)</f>
        <v>#REF!</v>
      </c>
      <c r="G20" s="4" t="str" cm="1">
        <f t="array" ref="G20">IFERROR(INDEX(tblTrades[pnl_percentage],ROW()-1)*1,"")</f>
        <v/>
      </c>
      <c r="H20" s="5" t="str" cm="1">
        <f t="array" ref="H20">IFERROR(INDEX(tblTrades[pnl_sol],ROW()-1)*1,"")</f>
        <v/>
      </c>
      <c r="I20" t="str">
        <f t="shared" si="23"/>
        <v/>
      </c>
      <c r="J20" t="str">
        <f t="shared" si="24"/>
        <v/>
      </c>
      <c r="K20" t="str">
        <f t="shared" si="25"/>
        <v/>
      </c>
      <c r="L20" s="20" t="str" cm="1">
        <f t="array" ref="L20">IFERROR(INDEX(tblTrades[sol_invested],ROW()-1),"")</f>
        <v/>
      </c>
      <c r="M20" s="1">
        <f>COUNTIFS(tblAnalysis[Token],tblAnalysis[[#This Row],[Token]])</f>
        <v>0</v>
      </c>
      <c r="N20" s="1">
        <f>COUNTIFS($B$2:B20,tblAnalysis[[#This Row],[Token]])</f>
        <v>0</v>
      </c>
      <c r="O20" s="5">
        <f>IFERROR(SUM($H$2:H20),"")</f>
        <v>0.40399999999999997</v>
      </c>
      <c r="P20" s="6"/>
      <c r="Q20" s="27"/>
      <c r="R20" s="6" t="str">
        <f>IF(Q20="","",SUMIFS(tblAnalysis[P&amp;L SOL],tblAnalysis[Date],Q20))</f>
        <v/>
      </c>
      <c r="S20" s="10" t="str">
        <f>IF(Q20="","",SUMIFS(tblAnalysis[P&amp;L %],tblAnalysis[Date],Q20))</f>
        <v/>
      </c>
      <c r="T20" s="6" t="str">
        <f>IF(Q20="","",IFERROR(SUM($R$2:R20),""))</f>
        <v/>
      </c>
      <c r="U20" t="str">
        <f>IF(Q20="","",COUNTIFS(tblAnalysis[Date],Q20))</f>
        <v/>
      </c>
      <c r="W20" s="27" t="str">
        <f t="shared" si="4"/>
        <v/>
      </c>
      <c r="X20" s="6" t="str">
        <f t="shared" si="5"/>
        <v/>
      </c>
      <c r="Y20" s="6" t="str">
        <f>IF(Q20="","",MAX(X20,_xlfn.MAXIFS(tblAnalysis[Cum P&amp;L SOL],tblAnalysis[Date],Q20)))</f>
        <v/>
      </c>
      <c r="Z20" s="6" t="str">
        <f>IF(Q20="","",MIN(X20,_xlfn.MINIFS(tblAnalysis[Cum P&amp;L SOL],tblAnalysis[Date],Q20)))</f>
        <v/>
      </c>
      <c r="AA20" s="6" t="str">
        <f t="shared" si="6"/>
        <v/>
      </c>
      <c r="AB20"/>
      <c r="AC20" s="27" t="str">
        <f t="shared" si="7"/>
        <v/>
      </c>
      <c r="AD20" s="10" t="str">
        <f t="shared" si="8"/>
        <v/>
      </c>
      <c r="AE20" s="10" t="str">
        <f t="shared" si="9"/>
        <v/>
      </c>
      <c r="AF20" s="10" t="str">
        <f t="shared" si="10"/>
        <v/>
      </c>
      <c r="AG20"/>
      <c r="AH20" t="str">
        <f t="shared" si="11"/>
        <v/>
      </c>
      <c r="AI20" t="str">
        <f t="shared" si="12"/>
        <v/>
      </c>
      <c r="AK20" cm="1">
        <f t="array" ref="AK20">IFERROR(IF(INDEX($A:$A,ROW())="","",INDEX($A:$A,ROW())),"")</f>
        <v>19</v>
      </c>
      <c r="AL20" t="str" cm="1">
        <f t="array" ref="AL20">IFERROR(INDEX(tblTrades[sol_invested],ROW()-1),"")</f>
        <v/>
      </c>
      <c r="AM20" s="6" t="str" cm="1">
        <f t="array" ref="AM20">IFERROR(INDEX(tblAnalysis[P&amp;L SOL],ROW()-1),"")</f>
        <v/>
      </c>
      <c r="AN20" t="str" cm="1">
        <f t="array" ref="AN20">IFERROR(IF(INDEX(tblTrades[sol_invested],ROW()-1)&gt;0.5,INDEX(tblAnalysis[Token],ROW()-1)&amp;" ("&amp;TEXT(INDEX(tblTrades[sol_invested],ROW()-1),"0.0")&amp;" SOL)",""),"")</f>
        <v/>
      </c>
      <c r="AO20" s="7" t="e" cm="1">
        <f t="array" ref="AO20">IF(INDEX(tblTrades[sol_invested],ROW()-1)&gt;0.5,INDEX(tblAnalysis[Cum P&amp;L SOL],ROW()-1),"")</f>
        <v>#REF!</v>
      </c>
      <c r="AP20" s="12" t="str" cm="1">
        <f t="array" ref="AP20">IFERROR(INDEX(tblAnalysis[Entry MC ($)],ROW()-1),"")</f>
        <v/>
      </c>
      <c r="AQ20" s="10" t="str" cm="1">
        <f t="array" ref="AQ20">IFERROR(INDEX(tblAnalysis[P&amp;L %],ROW()-1),"")</f>
        <v/>
      </c>
      <c r="AR20" t="str" cm="1">
        <f t="array" ref="AR20">IFERROR(INDEX(tblAnalysis[Hold Time (s)],ROW()-1),"")</f>
        <v/>
      </c>
      <c r="AS20" s="6" t="str" cm="1">
        <f t="array" ref="AS20">IFERROR(INDEX(tblAnalysis[P&amp;L SOL],ROW()-1),"")</f>
        <v/>
      </c>
      <c r="AT20"/>
      <c r="AY20" s="10"/>
      <c r="AZ20" s="10"/>
      <c r="BA20" s="6"/>
      <c r="BB20"/>
      <c r="BF20" t="str">
        <f t="shared" si="13"/>
        <v/>
      </c>
      <c r="BG20" s="27" t="str">
        <f t="shared" si="14"/>
        <v/>
      </c>
      <c r="BH20" t="str">
        <f t="shared" si="15"/>
        <v/>
      </c>
      <c r="BL20" s="29" t="e">
        <f t="shared" si="16"/>
        <v>#N/A</v>
      </c>
      <c r="BM20" s="29" t="e">
        <f t="shared" si="17"/>
        <v>#N/A</v>
      </c>
    </row>
    <row r="21" spans="1:65" x14ac:dyDescent="0.35">
      <c r="A21">
        <f t="shared" si="22"/>
        <v>20</v>
      </c>
      <c r="B21" t="e" cm="1">
        <f t="array" ref="B21">INDEX(tblTrades[token_name],ROW()-1)</f>
        <v>#REF!</v>
      </c>
      <c r="C21" s="27" t="e" cm="1">
        <f t="array" ref="C21">INDEX(tblTrades[entry_date],ROW()-1)</f>
        <v>#REF!</v>
      </c>
      <c r="D21" s="2" t="e" cm="1">
        <f t="array" ref="D21">INDEX(tblTrades[entry_mc_actual],ROW()-1)</f>
        <v>#REF!</v>
      </c>
      <c r="E21" s="2" t="e" cm="1">
        <f t="array" ref="E21">INDEX(tblTrades[exit_mc_actual],ROW()-1)</f>
        <v>#REF!</v>
      </c>
      <c r="F21" s="3" t="e" cm="1">
        <f t="array" ref="F21">INDEX(tblTrades[time_in_trade_seconds],ROW()-1)</f>
        <v>#REF!</v>
      </c>
      <c r="G21" s="4" t="str" cm="1">
        <f t="array" ref="G21">IFERROR(INDEX(tblTrades[pnl_percentage],ROW()-1)*1,"")</f>
        <v/>
      </c>
      <c r="H21" s="5" t="str" cm="1">
        <f t="array" ref="H21">IFERROR(INDEX(tblTrades[pnl_sol],ROW()-1)*1,"")</f>
        <v/>
      </c>
      <c r="I21" t="str">
        <f t="shared" si="23"/>
        <v/>
      </c>
      <c r="J21" t="str">
        <f t="shared" si="24"/>
        <v/>
      </c>
      <c r="K21" t="str">
        <f t="shared" si="25"/>
        <v/>
      </c>
      <c r="L21" s="20" t="str" cm="1">
        <f t="array" ref="L21">IFERROR(INDEX(tblTrades[sol_invested],ROW()-1),"")</f>
        <v/>
      </c>
      <c r="M21" s="1">
        <f>COUNTIFS(tblAnalysis[Token],tblAnalysis[[#This Row],[Token]])</f>
        <v>0</v>
      </c>
      <c r="N21" s="1">
        <f>COUNTIFS($B$2:B21,tblAnalysis[[#This Row],[Token]])</f>
        <v>0</v>
      </c>
      <c r="O21" s="5">
        <f>IFERROR(SUM($H$2:H21),"")</f>
        <v>0.40399999999999997</v>
      </c>
      <c r="P21" s="6"/>
      <c r="Q21" s="27"/>
      <c r="R21" s="6" t="str">
        <f>IF(Q21="","",SUMIFS(tblAnalysis[P&amp;L SOL],tblAnalysis[Date],Q21))</f>
        <v/>
      </c>
      <c r="S21" s="10" t="str">
        <f>IF(Q21="","",SUMIFS(tblAnalysis[P&amp;L %],tblAnalysis[Date],Q21))</f>
        <v/>
      </c>
      <c r="T21" s="6" t="str">
        <f>IF(Q21="","",IFERROR(SUM($R$2:R21),""))</f>
        <v/>
      </c>
      <c r="U21" t="str">
        <f>IF(Q21="","",COUNTIFS(tblAnalysis[Date],Q21))</f>
        <v/>
      </c>
      <c r="W21" s="27" t="str">
        <f t="shared" si="4"/>
        <v/>
      </c>
      <c r="X21" s="6" t="str">
        <f t="shared" si="5"/>
        <v/>
      </c>
      <c r="Y21" s="6" t="str">
        <f>IF(Q21="","",MAX(X21,_xlfn.MAXIFS(tblAnalysis[Cum P&amp;L SOL],tblAnalysis[Date],Q21)))</f>
        <v/>
      </c>
      <c r="Z21" s="6" t="str">
        <f>IF(Q21="","",MIN(X21,_xlfn.MINIFS(tblAnalysis[Cum P&amp;L SOL],tblAnalysis[Date],Q21)))</f>
        <v/>
      </c>
      <c r="AA21" s="6" t="str">
        <f t="shared" si="6"/>
        <v/>
      </c>
      <c r="AB21"/>
      <c r="AC21" s="27" t="str">
        <f t="shared" si="7"/>
        <v/>
      </c>
      <c r="AD21" s="10" t="str">
        <f t="shared" si="8"/>
        <v/>
      </c>
      <c r="AE21" s="10" t="str">
        <f t="shared" si="9"/>
        <v/>
      </c>
      <c r="AF21" s="10" t="str">
        <f t="shared" si="10"/>
        <v/>
      </c>
      <c r="AG21"/>
      <c r="AH21" t="str">
        <f t="shared" si="11"/>
        <v/>
      </c>
      <c r="AI21" t="str">
        <f t="shared" si="12"/>
        <v/>
      </c>
      <c r="AK21" cm="1">
        <f t="array" ref="AK21">IFERROR(IF(INDEX($A:$A,ROW())="","",INDEX($A:$A,ROW())),"")</f>
        <v>20</v>
      </c>
      <c r="AL21" t="str" cm="1">
        <f t="array" ref="AL21">IFERROR(INDEX(tblTrades[sol_invested],ROW()-1),"")</f>
        <v/>
      </c>
      <c r="AM21" s="6" t="str" cm="1">
        <f t="array" ref="AM21">IFERROR(INDEX(tblAnalysis[P&amp;L SOL],ROW()-1),"")</f>
        <v/>
      </c>
      <c r="AN21" t="str" cm="1">
        <f t="array" ref="AN21">IFERROR(IF(INDEX(tblTrades[sol_invested],ROW()-1)&gt;0.5,INDEX(tblAnalysis[Token],ROW()-1)&amp;" ("&amp;TEXT(INDEX(tblTrades[sol_invested],ROW()-1),"0.0")&amp;" SOL)",""),"")</f>
        <v/>
      </c>
      <c r="AO21" s="7" t="e" cm="1">
        <f t="array" ref="AO21">IF(INDEX(tblTrades[sol_invested],ROW()-1)&gt;0.5,INDEX(tblAnalysis[Cum P&amp;L SOL],ROW()-1),"")</f>
        <v>#REF!</v>
      </c>
      <c r="AP21" s="12" t="str" cm="1">
        <f t="array" ref="AP21">IFERROR(INDEX(tblAnalysis[Entry MC ($)],ROW()-1),"")</f>
        <v/>
      </c>
      <c r="AQ21" s="10" t="str" cm="1">
        <f t="array" ref="AQ21">IFERROR(INDEX(tblAnalysis[P&amp;L %],ROW()-1),"")</f>
        <v/>
      </c>
      <c r="AR21" t="str" cm="1">
        <f t="array" ref="AR21">IFERROR(INDEX(tblAnalysis[Hold Time (s)],ROW()-1),"")</f>
        <v/>
      </c>
      <c r="AS21" s="6" t="str" cm="1">
        <f t="array" ref="AS21">IFERROR(INDEX(tblAnalysis[P&amp;L SOL],ROW()-1),"")</f>
        <v/>
      </c>
      <c r="AT21"/>
      <c r="AY21" s="10"/>
      <c r="AZ21" s="10"/>
      <c r="BA21" s="6"/>
      <c r="BB21"/>
      <c r="BF21" t="str">
        <f t="shared" si="13"/>
        <v/>
      </c>
      <c r="BG21" s="27" t="str">
        <f t="shared" si="14"/>
        <v/>
      </c>
      <c r="BH21" t="str">
        <f t="shared" si="15"/>
        <v/>
      </c>
      <c r="BL21" s="29" t="e">
        <f t="shared" si="16"/>
        <v>#N/A</v>
      </c>
      <c r="BM21" s="29" t="e">
        <f t="shared" si="17"/>
        <v>#N/A</v>
      </c>
    </row>
    <row r="22" spans="1:65" x14ac:dyDescent="0.35">
      <c r="A22">
        <f t="shared" si="22"/>
        <v>21</v>
      </c>
      <c r="B22" t="e" cm="1">
        <f t="array" ref="B22">INDEX(tblTrades[token_name],ROW()-1)</f>
        <v>#REF!</v>
      </c>
      <c r="C22" s="27" t="e" cm="1">
        <f t="array" ref="C22">INDEX(tblTrades[entry_date],ROW()-1)</f>
        <v>#REF!</v>
      </c>
      <c r="D22" s="2" t="e" cm="1">
        <f t="array" ref="D22">INDEX(tblTrades[entry_mc_actual],ROW()-1)</f>
        <v>#REF!</v>
      </c>
      <c r="E22" s="2" t="e" cm="1">
        <f t="array" ref="E22">INDEX(tblTrades[exit_mc_actual],ROW()-1)</f>
        <v>#REF!</v>
      </c>
      <c r="F22" s="3" t="e" cm="1">
        <f t="array" ref="F22">INDEX(tblTrades[time_in_trade_seconds],ROW()-1)</f>
        <v>#REF!</v>
      </c>
      <c r="G22" s="4" t="str" cm="1">
        <f t="array" ref="G22">IFERROR(INDEX(tblTrades[pnl_percentage],ROW()-1)*1,"")</f>
        <v/>
      </c>
      <c r="H22" s="5" t="str" cm="1">
        <f t="array" ref="H22">IFERROR(INDEX(tblTrades[pnl_sol],ROW()-1)*1,"")</f>
        <v/>
      </c>
      <c r="I22" t="str">
        <f t="shared" si="23"/>
        <v/>
      </c>
      <c r="J22" t="str">
        <f t="shared" si="24"/>
        <v/>
      </c>
      <c r="K22" t="str">
        <f t="shared" si="25"/>
        <v/>
      </c>
      <c r="L22" s="20" t="str" cm="1">
        <f t="array" ref="L22">IFERROR(INDEX(tblTrades[sol_invested],ROW()-1),"")</f>
        <v/>
      </c>
      <c r="M22" s="1">
        <f>COUNTIFS(tblAnalysis[Token],tblAnalysis[[#This Row],[Token]])</f>
        <v>0</v>
      </c>
      <c r="N22" s="1">
        <f>COUNTIFS($B$2:B22,tblAnalysis[[#This Row],[Token]])</f>
        <v>0</v>
      </c>
      <c r="O22" s="5">
        <f>IFERROR(SUM($H$2:H22),"")</f>
        <v>0.40399999999999997</v>
      </c>
      <c r="P22" s="6"/>
      <c r="Q22" s="27"/>
      <c r="R22" s="6" t="str">
        <f>IF(Q22="","",SUMIFS(tblAnalysis[P&amp;L SOL],tblAnalysis[Date],Q22))</f>
        <v/>
      </c>
      <c r="S22" s="10" t="str">
        <f>IF(Q22="","",SUMIFS(tblAnalysis[P&amp;L %],tblAnalysis[Date],Q22))</f>
        <v/>
      </c>
      <c r="T22" s="6" t="str">
        <f>IF(Q22="","",IFERROR(SUM($R$2:R22),""))</f>
        <v/>
      </c>
      <c r="U22" t="str">
        <f>IF(Q22="","",COUNTIFS(tblAnalysis[Date],Q22))</f>
        <v/>
      </c>
      <c r="W22" s="27" t="str">
        <f t="shared" si="4"/>
        <v/>
      </c>
      <c r="X22" s="6" t="str">
        <f t="shared" si="5"/>
        <v/>
      </c>
      <c r="Y22" s="6" t="str">
        <f>IF(Q22="","",MAX(X22,_xlfn.MAXIFS(tblAnalysis[Cum P&amp;L SOL],tblAnalysis[Date],Q22)))</f>
        <v/>
      </c>
      <c r="Z22" s="6" t="str">
        <f>IF(Q22="","",MIN(X22,_xlfn.MINIFS(tblAnalysis[Cum P&amp;L SOL],tblAnalysis[Date],Q22)))</f>
        <v/>
      </c>
      <c r="AA22" s="6" t="str">
        <f t="shared" si="6"/>
        <v/>
      </c>
      <c r="AB22"/>
      <c r="AC22" s="27" t="str">
        <f t="shared" si="7"/>
        <v/>
      </c>
      <c r="AD22" s="10" t="str">
        <f t="shared" si="8"/>
        <v/>
      </c>
      <c r="AE22" s="10" t="str">
        <f t="shared" si="9"/>
        <v/>
      </c>
      <c r="AF22" s="10" t="str">
        <f t="shared" si="10"/>
        <v/>
      </c>
      <c r="AG22"/>
      <c r="AH22" t="str">
        <f t="shared" si="11"/>
        <v/>
      </c>
      <c r="AI22" t="str">
        <f t="shared" si="12"/>
        <v/>
      </c>
      <c r="AK22" cm="1">
        <f t="array" ref="AK22">IFERROR(IF(INDEX($A:$A,ROW())="","",INDEX($A:$A,ROW())),"")</f>
        <v>21</v>
      </c>
      <c r="AL22" t="str" cm="1">
        <f t="array" ref="AL22">IFERROR(INDEX(tblTrades[sol_invested],ROW()-1),"")</f>
        <v/>
      </c>
      <c r="AM22" s="6" t="str" cm="1">
        <f t="array" ref="AM22">IFERROR(INDEX(tblAnalysis[P&amp;L SOL],ROW()-1),"")</f>
        <v/>
      </c>
      <c r="AN22" t="str" cm="1">
        <f t="array" ref="AN22">IFERROR(IF(INDEX(tblTrades[sol_invested],ROW()-1)&gt;0.5,INDEX(tblAnalysis[Token],ROW()-1)&amp;" ("&amp;TEXT(INDEX(tblTrades[sol_invested],ROW()-1),"0.0")&amp;" SOL)",""),"")</f>
        <v/>
      </c>
      <c r="AO22" s="7" t="e" cm="1">
        <f t="array" ref="AO22">IF(INDEX(tblTrades[sol_invested],ROW()-1)&gt;0.5,INDEX(tblAnalysis[Cum P&amp;L SOL],ROW()-1),"")</f>
        <v>#REF!</v>
      </c>
      <c r="AP22" s="12" t="str" cm="1">
        <f t="array" ref="AP22">IFERROR(INDEX(tblAnalysis[Entry MC ($)],ROW()-1),"")</f>
        <v/>
      </c>
      <c r="AQ22" s="10" t="str" cm="1">
        <f t="array" ref="AQ22">IFERROR(INDEX(tblAnalysis[P&amp;L %],ROW()-1),"")</f>
        <v/>
      </c>
      <c r="AR22" t="str" cm="1">
        <f t="array" ref="AR22">IFERROR(INDEX(tblAnalysis[Hold Time (s)],ROW()-1),"")</f>
        <v/>
      </c>
      <c r="AS22" s="6" t="str" cm="1">
        <f t="array" ref="AS22">IFERROR(INDEX(tblAnalysis[P&amp;L SOL],ROW()-1),"")</f>
        <v/>
      </c>
      <c r="AT22"/>
      <c r="AY22" s="10"/>
      <c r="AZ22" s="10"/>
      <c r="BA22" s="6"/>
      <c r="BB22"/>
      <c r="BF22" t="str">
        <f t="shared" si="13"/>
        <v/>
      </c>
      <c r="BG22" s="27" t="str">
        <f t="shared" si="14"/>
        <v/>
      </c>
      <c r="BH22" t="str">
        <f t="shared" si="15"/>
        <v/>
      </c>
      <c r="BL22" s="29" t="e">
        <f t="shared" si="16"/>
        <v>#N/A</v>
      </c>
      <c r="BM22" s="29" t="e">
        <f t="shared" si="17"/>
        <v>#N/A</v>
      </c>
    </row>
    <row r="23" spans="1:65" x14ac:dyDescent="0.35">
      <c r="A23">
        <f t="shared" si="22"/>
        <v>22</v>
      </c>
      <c r="B23" t="e" cm="1">
        <f t="array" ref="B23">INDEX(tblTrades[token_name],ROW()-1)</f>
        <v>#REF!</v>
      </c>
      <c r="C23" s="27" t="e" cm="1">
        <f t="array" ref="C23">INDEX(tblTrades[entry_date],ROW()-1)</f>
        <v>#REF!</v>
      </c>
      <c r="D23" s="2" t="e" cm="1">
        <f t="array" ref="D23">INDEX(tblTrades[entry_mc_actual],ROW()-1)</f>
        <v>#REF!</v>
      </c>
      <c r="E23" s="2" t="e" cm="1">
        <f t="array" ref="E23">INDEX(tblTrades[exit_mc_actual],ROW()-1)</f>
        <v>#REF!</v>
      </c>
      <c r="F23" s="3" t="e" cm="1">
        <f t="array" ref="F23">INDEX(tblTrades[time_in_trade_seconds],ROW()-1)</f>
        <v>#REF!</v>
      </c>
      <c r="G23" s="4" t="str" cm="1">
        <f t="array" ref="G23">IFERROR(INDEX(tblTrades[pnl_percentage],ROW()-1)*1,"")</f>
        <v/>
      </c>
      <c r="H23" s="5" t="str" cm="1">
        <f t="array" ref="H23">IFERROR(INDEX(tblTrades[pnl_sol],ROW()-1)*1,"")</f>
        <v/>
      </c>
      <c r="I23" t="str">
        <f t="shared" si="23"/>
        <v/>
      </c>
      <c r="J23" t="str">
        <f t="shared" si="24"/>
        <v/>
      </c>
      <c r="K23" t="str">
        <f t="shared" si="25"/>
        <v/>
      </c>
      <c r="L23" s="20" t="str" cm="1">
        <f t="array" ref="L23">IFERROR(INDEX(tblTrades[sol_invested],ROW()-1),"")</f>
        <v/>
      </c>
      <c r="M23" s="1">
        <f>COUNTIFS(tblAnalysis[Token],tblAnalysis[[#This Row],[Token]])</f>
        <v>0</v>
      </c>
      <c r="N23" s="1">
        <f>COUNTIFS($B$2:B23,tblAnalysis[[#This Row],[Token]])</f>
        <v>0</v>
      </c>
      <c r="O23" s="5">
        <f>IFERROR(SUM($H$2:H23),"")</f>
        <v>0.40399999999999997</v>
      </c>
      <c r="P23" s="6"/>
      <c r="Q23" s="27"/>
      <c r="R23" s="6" t="str">
        <f>IF(Q23="","",SUMIFS(tblAnalysis[P&amp;L SOL],tblAnalysis[Date],Q23))</f>
        <v/>
      </c>
      <c r="S23" s="10" t="str">
        <f>IF(Q23="","",SUMIFS(tblAnalysis[P&amp;L %],tblAnalysis[Date],Q23))</f>
        <v/>
      </c>
      <c r="T23" s="6" t="str">
        <f>IF(Q23="","",IFERROR(SUM($R$2:R23),""))</f>
        <v/>
      </c>
      <c r="U23" t="str">
        <f>IF(Q23="","",COUNTIFS(tblAnalysis[Date],Q23))</f>
        <v/>
      </c>
      <c r="W23" s="27" t="str">
        <f t="shared" si="4"/>
        <v/>
      </c>
      <c r="X23" s="6" t="str">
        <f t="shared" si="5"/>
        <v/>
      </c>
      <c r="Y23" s="6" t="str">
        <f>IF(Q23="","",MAX(X23,_xlfn.MAXIFS(tblAnalysis[Cum P&amp;L SOL],tblAnalysis[Date],Q23)))</f>
        <v/>
      </c>
      <c r="Z23" s="6" t="str">
        <f>IF(Q23="","",MIN(X23,_xlfn.MINIFS(tblAnalysis[Cum P&amp;L SOL],tblAnalysis[Date],Q23)))</f>
        <v/>
      </c>
      <c r="AA23" s="6" t="str">
        <f t="shared" si="6"/>
        <v/>
      </c>
      <c r="AB23"/>
      <c r="AC23" s="27" t="str">
        <f t="shared" si="7"/>
        <v/>
      </c>
      <c r="AD23" s="10" t="str">
        <f t="shared" si="8"/>
        <v/>
      </c>
      <c r="AE23" s="10" t="str">
        <f t="shared" si="9"/>
        <v/>
      </c>
      <c r="AF23" s="10" t="str">
        <f t="shared" si="10"/>
        <v/>
      </c>
      <c r="AG23"/>
      <c r="AH23" t="str">
        <f t="shared" si="11"/>
        <v/>
      </c>
      <c r="AI23" t="str">
        <f t="shared" si="12"/>
        <v/>
      </c>
      <c r="AK23" cm="1">
        <f t="array" ref="AK23">IFERROR(IF(INDEX($A:$A,ROW())="","",INDEX($A:$A,ROW())),"")</f>
        <v>22</v>
      </c>
      <c r="AL23" t="str" cm="1">
        <f t="array" ref="AL23">IFERROR(INDEX(tblTrades[sol_invested],ROW()-1),"")</f>
        <v/>
      </c>
      <c r="AM23" s="6" t="str" cm="1">
        <f t="array" ref="AM23">IFERROR(INDEX(tblAnalysis[P&amp;L SOL],ROW()-1),"")</f>
        <v/>
      </c>
      <c r="AN23" t="str" cm="1">
        <f t="array" ref="AN23">IFERROR(IF(INDEX(tblTrades[sol_invested],ROW()-1)&gt;0.5,INDEX(tblAnalysis[Token],ROW()-1)&amp;" ("&amp;TEXT(INDEX(tblTrades[sol_invested],ROW()-1),"0.0")&amp;" SOL)",""),"")</f>
        <v/>
      </c>
      <c r="AO23" s="7" t="e" cm="1">
        <f t="array" ref="AO23">IF(INDEX(tblTrades[sol_invested],ROW()-1)&gt;0.5,INDEX(tblAnalysis[Cum P&amp;L SOL],ROW()-1),"")</f>
        <v>#REF!</v>
      </c>
      <c r="AP23" s="12" t="str" cm="1">
        <f t="array" ref="AP23">IFERROR(INDEX(tblAnalysis[Entry MC ($)],ROW()-1),"")</f>
        <v/>
      </c>
      <c r="AQ23" s="10" t="str" cm="1">
        <f t="array" ref="AQ23">IFERROR(INDEX(tblAnalysis[P&amp;L %],ROW()-1),"")</f>
        <v/>
      </c>
      <c r="AR23" t="str" cm="1">
        <f t="array" ref="AR23">IFERROR(INDEX(tblAnalysis[Hold Time (s)],ROW()-1),"")</f>
        <v/>
      </c>
      <c r="AS23" s="6" t="str" cm="1">
        <f t="array" ref="AS23">IFERROR(INDEX(tblAnalysis[P&amp;L SOL],ROW()-1),"")</f>
        <v/>
      </c>
      <c r="AT23"/>
      <c r="AY23" s="10"/>
      <c r="AZ23" s="10"/>
      <c r="BA23" s="6"/>
      <c r="BB23"/>
      <c r="BF23" t="str">
        <f t="shared" si="13"/>
        <v/>
      </c>
      <c r="BG23" s="27" t="str">
        <f t="shared" si="14"/>
        <v/>
      </c>
      <c r="BH23" t="str">
        <f t="shared" si="15"/>
        <v/>
      </c>
      <c r="BL23" s="29" t="e">
        <f t="shared" si="16"/>
        <v>#N/A</v>
      </c>
      <c r="BM23" s="29" t="e">
        <f t="shared" si="17"/>
        <v>#N/A</v>
      </c>
    </row>
    <row r="24" spans="1:65" x14ac:dyDescent="0.35">
      <c r="A24">
        <f t="shared" si="22"/>
        <v>23</v>
      </c>
      <c r="B24" t="e" cm="1">
        <f t="array" ref="B24">INDEX(tblTrades[token_name],ROW()-1)</f>
        <v>#REF!</v>
      </c>
      <c r="C24" s="27" t="e" cm="1">
        <f t="array" ref="C24">INDEX(tblTrades[entry_date],ROW()-1)</f>
        <v>#REF!</v>
      </c>
      <c r="D24" s="2" t="e" cm="1">
        <f t="array" ref="D24">INDEX(tblTrades[entry_mc_actual],ROW()-1)</f>
        <v>#REF!</v>
      </c>
      <c r="E24" s="2" t="e" cm="1">
        <f t="array" ref="E24">INDEX(tblTrades[exit_mc_actual],ROW()-1)</f>
        <v>#REF!</v>
      </c>
      <c r="F24" s="3" t="e" cm="1">
        <f t="array" ref="F24">INDEX(tblTrades[time_in_trade_seconds],ROW()-1)</f>
        <v>#REF!</v>
      </c>
      <c r="G24" s="4" t="str" cm="1">
        <f t="array" ref="G24">IFERROR(INDEX(tblTrades[pnl_percentage],ROW()-1)*1,"")</f>
        <v/>
      </c>
      <c r="H24" s="5" t="str" cm="1">
        <f t="array" ref="H24">IFERROR(INDEX(tblTrades[pnl_sol],ROW()-1)*1,"")</f>
        <v/>
      </c>
      <c r="I24" t="str">
        <f t="shared" si="23"/>
        <v/>
      </c>
      <c r="J24" t="str">
        <f t="shared" si="24"/>
        <v/>
      </c>
      <c r="K24" t="str">
        <f t="shared" si="25"/>
        <v/>
      </c>
      <c r="L24" s="20" t="str" cm="1">
        <f t="array" ref="L24">IFERROR(INDEX(tblTrades[sol_invested],ROW()-1),"")</f>
        <v/>
      </c>
      <c r="M24" s="1">
        <f>COUNTIFS(tblAnalysis[Token],tblAnalysis[[#This Row],[Token]])</f>
        <v>0</v>
      </c>
      <c r="N24" s="1">
        <f>COUNTIFS($B$2:B24,tblAnalysis[[#This Row],[Token]])</f>
        <v>0</v>
      </c>
      <c r="O24" s="5">
        <f>IFERROR(SUM($H$2:H24),"")</f>
        <v>0.40399999999999997</v>
      </c>
      <c r="P24" s="6"/>
      <c r="Q24" s="27"/>
      <c r="R24" s="6" t="str">
        <f>IF(Q24="","",SUMIFS(tblAnalysis[P&amp;L SOL],tblAnalysis[Date],Q24))</f>
        <v/>
      </c>
      <c r="S24" s="10" t="str">
        <f>IF(Q24="","",SUMIFS(tblAnalysis[P&amp;L %],tblAnalysis[Date],Q24))</f>
        <v/>
      </c>
      <c r="T24" s="6" t="str">
        <f>IF(Q24="","",IFERROR(SUM($R$2:R24),""))</f>
        <v/>
      </c>
      <c r="U24" t="str">
        <f>IF(Q24="","",COUNTIFS(tblAnalysis[Date],Q24))</f>
        <v/>
      </c>
      <c r="W24" s="27" t="str">
        <f t="shared" si="4"/>
        <v/>
      </c>
      <c r="X24" s="6" t="str">
        <f t="shared" si="5"/>
        <v/>
      </c>
      <c r="Y24" s="6" t="str">
        <f>IF(Q24="","",MAX(X24,_xlfn.MAXIFS(tblAnalysis[Cum P&amp;L SOL],tblAnalysis[Date],Q24)))</f>
        <v/>
      </c>
      <c r="Z24" s="6" t="str">
        <f>IF(Q24="","",MIN(X24,_xlfn.MINIFS(tblAnalysis[Cum P&amp;L SOL],tblAnalysis[Date],Q24)))</f>
        <v/>
      </c>
      <c r="AA24" s="6" t="str">
        <f t="shared" si="6"/>
        <v/>
      </c>
      <c r="AB24"/>
      <c r="AC24" s="27" t="str">
        <f t="shared" si="7"/>
        <v/>
      </c>
      <c r="AD24" s="10" t="str">
        <f t="shared" si="8"/>
        <v/>
      </c>
      <c r="AE24" s="10" t="str">
        <f t="shared" si="9"/>
        <v/>
      </c>
      <c r="AF24" s="10" t="str">
        <f t="shared" si="10"/>
        <v/>
      </c>
      <c r="AG24"/>
      <c r="AH24" t="str">
        <f t="shared" si="11"/>
        <v/>
      </c>
      <c r="AI24" t="str">
        <f t="shared" si="12"/>
        <v/>
      </c>
      <c r="AK24" cm="1">
        <f t="array" ref="AK24">IFERROR(IF(INDEX($A:$A,ROW())="","",INDEX($A:$A,ROW())),"")</f>
        <v>23</v>
      </c>
      <c r="AL24" t="str" cm="1">
        <f t="array" ref="AL24">IFERROR(INDEX(tblTrades[sol_invested],ROW()-1),"")</f>
        <v/>
      </c>
      <c r="AM24" s="6" t="str" cm="1">
        <f t="array" ref="AM24">IFERROR(INDEX(tblAnalysis[P&amp;L SOL],ROW()-1),"")</f>
        <v/>
      </c>
      <c r="AN24" t="str" cm="1">
        <f t="array" ref="AN24">IFERROR(IF(INDEX(tblTrades[sol_invested],ROW()-1)&gt;0.5,INDEX(tblAnalysis[Token],ROW()-1)&amp;" ("&amp;TEXT(INDEX(tblTrades[sol_invested],ROW()-1),"0.0")&amp;" SOL)",""),"")</f>
        <v/>
      </c>
      <c r="AO24" s="7" t="e" cm="1">
        <f t="array" ref="AO24">IF(INDEX(tblTrades[sol_invested],ROW()-1)&gt;0.5,INDEX(tblAnalysis[Cum P&amp;L SOL],ROW()-1),"")</f>
        <v>#REF!</v>
      </c>
      <c r="AP24" s="12" t="str" cm="1">
        <f t="array" ref="AP24">IFERROR(INDEX(tblAnalysis[Entry MC ($)],ROW()-1),"")</f>
        <v/>
      </c>
      <c r="AQ24" s="10" t="str" cm="1">
        <f t="array" ref="AQ24">IFERROR(INDEX(tblAnalysis[P&amp;L %],ROW()-1),"")</f>
        <v/>
      </c>
      <c r="AR24" t="str" cm="1">
        <f t="array" ref="AR24">IFERROR(INDEX(tblAnalysis[Hold Time (s)],ROW()-1),"")</f>
        <v/>
      </c>
      <c r="AS24" s="6" t="str" cm="1">
        <f t="array" ref="AS24">IFERROR(INDEX(tblAnalysis[P&amp;L SOL],ROW()-1),"")</f>
        <v/>
      </c>
      <c r="AT24"/>
      <c r="AY24" s="10"/>
      <c r="AZ24" s="10"/>
      <c r="BA24" s="6"/>
      <c r="BB24"/>
      <c r="BF24" t="str">
        <f t="shared" si="13"/>
        <v/>
      </c>
      <c r="BG24" s="27" t="str">
        <f t="shared" si="14"/>
        <v/>
      </c>
      <c r="BH24" t="str">
        <f t="shared" si="15"/>
        <v/>
      </c>
      <c r="BL24" s="29" t="e">
        <f t="shared" si="16"/>
        <v>#N/A</v>
      </c>
      <c r="BM24" s="29" t="e">
        <f t="shared" si="17"/>
        <v>#N/A</v>
      </c>
    </row>
    <row r="25" spans="1:65" x14ac:dyDescent="0.35">
      <c r="A25">
        <f t="shared" si="22"/>
        <v>24</v>
      </c>
      <c r="B25" t="e" cm="1">
        <f t="array" ref="B25">INDEX(tblTrades[token_name],ROW()-1)</f>
        <v>#REF!</v>
      </c>
      <c r="C25" s="27" t="e" cm="1">
        <f t="array" ref="C25">INDEX(tblTrades[entry_date],ROW()-1)</f>
        <v>#REF!</v>
      </c>
      <c r="D25" s="2" t="e" cm="1">
        <f t="array" ref="D25">INDEX(tblTrades[entry_mc_actual],ROW()-1)</f>
        <v>#REF!</v>
      </c>
      <c r="E25" s="2" t="e" cm="1">
        <f t="array" ref="E25">INDEX(tblTrades[exit_mc_actual],ROW()-1)</f>
        <v>#REF!</v>
      </c>
      <c r="F25" s="3" t="e" cm="1">
        <f t="array" ref="F25">INDEX(tblTrades[time_in_trade_seconds],ROW()-1)</f>
        <v>#REF!</v>
      </c>
      <c r="G25" s="4" t="str" cm="1">
        <f t="array" ref="G25">IFERROR(INDEX(tblTrades[pnl_percentage],ROW()-1)*1,"")</f>
        <v/>
      </c>
      <c r="H25" s="5" t="str" cm="1">
        <f t="array" ref="H25">IFERROR(INDEX(tblTrades[pnl_sol],ROW()-1)*1,"")</f>
        <v/>
      </c>
      <c r="I25" t="str">
        <f t="shared" si="23"/>
        <v/>
      </c>
      <c r="J25" t="str">
        <f t="shared" si="24"/>
        <v/>
      </c>
      <c r="K25" t="str">
        <f t="shared" si="25"/>
        <v/>
      </c>
      <c r="L25" s="20" t="str" cm="1">
        <f t="array" ref="L25">IFERROR(INDEX(tblTrades[sol_invested],ROW()-1),"")</f>
        <v/>
      </c>
      <c r="M25" s="1">
        <f>COUNTIFS(tblAnalysis[Token],tblAnalysis[[#This Row],[Token]])</f>
        <v>0</v>
      </c>
      <c r="N25" s="1">
        <f>COUNTIFS($B$2:B25,tblAnalysis[[#This Row],[Token]])</f>
        <v>0</v>
      </c>
      <c r="O25" s="5">
        <f>IFERROR(SUM($H$2:H25),"")</f>
        <v>0.40399999999999997</v>
      </c>
      <c r="P25" s="6"/>
      <c r="Q25" s="27"/>
      <c r="R25" s="6" t="str">
        <f>IF(Q25="","",SUMIFS(tblAnalysis[P&amp;L SOL],tblAnalysis[Date],Q25))</f>
        <v/>
      </c>
      <c r="S25" s="10" t="str">
        <f>IF(Q25="","",SUMIFS(tblAnalysis[P&amp;L %],tblAnalysis[Date],Q25))</f>
        <v/>
      </c>
      <c r="T25" s="6" t="str">
        <f>IF(Q25="","",IFERROR(SUM($R$2:R25),""))</f>
        <v/>
      </c>
      <c r="U25" t="str">
        <f>IF(Q25="","",COUNTIFS(tblAnalysis[Date],Q25))</f>
        <v/>
      </c>
      <c r="W25" s="27" t="str">
        <f t="shared" si="4"/>
        <v/>
      </c>
      <c r="X25" s="6" t="str">
        <f t="shared" si="5"/>
        <v/>
      </c>
      <c r="Y25" s="6" t="str">
        <f>IF(Q25="","",MAX(X25,_xlfn.MAXIFS(tblAnalysis[Cum P&amp;L SOL],tblAnalysis[Date],Q25)))</f>
        <v/>
      </c>
      <c r="Z25" s="6" t="str">
        <f>IF(Q25="","",MIN(X25,_xlfn.MINIFS(tblAnalysis[Cum P&amp;L SOL],tblAnalysis[Date],Q25)))</f>
        <v/>
      </c>
      <c r="AA25" s="6" t="str">
        <f t="shared" si="6"/>
        <v/>
      </c>
      <c r="AB25"/>
      <c r="AC25" s="27" t="str">
        <f t="shared" si="7"/>
        <v/>
      </c>
      <c r="AD25" s="10" t="str">
        <f t="shared" si="8"/>
        <v/>
      </c>
      <c r="AE25" s="10" t="str">
        <f t="shared" si="9"/>
        <v/>
      </c>
      <c r="AF25" s="10" t="str">
        <f t="shared" si="10"/>
        <v/>
      </c>
      <c r="AG25"/>
      <c r="AH25" t="str">
        <f t="shared" si="11"/>
        <v/>
      </c>
      <c r="AI25" t="str">
        <f t="shared" si="12"/>
        <v/>
      </c>
      <c r="AK25" cm="1">
        <f t="array" ref="AK25">IFERROR(IF(INDEX($A:$A,ROW())="","",INDEX($A:$A,ROW())),"")</f>
        <v>24</v>
      </c>
      <c r="AL25" t="str" cm="1">
        <f t="array" ref="AL25">IFERROR(INDEX(tblTrades[sol_invested],ROW()-1),"")</f>
        <v/>
      </c>
      <c r="AM25" s="6" t="str" cm="1">
        <f t="array" ref="AM25">IFERROR(INDEX(tblAnalysis[P&amp;L SOL],ROW()-1),"")</f>
        <v/>
      </c>
      <c r="AN25" t="str" cm="1">
        <f t="array" ref="AN25">IFERROR(IF(INDEX(tblTrades[sol_invested],ROW()-1)&gt;0.5,INDEX(tblAnalysis[Token],ROW()-1)&amp;" ("&amp;TEXT(INDEX(tblTrades[sol_invested],ROW()-1),"0.0")&amp;" SOL)",""),"")</f>
        <v/>
      </c>
      <c r="AO25" s="7" t="e" cm="1">
        <f t="array" ref="AO25">IF(INDEX(tblTrades[sol_invested],ROW()-1)&gt;0.5,INDEX(tblAnalysis[Cum P&amp;L SOL],ROW()-1),"")</f>
        <v>#REF!</v>
      </c>
      <c r="AP25" s="12" t="str" cm="1">
        <f t="array" ref="AP25">IFERROR(INDEX(tblAnalysis[Entry MC ($)],ROW()-1),"")</f>
        <v/>
      </c>
      <c r="AQ25" s="10" t="str" cm="1">
        <f t="array" ref="AQ25">IFERROR(INDEX(tblAnalysis[P&amp;L %],ROW()-1),"")</f>
        <v/>
      </c>
      <c r="AR25" t="str" cm="1">
        <f t="array" ref="AR25">IFERROR(INDEX(tblAnalysis[Hold Time (s)],ROW()-1),"")</f>
        <v/>
      </c>
      <c r="AS25" s="6" t="str" cm="1">
        <f t="array" ref="AS25">IFERROR(INDEX(tblAnalysis[P&amp;L SOL],ROW()-1),"")</f>
        <v/>
      </c>
      <c r="AT25"/>
      <c r="AY25" s="10"/>
      <c r="AZ25" s="10"/>
      <c r="BA25" s="6"/>
      <c r="BB25"/>
      <c r="BF25" t="str">
        <f t="shared" si="13"/>
        <v/>
      </c>
      <c r="BG25" s="27" t="str">
        <f t="shared" si="14"/>
        <v/>
      </c>
      <c r="BH25" t="str">
        <f t="shared" si="15"/>
        <v/>
      </c>
      <c r="BL25" s="29" t="e">
        <f t="shared" si="16"/>
        <v>#N/A</v>
      </c>
      <c r="BM25" s="29" t="e">
        <f t="shared" si="17"/>
        <v>#N/A</v>
      </c>
    </row>
    <row r="26" spans="1:65" x14ac:dyDescent="0.35">
      <c r="A26">
        <f t="shared" si="22"/>
        <v>25</v>
      </c>
      <c r="B26" t="e" cm="1">
        <f t="array" ref="B26">INDEX(tblTrades[token_name],ROW()-1)</f>
        <v>#REF!</v>
      </c>
      <c r="C26" s="27" t="e" cm="1">
        <f t="array" ref="C26">INDEX(tblTrades[entry_date],ROW()-1)</f>
        <v>#REF!</v>
      </c>
      <c r="D26" s="2" t="e" cm="1">
        <f t="array" ref="D26">INDEX(tblTrades[entry_mc_actual],ROW()-1)</f>
        <v>#REF!</v>
      </c>
      <c r="E26" s="2" t="e" cm="1">
        <f t="array" ref="E26">INDEX(tblTrades[exit_mc_actual],ROW()-1)</f>
        <v>#REF!</v>
      </c>
      <c r="F26" s="3" t="e" cm="1">
        <f t="array" ref="F26">INDEX(tblTrades[time_in_trade_seconds],ROW()-1)</f>
        <v>#REF!</v>
      </c>
      <c r="G26" s="4" t="str" cm="1">
        <f t="array" ref="G26">IFERROR(INDEX(tblTrades[pnl_percentage],ROW()-1)*1,"")</f>
        <v/>
      </c>
      <c r="H26" s="5" t="str" cm="1">
        <f t="array" ref="H26">IFERROR(INDEX(tblTrades[pnl_sol],ROW()-1)*1,"")</f>
        <v/>
      </c>
      <c r="I26" t="str">
        <f t="shared" si="23"/>
        <v/>
      </c>
      <c r="J26" t="str">
        <f t="shared" si="24"/>
        <v/>
      </c>
      <c r="K26" t="str">
        <f t="shared" si="25"/>
        <v/>
      </c>
      <c r="L26" s="20" t="str" cm="1">
        <f t="array" ref="L26">IFERROR(INDEX(tblTrades[sol_invested],ROW()-1),"")</f>
        <v/>
      </c>
      <c r="M26" s="1">
        <f>COUNTIFS(tblAnalysis[Token],tblAnalysis[[#This Row],[Token]])</f>
        <v>0</v>
      </c>
      <c r="N26" s="1">
        <f>COUNTIFS($B$2:B26,tblAnalysis[[#This Row],[Token]])</f>
        <v>0</v>
      </c>
      <c r="O26" s="5">
        <f>IFERROR(SUM($H$2:H26),"")</f>
        <v>0.40399999999999997</v>
      </c>
      <c r="P26" s="6"/>
      <c r="Q26" s="27"/>
      <c r="R26" s="6" t="str">
        <f>IF(Q26="","",SUMIFS(tblAnalysis[P&amp;L SOL],tblAnalysis[Date],Q26))</f>
        <v/>
      </c>
      <c r="S26" s="10" t="str">
        <f>IF(Q26="","",SUMIFS(tblAnalysis[P&amp;L %],tblAnalysis[Date],Q26))</f>
        <v/>
      </c>
      <c r="T26" s="6" t="str">
        <f>IF(Q26="","",IFERROR(SUM($R$2:R26),""))</f>
        <v/>
      </c>
      <c r="U26" t="str">
        <f>IF(Q26="","",COUNTIFS(tblAnalysis[Date],Q26))</f>
        <v/>
      </c>
      <c r="W26" s="27" t="str">
        <f t="shared" si="4"/>
        <v/>
      </c>
      <c r="X26" s="6" t="str">
        <f t="shared" si="5"/>
        <v/>
      </c>
      <c r="Y26" s="6" t="str">
        <f>IF(Q26="","",MAX(X26,_xlfn.MAXIFS(tblAnalysis[Cum P&amp;L SOL],tblAnalysis[Date],Q26)))</f>
        <v/>
      </c>
      <c r="Z26" s="6" t="str">
        <f>IF(Q26="","",MIN(X26,_xlfn.MINIFS(tblAnalysis[Cum P&amp;L SOL],tblAnalysis[Date],Q26)))</f>
        <v/>
      </c>
      <c r="AA26" s="6" t="str">
        <f t="shared" si="6"/>
        <v/>
      </c>
      <c r="AB26"/>
      <c r="AC26" s="27" t="str">
        <f t="shared" si="7"/>
        <v/>
      </c>
      <c r="AD26" s="10" t="str">
        <f t="shared" si="8"/>
        <v/>
      </c>
      <c r="AE26" s="10" t="str">
        <f t="shared" si="9"/>
        <v/>
      </c>
      <c r="AF26" s="10" t="str">
        <f t="shared" si="10"/>
        <v/>
      </c>
      <c r="AG26"/>
      <c r="AH26" t="str">
        <f t="shared" si="11"/>
        <v/>
      </c>
      <c r="AI26" t="str">
        <f t="shared" si="12"/>
        <v/>
      </c>
      <c r="AK26" cm="1">
        <f t="array" ref="AK26">IFERROR(IF(INDEX($A:$A,ROW())="","",INDEX($A:$A,ROW())),"")</f>
        <v>25</v>
      </c>
      <c r="AL26" t="str" cm="1">
        <f t="array" ref="AL26">IFERROR(INDEX(tblTrades[sol_invested],ROW()-1),"")</f>
        <v/>
      </c>
      <c r="AM26" s="6" t="str" cm="1">
        <f t="array" ref="AM26">IFERROR(INDEX(tblAnalysis[P&amp;L SOL],ROW()-1),"")</f>
        <v/>
      </c>
      <c r="AN26" t="str" cm="1">
        <f t="array" ref="AN26">IFERROR(IF(INDEX(tblTrades[sol_invested],ROW()-1)&gt;0.5,INDEX(tblAnalysis[Token],ROW()-1)&amp;" ("&amp;TEXT(INDEX(tblTrades[sol_invested],ROW()-1),"0.0")&amp;" SOL)",""),"")</f>
        <v/>
      </c>
      <c r="AO26" s="7" t="e" cm="1">
        <f t="array" ref="AO26">IF(INDEX(tblTrades[sol_invested],ROW()-1)&gt;0.5,INDEX(tblAnalysis[Cum P&amp;L SOL],ROW()-1),"")</f>
        <v>#REF!</v>
      </c>
      <c r="AP26" s="12" t="str" cm="1">
        <f t="array" ref="AP26">IFERROR(INDEX(tblAnalysis[Entry MC ($)],ROW()-1),"")</f>
        <v/>
      </c>
      <c r="AQ26" s="10" t="str" cm="1">
        <f t="array" ref="AQ26">IFERROR(INDEX(tblAnalysis[P&amp;L %],ROW()-1),"")</f>
        <v/>
      </c>
      <c r="AR26" t="str" cm="1">
        <f t="array" ref="AR26">IFERROR(INDEX(tblAnalysis[Hold Time (s)],ROW()-1),"")</f>
        <v/>
      </c>
      <c r="AS26" s="6" t="str" cm="1">
        <f t="array" ref="AS26">IFERROR(INDEX(tblAnalysis[P&amp;L SOL],ROW()-1),"")</f>
        <v/>
      </c>
      <c r="AT26"/>
      <c r="AY26" s="10"/>
      <c r="AZ26" s="10"/>
      <c r="BA26" s="6"/>
      <c r="BB26"/>
      <c r="BF26" t="str">
        <f t="shared" si="13"/>
        <v/>
      </c>
      <c r="BG26" s="27" t="str">
        <f t="shared" si="14"/>
        <v/>
      </c>
      <c r="BH26" t="str">
        <f t="shared" si="15"/>
        <v/>
      </c>
      <c r="BL26" s="29" t="e">
        <f t="shared" si="16"/>
        <v>#N/A</v>
      </c>
      <c r="BM26" s="29" t="e">
        <f t="shared" si="17"/>
        <v>#N/A</v>
      </c>
    </row>
    <row r="27" spans="1:65" x14ac:dyDescent="0.35">
      <c r="A27">
        <f t="shared" si="22"/>
        <v>26</v>
      </c>
      <c r="B27" t="e" cm="1">
        <f t="array" ref="B27">INDEX(tblTrades[token_name],ROW()-1)</f>
        <v>#REF!</v>
      </c>
      <c r="C27" s="27" t="e" cm="1">
        <f t="array" ref="C27">INDEX(tblTrades[entry_date],ROW()-1)</f>
        <v>#REF!</v>
      </c>
      <c r="D27" s="2" t="e" cm="1">
        <f t="array" ref="D27">INDEX(tblTrades[entry_mc_actual],ROW()-1)</f>
        <v>#REF!</v>
      </c>
      <c r="E27" s="2" t="e" cm="1">
        <f t="array" ref="E27">INDEX(tblTrades[exit_mc_actual],ROW()-1)</f>
        <v>#REF!</v>
      </c>
      <c r="F27" s="3" t="e" cm="1">
        <f t="array" ref="F27">INDEX(tblTrades[time_in_trade_seconds],ROW()-1)</f>
        <v>#REF!</v>
      </c>
      <c r="G27" s="4" t="str" cm="1">
        <f t="array" ref="G27">IFERROR(INDEX(tblTrades[pnl_percentage],ROW()-1)*1,"")</f>
        <v/>
      </c>
      <c r="H27" s="5" t="str" cm="1">
        <f t="array" ref="H27">IFERROR(INDEX(tblTrades[pnl_sol],ROW()-1)*1,"")</f>
        <v/>
      </c>
      <c r="I27" t="str">
        <f t="shared" si="23"/>
        <v/>
      </c>
      <c r="J27" t="str">
        <f t="shared" si="24"/>
        <v/>
      </c>
      <c r="K27" t="str">
        <f t="shared" si="25"/>
        <v/>
      </c>
      <c r="L27" s="20" t="str" cm="1">
        <f t="array" ref="L27">IFERROR(INDEX(tblTrades[sol_invested],ROW()-1),"")</f>
        <v/>
      </c>
      <c r="M27" s="1">
        <f>COUNTIFS(tblAnalysis[Token],tblAnalysis[[#This Row],[Token]])</f>
        <v>0</v>
      </c>
      <c r="N27" s="1">
        <f>COUNTIFS($B$2:B27,tblAnalysis[[#This Row],[Token]])</f>
        <v>0</v>
      </c>
      <c r="O27" s="5">
        <f>IFERROR(SUM($H$2:H27),"")</f>
        <v>0.40399999999999997</v>
      </c>
      <c r="P27" s="6"/>
      <c r="Q27" s="27"/>
      <c r="R27" s="6" t="str">
        <f>IF(Q27="","",SUMIFS(tblAnalysis[P&amp;L SOL],tblAnalysis[Date],Q27))</f>
        <v/>
      </c>
      <c r="S27" s="10" t="str">
        <f>IF(Q27="","",SUMIFS(tblAnalysis[P&amp;L %],tblAnalysis[Date],Q27))</f>
        <v/>
      </c>
      <c r="T27" s="6" t="str">
        <f>IF(Q27="","",IFERROR(SUM($R$2:R27),""))</f>
        <v/>
      </c>
      <c r="U27" t="str">
        <f>IF(Q27="","",COUNTIFS(tblAnalysis[Date],Q27))</f>
        <v/>
      </c>
      <c r="W27" s="27" t="str">
        <f t="shared" si="4"/>
        <v/>
      </c>
      <c r="X27" s="6" t="str">
        <f t="shared" si="5"/>
        <v/>
      </c>
      <c r="Y27" s="6" t="str">
        <f>IF(Q27="","",MAX(X27,_xlfn.MAXIFS(tblAnalysis[Cum P&amp;L SOL],tblAnalysis[Date],Q27)))</f>
        <v/>
      </c>
      <c r="Z27" s="6" t="str">
        <f>IF(Q27="","",MIN(X27,_xlfn.MINIFS(tblAnalysis[Cum P&amp;L SOL],tblAnalysis[Date],Q27)))</f>
        <v/>
      </c>
      <c r="AA27" s="6" t="str">
        <f t="shared" si="6"/>
        <v/>
      </c>
      <c r="AB27"/>
      <c r="AC27" s="27" t="str">
        <f t="shared" si="7"/>
        <v/>
      </c>
      <c r="AD27" s="10" t="str">
        <f t="shared" si="8"/>
        <v/>
      </c>
      <c r="AE27" s="10" t="str">
        <f t="shared" si="9"/>
        <v/>
      </c>
      <c r="AF27" s="10" t="str">
        <f t="shared" si="10"/>
        <v/>
      </c>
      <c r="AG27"/>
      <c r="AH27" t="str">
        <f t="shared" si="11"/>
        <v/>
      </c>
      <c r="AI27" t="str">
        <f t="shared" si="12"/>
        <v/>
      </c>
      <c r="AK27" cm="1">
        <f t="array" ref="AK27">IFERROR(IF(INDEX($A:$A,ROW())="","",INDEX($A:$A,ROW())),"")</f>
        <v>26</v>
      </c>
      <c r="AL27" t="str" cm="1">
        <f t="array" ref="AL27">IFERROR(INDEX(tblTrades[sol_invested],ROW()-1),"")</f>
        <v/>
      </c>
      <c r="AM27" s="6" t="str" cm="1">
        <f t="array" ref="AM27">IFERROR(INDEX(tblAnalysis[P&amp;L SOL],ROW()-1),"")</f>
        <v/>
      </c>
      <c r="AN27" t="str" cm="1">
        <f t="array" ref="AN27">IFERROR(IF(INDEX(tblTrades[sol_invested],ROW()-1)&gt;0.5,INDEX(tblAnalysis[Token],ROW()-1)&amp;" ("&amp;TEXT(INDEX(tblTrades[sol_invested],ROW()-1),"0.0")&amp;" SOL)",""),"")</f>
        <v/>
      </c>
      <c r="AO27" s="7" t="e" cm="1">
        <f t="array" ref="AO27">IF(INDEX(tblTrades[sol_invested],ROW()-1)&gt;0.5,INDEX(tblAnalysis[Cum P&amp;L SOL],ROW()-1),"")</f>
        <v>#REF!</v>
      </c>
      <c r="AP27" s="12" t="str" cm="1">
        <f t="array" ref="AP27">IFERROR(INDEX(tblAnalysis[Entry MC ($)],ROW()-1),"")</f>
        <v/>
      </c>
      <c r="AQ27" s="10" t="str" cm="1">
        <f t="array" ref="AQ27">IFERROR(INDEX(tblAnalysis[P&amp;L %],ROW()-1),"")</f>
        <v/>
      </c>
      <c r="AR27" t="str" cm="1">
        <f t="array" ref="AR27">IFERROR(INDEX(tblAnalysis[Hold Time (s)],ROW()-1),"")</f>
        <v/>
      </c>
      <c r="AS27" s="6" t="str" cm="1">
        <f t="array" ref="AS27">IFERROR(INDEX(tblAnalysis[P&amp;L SOL],ROW()-1),"")</f>
        <v/>
      </c>
      <c r="AT27"/>
      <c r="AY27" s="10"/>
      <c r="AZ27" s="10"/>
      <c r="BA27" s="6"/>
      <c r="BB27"/>
      <c r="BF27" t="str">
        <f t="shared" si="13"/>
        <v/>
      </c>
      <c r="BG27" s="27" t="str">
        <f t="shared" si="14"/>
        <v/>
      </c>
      <c r="BH27" t="str">
        <f t="shared" si="15"/>
        <v/>
      </c>
      <c r="BL27" s="29" t="e">
        <f t="shared" si="16"/>
        <v>#N/A</v>
      </c>
      <c r="BM27" s="29" t="e">
        <f t="shared" si="17"/>
        <v>#N/A</v>
      </c>
    </row>
    <row r="28" spans="1:65" x14ac:dyDescent="0.35">
      <c r="A28">
        <f t="shared" si="22"/>
        <v>27</v>
      </c>
      <c r="B28" t="e" cm="1">
        <f t="array" ref="B28">INDEX(tblTrades[token_name],ROW()-1)</f>
        <v>#REF!</v>
      </c>
      <c r="C28" s="27" t="e" cm="1">
        <f t="array" ref="C28">INDEX(tblTrades[entry_date],ROW()-1)</f>
        <v>#REF!</v>
      </c>
      <c r="D28" s="2" t="e" cm="1">
        <f t="array" ref="D28">INDEX(tblTrades[entry_mc_actual],ROW()-1)</f>
        <v>#REF!</v>
      </c>
      <c r="E28" s="2" t="e" cm="1">
        <f t="array" ref="E28">INDEX(tblTrades[exit_mc_actual],ROW()-1)</f>
        <v>#REF!</v>
      </c>
      <c r="F28" s="3" t="e" cm="1">
        <f t="array" ref="F28">INDEX(tblTrades[time_in_trade_seconds],ROW()-1)</f>
        <v>#REF!</v>
      </c>
      <c r="G28" s="4" t="str" cm="1">
        <f t="array" ref="G28">IFERROR(INDEX(tblTrades[pnl_percentage],ROW()-1)*1,"")</f>
        <v/>
      </c>
      <c r="H28" s="5" t="str" cm="1">
        <f t="array" ref="H28">IFERROR(INDEX(tblTrades[pnl_sol],ROW()-1)*1,"")</f>
        <v/>
      </c>
      <c r="I28" t="str">
        <f t="shared" si="23"/>
        <v/>
      </c>
      <c r="J28" t="str">
        <f t="shared" si="24"/>
        <v/>
      </c>
      <c r="K28" t="str">
        <f t="shared" si="25"/>
        <v/>
      </c>
      <c r="L28" s="20" t="str" cm="1">
        <f t="array" ref="L28">IFERROR(INDEX(tblTrades[sol_invested],ROW()-1),"")</f>
        <v/>
      </c>
      <c r="M28" s="1">
        <f>COUNTIFS(tblAnalysis[Token],tblAnalysis[[#This Row],[Token]])</f>
        <v>0</v>
      </c>
      <c r="N28" s="1">
        <f>COUNTIFS($B$2:B28,tblAnalysis[[#This Row],[Token]])</f>
        <v>0</v>
      </c>
      <c r="O28" s="5">
        <f>IFERROR(SUM($H$2:H28),"")</f>
        <v>0.40399999999999997</v>
      </c>
      <c r="P28" s="6"/>
      <c r="Q28" s="27"/>
      <c r="R28" s="6" t="str">
        <f>IF(Q28="","",SUMIFS(tblAnalysis[P&amp;L SOL],tblAnalysis[Date],Q28))</f>
        <v/>
      </c>
      <c r="S28" s="10" t="str">
        <f>IF(Q28="","",SUMIFS(tblAnalysis[P&amp;L %],tblAnalysis[Date],Q28))</f>
        <v/>
      </c>
      <c r="T28" s="6" t="str">
        <f>IF(Q28="","",IFERROR(SUM($R$2:R28),""))</f>
        <v/>
      </c>
      <c r="U28" t="str">
        <f>IF(Q28="","",COUNTIFS(tblAnalysis[Date],Q28))</f>
        <v/>
      </c>
      <c r="W28" s="27" t="str">
        <f t="shared" si="4"/>
        <v/>
      </c>
      <c r="X28" s="6" t="str">
        <f t="shared" si="5"/>
        <v/>
      </c>
      <c r="Y28" s="6" t="str">
        <f>IF(Q28="","",MAX(X28,_xlfn.MAXIFS(tblAnalysis[Cum P&amp;L SOL],tblAnalysis[Date],Q28)))</f>
        <v/>
      </c>
      <c r="Z28" s="6" t="str">
        <f>IF(Q28="","",MIN(X28,_xlfn.MINIFS(tblAnalysis[Cum P&amp;L SOL],tblAnalysis[Date],Q28)))</f>
        <v/>
      </c>
      <c r="AA28" s="6" t="str">
        <f t="shared" si="6"/>
        <v/>
      </c>
      <c r="AB28"/>
      <c r="AC28" s="27" t="str">
        <f t="shared" si="7"/>
        <v/>
      </c>
      <c r="AD28" s="10" t="str">
        <f t="shared" si="8"/>
        <v/>
      </c>
      <c r="AE28" s="10" t="str">
        <f t="shared" si="9"/>
        <v/>
      </c>
      <c r="AF28" s="10" t="str">
        <f t="shared" si="10"/>
        <v/>
      </c>
      <c r="AG28"/>
      <c r="AH28" t="str">
        <f t="shared" si="11"/>
        <v/>
      </c>
      <c r="AI28" t="str">
        <f t="shared" si="12"/>
        <v/>
      </c>
      <c r="AK28" cm="1">
        <f t="array" ref="AK28">IFERROR(IF(INDEX($A:$A,ROW())="","",INDEX($A:$A,ROW())),"")</f>
        <v>27</v>
      </c>
      <c r="AL28" t="str" cm="1">
        <f t="array" ref="AL28">IFERROR(INDEX(tblTrades[sol_invested],ROW()-1),"")</f>
        <v/>
      </c>
      <c r="AM28" s="6" t="str" cm="1">
        <f t="array" ref="AM28">IFERROR(INDEX(tblAnalysis[P&amp;L SOL],ROW()-1),"")</f>
        <v/>
      </c>
      <c r="AN28" t="str" cm="1">
        <f t="array" ref="AN28">IFERROR(IF(INDEX(tblTrades[sol_invested],ROW()-1)&gt;0.5,INDEX(tblAnalysis[Token],ROW()-1)&amp;" ("&amp;TEXT(INDEX(tblTrades[sol_invested],ROW()-1),"0.0")&amp;" SOL)",""),"")</f>
        <v/>
      </c>
      <c r="AO28" s="7" t="e" cm="1">
        <f t="array" ref="AO28">IF(INDEX(tblTrades[sol_invested],ROW()-1)&gt;0.5,INDEX(tblAnalysis[Cum P&amp;L SOL],ROW()-1),"")</f>
        <v>#REF!</v>
      </c>
      <c r="AP28" s="12" t="str" cm="1">
        <f t="array" ref="AP28">IFERROR(INDEX(tblAnalysis[Entry MC ($)],ROW()-1),"")</f>
        <v/>
      </c>
      <c r="AQ28" s="10" t="str" cm="1">
        <f t="array" ref="AQ28">IFERROR(INDEX(tblAnalysis[P&amp;L %],ROW()-1),"")</f>
        <v/>
      </c>
      <c r="AR28" t="str" cm="1">
        <f t="array" ref="AR28">IFERROR(INDEX(tblAnalysis[Hold Time (s)],ROW()-1),"")</f>
        <v/>
      </c>
      <c r="AS28" s="6" t="str" cm="1">
        <f t="array" ref="AS28">IFERROR(INDEX(tblAnalysis[P&amp;L SOL],ROW()-1),"")</f>
        <v/>
      </c>
      <c r="AT28"/>
      <c r="AY28" s="10"/>
      <c r="AZ28" s="10"/>
      <c r="BA28" s="6"/>
      <c r="BB28"/>
      <c r="BF28" t="str">
        <f t="shared" si="13"/>
        <v/>
      </c>
      <c r="BG28" s="27" t="str">
        <f t="shared" si="14"/>
        <v/>
      </c>
      <c r="BH28" t="str">
        <f t="shared" si="15"/>
        <v/>
      </c>
      <c r="BL28" s="29" t="e">
        <f t="shared" si="16"/>
        <v>#N/A</v>
      </c>
      <c r="BM28" s="29" t="e">
        <f t="shared" si="17"/>
        <v>#N/A</v>
      </c>
    </row>
    <row r="29" spans="1:65" x14ac:dyDescent="0.35">
      <c r="A29">
        <f t="shared" si="22"/>
        <v>28</v>
      </c>
      <c r="B29" t="e" cm="1">
        <f t="array" ref="B29">INDEX(tblTrades[token_name],ROW()-1)</f>
        <v>#REF!</v>
      </c>
      <c r="C29" s="27" t="e" cm="1">
        <f t="array" ref="C29">INDEX(tblTrades[entry_date],ROW()-1)</f>
        <v>#REF!</v>
      </c>
      <c r="D29" s="2" t="e" cm="1">
        <f t="array" ref="D29">INDEX(tblTrades[entry_mc_actual],ROW()-1)</f>
        <v>#REF!</v>
      </c>
      <c r="E29" s="2" t="e" cm="1">
        <f t="array" ref="E29">INDEX(tblTrades[exit_mc_actual],ROW()-1)</f>
        <v>#REF!</v>
      </c>
      <c r="F29" s="3" t="e" cm="1">
        <f t="array" ref="F29">INDEX(tblTrades[time_in_trade_seconds],ROW()-1)</f>
        <v>#REF!</v>
      </c>
      <c r="G29" s="4" t="str" cm="1">
        <f t="array" ref="G29">IFERROR(INDEX(tblTrades[pnl_percentage],ROW()-1)*1,"")</f>
        <v/>
      </c>
      <c r="H29" s="5" t="str" cm="1">
        <f t="array" ref="H29">IFERROR(INDEX(tblTrades[pnl_sol],ROW()-1)*1,"")</f>
        <v/>
      </c>
      <c r="I29" t="str">
        <f t="shared" si="23"/>
        <v/>
      </c>
      <c r="J29" t="str">
        <f t="shared" si="24"/>
        <v/>
      </c>
      <c r="K29" t="str">
        <f t="shared" si="25"/>
        <v/>
      </c>
      <c r="L29" s="20" t="str" cm="1">
        <f t="array" ref="L29">IFERROR(INDEX(tblTrades[sol_invested],ROW()-1),"")</f>
        <v/>
      </c>
      <c r="M29" s="1">
        <f>COUNTIFS(tblAnalysis[Token],tblAnalysis[[#This Row],[Token]])</f>
        <v>0</v>
      </c>
      <c r="N29" s="1">
        <f>COUNTIFS($B$2:B29,tblAnalysis[[#This Row],[Token]])</f>
        <v>0</v>
      </c>
      <c r="O29" s="5">
        <f>IFERROR(SUM($H$2:H29),"")</f>
        <v>0.40399999999999997</v>
      </c>
      <c r="P29" s="6"/>
      <c r="Q29" s="27"/>
      <c r="R29" s="6" t="str">
        <f>IF(Q29="","",SUMIFS(tblAnalysis[P&amp;L SOL],tblAnalysis[Date],Q29))</f>
        <v/>
      </c>
      <c r="S29" s="10" t="str">
        <f>IF(Q29="","",SUMIFS(tblAnalysis[P&amp;L %],tblAnalysis[Date],Q29))</f>
        <v/>
      </c>
      <c r="T29" s="6" t="str">
        <f>IF(Q29="","",IFERROR(SUM($R$2:R29),""))</f>
        <v/>
      </c>
      <c r="U29" t="str">
        <f>IF(Q29="","",COUNTIFS(tblAnalysis[Date],Q29))</f>
        <v/>
      </c>
      <c r="W29" s="27" t="str">
        <f t="shared" si="4"/>
        <v/>
      </c>
      <c r="X29" s="6" t="str">
        <f t="shared" si="5"/>
        <v/>
      </c>
      <c r="Y29" s="6" t="str">
        <f>IF(Q29="","",MAX(X29,_xlfn.MAXIFS(tblAnalysis[Cum P&amp;L SOL],tblAnalysis[Date],Q29)))</f>
        <v/>
      </c>
      <c r="Z29" s="6" t="str">
        <f>IF(Q29="","",MIN(X29,_xlfn.MINIFS(tblAnalysis[Cum P&amp;L SOL],tblAnalysis[Date],Q29)))</f>
        <v/>
      </c>
      <c r="AA29" s="6" t="str">
        <f t="shared" si="6"/>
        <v/>
      </c>
      <c r="AB29"/>
      <c r="AC29" s="27" t="str">
        <f t="shared" si="7"/>
        <v/>
      </c>
      <c r="AD29" s="10" t="str">
        <f t="shared" si="8"/>
        <v/>
      </c>
      <c r="AE29" s="10" t="str">
        <f t="shared" si="9"/>
        <v/>
      </c>
      <c r="AF29" s="10" t="str">
        <f t="shared" si="10"/>
        <v/>
      </c>
      <c r="AG29"/>
      <c r="AH29" t="str">
        <f t="shared" si="11"/>
        <v/>
      </c>
      <c r="AI29" t="str">
        <f t="shared" si="12"/>
        <v/>
      </c>
      <c r="AK29" cm="1">
        <f t="array" ref="AK29">IFERROR(IF(INDEX($A:$A,ROW())="","",INDEX($A:$A,ROW())),"")</f>
        <v>28</v>
      </c>
      <c r="AL29" t="str" cm="1">
        <f t="array" ref="AL29">IFERROR(INDEX(tblTrades[sol_invested],ROW()-1),"")</f>
        <v/>
      </c>
      <c r="AM29" s="6" t="str" cm="1">
        <f t="array" ref="AM29">IFERROR(INDEX(tblAnalysis[P&amp;L SOL],ROW()-1),"")</f>
        <v/>
      </c>
      <c r="AN29" t="str" cm="1">
        <f t="array" ref="AN29">IFERROR(IF(INDEX(tblTrades[sol_invested],ROW()-1)&gt;0.5,INDEX(tblAnalysis[Token],ROW()-1)&amp;" ("&amp;TEXT(INDEX(tblTrades[sol_invested],ROW()-1),"0.0")&amp;" SOL)",""),"")</f>
        <v/>
      </c>
      <c r="AO29" s="7" t="e" cm="1">
        <f t="array" ref="AO29">IF(INDEX(tblTrades[sol_invested],ROW()-1)&gt;0.5,INDEX(tblAnalysis[Cum P&amp;L SOL],ROW()-1),"")</f>
        <v>#REF!</v>
      </c>
      <c r="AP29" s="12" t="str" cm="1">
        <f t="array" ref="AP29">IFERROR(INDEX(tblAnalysis[Entry MC ($)],ROW()-1),"")</f>
        <v/>
      </c>
      <c r="AQ29" s="10" t="str" cm="1">
        <f t="array" ref="AQ29">IFERROR(INDEX(tblAnalysis[P&amp;L %],ROW()-1),"")</f>
        <v/>
      </c>
      <c r="AR29" t="str" cm="1">
        <f t="array" ref="AR29">IFERROR(INDEX(tblAnalysis[Hold Time (s)],ROW()-1),"")</f>
        <v/>
      </c>
      <c r="AS29" s="6" t="str" cm="1">
        <f t="array" ref="AS29">IFERROR(INDEX(tblAnalysis[P&amp;L SOL],ROW()-1),"")</f>
        <v/>
      </c>
      <c r="AT29"/>
      <c r="AY29" s="10"/>
      <c r="AZ29" s="10"/>
      <c r="BA29" s="6"/>
      <c r="BB29"/>
      <c r="BF29" t="str">
        <f t="shared" si="13"/>
        <v/>
      </c>
      <c r="BG29" s="27" t="str">
        <f t="shared" si="14"/>
        <v/>
      </c>
      <c r="BH29" t="str">
        <f t="shared" si="15"/>
        <v/>
      </c>
      <c r="BL29" s="29" t="e">
        <f t="shared" si="16"/>
        <v>#N/A</v>
      </c>
      <c r="BM29" s="29" t="e">
        <f t="shared" si="17"/>
        <v>#N/A</v>
      </c>
    </row>
    <row r="30" spans="1:65" x14ac:dyDescent="0.35">
      <c r="A30">
        <f t="shared" si="22"/>
        <v>29</v>
      </c>
      <c r="B30" t="e" cm="1">
        <f t="array" ref="B30">INDEX(tblTrades[token_name],ROW()-1)</f>
        <v>#REF!</v>
      </c>
      <c r="C30" s="27" t="e" cm="1">
        <f t="array" ref="C30">INDEX(tblTrades[entry_date],ROW()-1)</f>
        <v>#REF!</v>
      </c>
      <c r="D30" s="2" t="e" cm="1">
        <f t="array" ref="D30">INDEX(tblTrades[entry_mc_actual],ROW()-1)</f>
        <v>#REF!</v>
      </c>
      <c r="E30" s="2" t="e" cm="1">
        <f t="array" ref="E30">INDEX(tblTrades[exit_mc_actual],ROW()-1)</f>
        <v>#REF!</v>
      </c>
      <c r="F30" s="3" t="e" cm="1">
        <f t="array" ref="F30">INDEX(tblTrades[time_in_trade_seconds],ROW()-1)</f>
        <v>#REF!</v>
      </c>
      <c r="G30" s="4" t="str" cm="1">
        <f t="array" ref="G30">IFERROR(INDEX(tblTrades[pnl_percentage],ROW()-1)*1,"")</f>
        <v/>
      </c>
      <c r="H30" s="5" t="str" cm="1">
        <f t="array" ref="H30">IFERROR(INDEX(tblTrades[pnl_sol],ROW()-1)*1,"")</f>
        <v/>
      </c>
      <c r="I30" t="str">
        <f t="shared" si="23"/>
        <v/>
      </c>
      <c r="J30" t="str">
        <f t="shared" si="24"/>
        <v/>
      </c>
      <c r="K30" t="str">
        <f t="shared" si="25"/>
        <v/>
      </c>
      <c r="L30" s="20" t="str" cm="1">
        <f t="array" ref="L30">IFERROR(INDEX(tblTrades[sol_invested],ROW()-1),"")</f>
        <v/>
      </c>
      <c r="M30" s="1">
        <f>COUNTIFS(tblAnalysis[Token],tblAnalysis[[#This Row],[Token]])</f>
        <v>0</v>
      </c>
      <c r="N30" s="1">
        <f>COUNTIFS($B$2:B30,tblAnalysis[[#This Row],[Token]])</f>
        <v>0</v>
      </c>
      <c r="O30" s="5">
        <f>IFERROR(SUM($H$2:H30),"")</f>
        <v>0.40399999999999997</v>
      </c>
      <c r="P30" s="6"/>
      <c r="Q30" s="27"/>
      <c r="R30" s="6" t="str">
        <f>IF(Q30="","",SUMIFS(tblAnalysis[P&amp;L SOL],tblAnalysis[Date],Q30))</f>
        <v/>
      </c>
      <c r="S30" s="10" t="str">
        <f>IF(Q30="","",SUMIFS(tblAnalysis[P&amp;L %],tblAnalysis[Date],Q30))</f>
        <v/>
      </c>
      <c r="T30" s="6" t="str">
        <f>IF(Q30="","",IFERROR(SUM($R$2:R30),""))</f>
        <v/>
      </c>
      <c r="U30" t="str">
        <f>IF(Q30="","",COUNTIFS(tblAnalysis[Date],Q30))</f>
        <v/>
      </c>
      <c r="W30" s="27" t="str">
        <f t="shared" si="4"/>
        <v/>
      </c>
      <c r="X30" s="6" t="str">
        <f t="shared" si="5"/>
        <v/>
      </c>
      <c r="Y30" s="6" t="str">
        <f>IF(Q30="","",MAX(X30,_xlfn.MAXIFS(tblAnalysis[Cum P&amp;L SOL],tblAnalysis[Date],Q30)))</f>
        <v/>
      </c>
      <c r="Z30" s="6" t="str">
        <f>IF(Q30="","",MIN(X30,_xlfn.MINIFS(tblAnalysis[Cum P&amp;L SOL],tblAnalysis[Date],Q30)))</f>
        <v/>
      </c>
      <c r="AA30" s="6" t="str">
        <f t="shared" si="6"/>
        <v/>
      </c>
      <c r="AB30"/>
      <c r="AC30" s="27" t="str">
        <f t="shared" si="7"/>
        <v/>
      </c>
      <c r="AD30" s="10" t="str">
        <f t="shared" si="8"/>
        <v/>
      </c>
      <c r="AE30" s="10" t="str">
        <f t="shared" si="9"/>
        <v/>
      </c>
      <c r="AF30" s="10" t="str">
        <f t="shared" si="10"/>
        <v/>
      </c>
      <c r="AG30"/>
      <c r="AH30" t="str">
        <f t="shared" si="11"/>
        <v/>
      </c>
      <c r="AI30" t="str">
        <f t="shared" si="12"/>
        <v/>
      </c>
      <c r="AK30" cm="1">
        <f t="array" ref="AK30">IFERROR(IF(INDEX($A:$A,ROW())="","",INDEX($A:$A,ROW())),"")</f>
        <v>29</v>
      </c>
      <c r="AL30" t="str" cm="1">
        <f t="array" ref="AL30">IFERROR(INDEX(tblTrades[sol_invested],ROW()-1),"")</f>
        <v/>
      </c>
      <c r="AM30" s="6" t="str" cm="1">
        <f t="array" ref="AM30">IFERROR(INDEX(tblAnalysis[P&amp;L SOL],ROW()-1),"")</f>
        <v/>
      </c>
      <c r="AN30" t="str" cm="1">
        <f t="array" ref="AN30">IFERROR(IF(INDEX(tblTrades[sol_invested],ROW()-1)&gt;0.5,INDEX(tblAnalysis[Token],ROW()-1)&amp;" ("&amp;TEXT(INDEX(tblTrades[sol_invested],ROW()-1),"0.0")&amp;" SOL)",""),"")</f>
        <v/>
      </c>
      <c r="AO30" s="7" t="e" cm="1">
        <f t="array" ref="AO30">IF(INDEX(tblTrades[sol_invested],ROW()-1)&gt;0.5,INDEX(tblAnalysis[Cum P&amp;L SOL],ROW()-1),"")</f>
        <v>#REF!</v>
      </c>
      <c r="AP30" s="12" t="str" cm="1">
        <f t="array" ref="AP30">IFERROR(INDEX(tblAnalysis[Entry MC ($)],ROW()-1),"")</f>
        <v/>
      </c>
      <c r="AQ30" s="10" t="str" cm="1">
        <f t="array" ref="AQ30">IFERROR(INDEX(tblAnalysis[P&amp;L %],ROW()-1),"")</f>
        <v/>
      </c>
      <c r="AR30" t="str" cm="1">
        <f t="array" ref="AR30">IFERROR(INDEX(tblAnalysis[Hold Time (s)],ROW()-1),"")</f>
        <v/>
      </c>
      <c r="AS30" s="6" t="str" cm="1">
        <f t="array" ref="AS30">IFERROR(INDEX(tblAnalysis[P&amp;L SOL],ROW()-1),"")</f>
        <v/>
      </c>
      <c r="AT30"/>
      <c r="AY30" s="10"/>
      <c r="AZ30" s="10"/>
      <c r="BA30" s="6"/>
      <c r="BB30"/>
      <c r="BF30" t="str">
        <f t="shared" si="13"/>
        <v/>
      </c>
      <c r="BG30" s="27" t="str">
        <f t="shared" si="14"/>
        <v/>
      </c>
      <c r="BH30" t="str">
        <f t="shared" si="15"/>
        <v/>
      </c>
      <c r="BL30" s="29" t="e">
        <f t="shared" si="16"/>
        <v>#N/A</v>
      </c>
      <c r="BM30" s="29" t="e">
        <f t="shared" si="17"/>
        <v>#N/A</v>
      </c>
    </row>
    <row r="31" spans="1:65" x14ac:dyDescent="0.35">
      <c r="A31">
        <f t="shared" si="22"/>
        <v>30</v>
      </c>
      <c r="B31" t="e" cm="1">
        <f t="array" ref="B31">INDEX(tblTrades[token_name],ROW()-1)</f>
        <v>#REF!</v>
      </c>
      <c r="C31" s="27" t="e" cm="1">
        <f t="array" ref="C31">INDEX(tblTrades[entry_date],ROW()-1)</f>
        <v>#REF!</v>
      </c>
      <c r="D31" s="2" t="e" cm="1">
        <f t="array" ref="D31">INDEX(tblTrades[entry_mc_actual],ROW()-1)</f>
        <v>#REF!</v>
      </c>
      <c r="E31" s="2" t="e" cm="1">
        <f t="array" ref="E31">INDEX(tblTrades[exit_mc_actual],ROW()-1)</f>
        <v>#REF!</v>
      </c>
      <c r="F31" s="3" t="e" cm="1">
        <f t="array" ref="F31">INDEX(tblTrades[time_in_trade_seconds],ROW()-1)</f>
        <v>#REF!</v>
      </c>
      <c r="G31" s="4" t="str" cm="1">
        <f t="array" ref="G31">IFERROR(INDEX(tblTrades[pnl_percentage],ROW()-1)*1,"")</f>
        <v/>
      </c>
      <c r="H31" s="5" t="str" cm="1">
        <f t="array" ref="H31">IFERROR(INDEX(tblTrades[pnl_sol],ROW()-1)*1,"")</f>
        <v/>
      </c>
      <c r="I31" t="str">
        <f t="shared" si="23"/>
        <v/>
      </c>
      <c r="J31" t="str">
        <f t="shared" si="24"/>
        <v/>
      </c>
      <c r="K31" t="str">
        <f t="shared" si="25"/>
        <v/>
      </c>
      <c r="L31" s="20" t="str" cm="1">
        <f t="array" ref="L31">IFERROR(INDEX(tblTrades[sol_invested],ROW()-1),"")</f>
        <v/>
      </c>
      <c r="M31" s="1">
        <f>COUNTIFS(tblAnalysis[Token],tblAnalysis[[#This Row],[Token]])</f>
        <v>0</v>
      </c>
      <c r="N31" s="1">
        <f>COUNTIFS($B$2:B31,tblAnalysis[[#This Row],[Token]])</f>
        <v>0</v>
      </c>
      <c r="O31" s="5">
        <f>IFERROR(SUM($H$2:H31),"")</f>
        <v>0.40399999999999997</v>
      </c>
      <c r="P31" s="6"/>
      <c r="Q31" s="27"/>
      <c r="R31" s="6" t="str">
        <f>IF(Q31="","",SUMIFS(tblAnalysis[P&amp;L SOL],tblAnalysis[Date],Q31))</f>
        <v/>
      </c>
      <c r="S31" s="10" t="str">
        <f>IF(Q31="","",SUMIFS(tblAnalysis[P&amp;L %],tblAnalysis[Date],Q31))</f>
        <v/>
      </c>
      <c r="T31" s="6" t="str">
        <f>IF(Q31="","",IFERROR(SUM($R$2:R31),""))</f>
        <v/>
      </c>
      <c r="U31" t="str">
        <f>IF(Q31="","",COUNTIFS(tblAnalysis[Date],Q31))</f>
        <v/>
      </c>
      <c r="W31" s="27" t="str">
        <f t="shared" si="4"/>
        <v/>
      </c>
      <c r="X31" s="6" t="str">
        <f t="shared" si="5"/>
        <v/>
      </c>
      <c r="Y31" s="6" t="str">
        <f>IF(Q31="","",MAX(X31,_xlfn.MAXIFS(tblAnalysis[Cum P&amp;L SOL],tblAnalysis[Date],Q31)))</f>
        <v/>
      </c>
      <c r="Z31" s="6" t="str">
        <f>IF(Q31="","",MIN(X31,_xlfn.MINIFS(tblAnalysis[Cum P&amp;L SOL],tblAnalysis[Date],Q31)))</f>
        <v/>
      </c>
      <c r="AA31" s="6" t="str">
        <f t="shared" si="6"/>
        <v/>
      </c>
      <c r="AB31"/>
      <c r="AC31" s="27" t="str">
        <f t="shared" si="7"/>
        <v/>
      </c>
      <c r="AD31" s="10" t="str">
        <f t="shared" si="8"/>
        <v/>
      </c>
      <c r="AE31" s="10" t="str">
        <f t="shared" si="9"/>
        <v/>
      </c>
      <c r="AF31" s="10" t="str">
        <f t="shared" si="10"/>
        <v/>
      </c>
      <c r="AG31"/>
      <c r="AH31" t="str">
        <f t="shared" si="11"/>
        <v/>
      </c>
      <c r="AI31" t="str">
        <f t="shared" si="12"/>
        <v/>
      </c>
      <c r="AK31" cm="1">
        <f t="array" ref="AK31">IFERROR(IF(INDEX($A:$A,ROW())="","",INDEX($A:$A,ROW())),"")</f>
        <v>30</v>
      </c>
      <c r="AL31" t="str" cm="1">
        <f t="array" ref="AL31">IFERROR(INDEX(tblTrades[sol_invested],ROW()-1),"")</f>
        <v/>
      </c>
      <c r="AM31" s="6" t="str" cm="1">
        <f t="array" ref="AM31">IFERROR(INDEX(tblAnalysis[P&amp;L SOL],ROW()-1),"")</f>
        <v/>
      </c>
      <c r="AN31" t="str" cm="1">
        <f t="array" ref="AN31">IFERROR(IF(INDEX(tblTrades[sol_invested],ROW()-1)&gt;0.5,INDEX(tblAnalysis[Token],ROW()-1)&amp;" ("&amp;TEXT(INDEX(tblTrades[sol_invested],ROW()-1),"0.0")&amp;" SOL)",""),"")</f>
        <v/>
      </c>
      <c r="AO31" s="7" t="e" cm="1">
        <f t="array" ref="AO31">IF(INDEX(tblTrades[sol_invested],ROW()-1)&gt;0.5,INDEX(tblAnalysis[Cum P&amp;L SOL],ROW()-1),"")</f>
        <v>#REF!</v>
      </c>
      <c r="AP31" s="12" t="str" cm="1">
        <f t="array" ref="AP31">IFERROR(INDEX(tblAnalysis[Entry MC ($)],ROW()-1),"")</f>
        <v/>
      </c>
      <c r="AQ31" s="10" t="str" cm="1">
        <f t="array" ref="AQ31">IFERROR(INDEX(tblAnalysis[P&amp;L %],ROW()-1),"")</f>
        <v/>
      </c>
      <c r="AR31" t="str" cm="1">
        <f t="array" ref="AR31">IFERROR(INDEX(tblAnalysis[Hold Time (s)],ROW()-1),"")</f>
        <v/>
      </c>
      <c r="AS31" s="6" t="str" cm="1">
        <f t="array" ref="AS31">IFERROR(INDEX(tblAnalysis[P&amp;L SOL],ROW()-1),"")</f>
        <v/>
      </c>
      <c r="AT31"/>
      <c r="AY31" s="10"/>
      <c r="AZ31" s="10"/>
      <c r="BA31" s="6"/>
      <c r="BB31"/>
      <c r="BF31" t="str">
        <f t="shared" si="13"/>
        <v/>
      </c>
      <c r="BG31" s="27" t="str">
        <f t="shared" si="14"/>
        <v/>
      </c>
      <c r="BH31" t="str">
        <f t="shared" si="15"/>
        <v/>
      </c>
      <c r="BL31" s="29" t="e">
        <f t="shared" si="16"/>
        <v>#N/A</v>
      </c>
      <c r="BM31" s="29" t="e">
        <f t="shared" si="17"/>
        <v>#N/A</v>
      </c>
    </row>
    <row r="32" spans="1:65" x14ac:dyDescent="0.35">
      <c r="A32">
        <f t="shared" si="22"/>
        <v>31</v>
      </c>
      <c r="B32" t="e" cm="1">
        <f t="array" ref="B32">INDEX(tblTrades[token_name],ROW()-1)</f>
        <v>#REF!</v>
      </c>
      <c r="C32" s="27" t="e" cm="1">
        <f t="array" ref="C32">INDEX(tblTrades[entry_date],ROW()-1)</f>
        <v>#REF!</v>
      </c>
      <c r="D32" s="2" t="e" cm="1">
        <f t="array" ref="D32">INDEX(tblTrades[entry_mc_actual],ROW()-1)</f>
        <v>#REF!</v>
      </c>
      <c r="E32" s="2" t="e" cm="1">
        <f t="array" ref="E32">INDEX(tblTrades[exit_mc_actual],ROW()-1)</f>
        <v>#REF!</v>
      </c>
      <c r="F32" s="3" t="e" cm="1">
        <f t="array" ref="F32">INDEX(tblTrades[time_in_trade_seconds],ROW()-1)</f>
        <v>#REF!</v>
      </c>
      <c r="G32" s="4" t="str" cm="1">
        <f t="array" ref="G32">IFERROR(INDEX(tblTrades[pnl_percentage],ROW()-1)*1,"")</f>
        <v/>
      </c>
      <c r="H32" s="5" t="str" cm="1">
        <f t="array" ref="H32">IFERROR(INDEX(tblTrades[pnl_sol],ROW()-1)*1,"")</f>
        <v/>
      </c>
      <c r="I32" t="str">
        <f t="shared" si="23"/>
        <v/>
      </c>
      <c r="J32" t="str">
        <f t="shared" si="24"/>
        <v/>
      </c>
      <c r="K32" t="str">
        <f t="shared" si="25"/>
        <v/>
      </c>
      <c r="L32" s="20" t="str" cm="1">
        <f t="array" ref="L32">IFERROR(INDEX(tblTrades[sol_invested],ROW()-1),"")</f>
        <v/>
      </c>
      <c r="M32" s="1">
        <f>COUNTIFS(tblAnalysis[Token],tblAnalysis[[#This Row],[Token]])</f>
        <v>0</v>
      </c>
      <c r="N32" s="1">
        <f>COUNTIFS($B$2:B32,tblAnalysis[[#This Row],[Token]])</f>
        <v>0</v>
      </c>
      <c r="O32" s="5">
        <f>IFERROR(SUM($H$2:H32),"")</f>
        <v>0.40399999999999997</v>
      </c>
      <c r="P32" s="6"/>
      <c r="Q32" s="27"/>
      <c r="R32" s="6" t="str">
        <f>IF(Q32="","",SUMIFS(tblAnalysis[P&amp;L SOL],tblAnalysis[Date],Q32))</f>
        <v/>
      </c>
      <c r="S32" s="10" t="str">
        <f>IF(Q32="","",SUMIFS(tblAnalysis[P&amp;L %],tblAnalysis[Date],Q32))</f>
        <v/>
      </c>
      <c r="T32" s="6" t="str">
        <f>IF(Q32="","",IFERROR(SUM($R$2:R32),""))</f>
        <v/>
      </c>
      <c r="U32" t="str">
        <f>IF(Q32="","",COUNTIFS(tblAnalysis[Date],Q32))</f>
        <v/>
      </c>
      <c r="W32" s="27" t="str">
        <f t="shared" si="4"/>
        <v/>
      </c>
      <c r="X32" s="6" t="str">
        <f t="shared" si="5"/>
        <v/>
      </c>
      <c r="Y32" s="6" t="str">
        <f>IF(Q32="","",MAX(X32,_xlfn.MAXIFS(tblAnalysis[Cum P&amp;L SOL],tblAnalysis[Date],Q32)))</f>
        <v/>
      </c>
      <c r="Z32" s="6" t="str">
        <f>IF(Q32="","",MIN(X32,_xlfn.MINIFS(tblAnalysis[Cum P&amp;L SOL],tblAnalysis[Date],Q32)))</f>
        <v/>
      </c>
      <c r="AA32" s="6" t="str">
        <f t="shared" si="6"/>
        <v/>
      </c>
      <c r="AB32"/>
      <c r="AC32" s="27" t="str">
        <f t="shared" si="7"/>
        <v/>
      </c>
      <c r="AD32" s="10" t="str">
        <f t="shared" si="8"/>
        <v/>
      </c>
      <c r="AE32" s="10" t="str">
        <f t="shared" si="9"/>
        <v/>
      </c>
      <c r="AF32" s="10" t="str">
        <f t="shared" si="10"/>
        <v/>
      </c>
      <c r="AG32"/>
      <c r="AH32" t="str">
        <f t="shared" si="11"/>
        <v/>
      </c>
      <c r="AI32" t="str">
        <f t="shared" si="12"/>
        <v/>
      </c>
      <c r="AK32" cm="1">
        <f t="array" ref="AK32">IFERROR(IF(INDEX($A:$A,ROW())="","",INDEX($A:$A,ROW())),"")</f>
        <v>31</v>
      </c>
      <c r="AL32" t="str" cm="1">
        <f t="array" ref="AL32">IFERROR(INDEX(tblTrades[sol_invested],ROW()-1),"")</f>
        <v/>
      </c>
      <c r="AM32" s="6" t="str" cm="1">
        <f t="array" ref="AM32">IFERROR(INDEX(tblAnalysis[P&amp;L SOL],ROW()-1),"")</f>
        <v/>
      </c>
      <c r="AN32" t="str" cm="1">
        <f t="array" ref="AN32">IFERROR(IF(INDEX(tblTrades[sol_invested],ROW()-1)&gt;0.5,INDEX(tblAnalysis[Token],ROW()-1)&amp;" ("&amp;TEXT(INDEX(tblTrades[sol_invested],ROW()-1),"0.0")&amp;" SOL)",""),"")</f>
        <v/>
      </c>
      <c r="AO32" s="7" t="e" cm="1">
        <f t="array" ref="AO32">IF(INDEX(tblTrades[sol_invested],ROW()-1)&gt;0.5,INDEX(tblAnalysis[Cum P&amp;L SOL],ROW()-1),"")</f>
        <v>#REF!</v>
      </c>
      <c r="AP32" s="12" t="str" cm="1">
        <f t="array" ref="AP32">IFERROR(INDEX(tblAnalysis[Entry MC ($)],ROW()-1),"")</f>
        <v/>
      </c>
      <c r="AQ32" s="10" t="str" cm="1">
        <f t="array" ref="AQ32">IFERROR(INDEX(tblAnalysis[P&amp;L %],ROW()-1),"")</f>
        <v/>
      </c>
      <c r="AR32" t="str" cm="1">
        <f t="array" ref="AR32">IFERROR(INDEX(tblAnalysis[Hold Time (s)],ROW()-1),"")</f>
        <v/>
      </c>
      <c r="AS32" s="6" t="str" cm="1">
        <f t="array" ref="AS32">IFERROR(INDEX(tblAnalysis[P&amp;L SOL],ROW()-1),"")</f>
        <v/>
      </c>
      <c r="AT32"/>
      <c r="AY32" s="10"/>
      <c r="AZ32" s="10"/>
      <c r="BA32" s="6"/>
      <c r="BB32"/>
      <c r="BF32" t="str">
        <f t="shared" si="13"/>
        <v/>
      </c>
      <c r="BG32" s="27" t="str">
        <f t="shared" si="14"/>
        <v/>
      </c>
      <c r="BH32" t="str">
        <f t="shared" si="15"/>
        <v/>
      </c>
      <c r="BL32" s="29" t="e">
        <f t="shared" si="16"/>
        <v>#N/A</v>
      </c>
      <c r="BM32" s="29" t="e">
        <f t="shared" si="17"/>
        <v>#N/A</v>
      </c>
    </row>
    <row r="33" spans="1:65" x14ac:dyDescent="0.35">
      <c r="A33">
        <f t="shared" si="22"/>
        <v>32</v>
      </c>
      <c r="B33" t="e" cm="1">
        <f t="array" ref="B33">INDEX(tblTrades[token_name],ROW()-1)</f>
        <v>#REF!</v>
      </c>
      <c r="C33" s="27" t="e" cm="1">
        <f t="array" ref="C33">INDEX(tblTrades[entry_date],ROW()-1)</f>
        <v>#REF!</v>
      </c>
      <c r="D33" s="2" t="e" cm="1">
        <f t="array" ref="D33">INDEX(tblTrades[entry_mc_actual],ROW()-1)</f>
        <v>#REF!</v>
      </c>
      <c r="E33" s="2" t="e" cm="1">
        <f t="array" ref="E33">INDEX(tblTrades[exit_mc_actual],ROW()-1)</f>
        <v>#REF!</v>
      </c>
      <c r="F33" s="3" t="e" cm="1">
        <f t="array" ref="F33">INDEX(tblTrades[time_in_trade_seconds],ROW()-1)</f>
        <v>#REF!</v>
      </c>
      <c r="G33" s="4" t="str" cm="1">
        <f t="array" ref="G33">IFERROR(INDEX(tblTrades[pnl_percentage],ROW()-1)*1,"")</f>
        <v/>
      </c>
      <c r="H33" s="5" t="str" cm="1">
        <f t="array" ref="H33">IFERROR(INDEX(tblTrades[pnl_sol],ROW()-1)*1,"")</f>
        <v/>
      </c>
      <c r="I33" t="str">
        <f t="shared" si="23"/>
        <v/>
      </c>
      <c r="J33" t="str">
        <f t="shared" si="24"/>
        <v/>
      </c>
      <c r="K33" t="str">
        <f t="shared" si="25"/>
        <v/>
      </c>
      <c r="L33" s="20" t="str" cm="1">
        <f t="array" ref="L33">IFERROR(INDEX(tblTrades[sol_invested],ROW()-1),"")</f>
        <v/>
      </c>
      <c r="M33" s="1">
        <f>COUNTIFS(tblAnalysis[Token],tblAnalysis[[#This Row],[Token]])</f>
        <v>0</v>
      </c>
      <c r="N33" s="1">
        <f>COUNTIFS($B$2:B33,tblAnalysis[[#This Row],[Token]])</f>
        <v>0</v>
      </c>
      <c r="O33" s="5">
        <f>IFERROR(SUM($H$2:H33),"")</f>
        <v>0.40399999999999997</v>
      </c>
      <c r="P33" s="6"/>
      <c r="Q33" s="27"/>
      <c r="R33" s="6" t="str">
        <f>IF(Q33="","",SUMIFS(tblAnalysis[P&amp;L SOL],tblAnalysis[Date],Q33))</f>
        <v/>
      </c>
      <c r="S33" s="10" t="str">
        <f>IF(Q33="","",SUMIFS(tblAnalysis[P&amp;L %],tblAnalysis[Date],Q33))</f>
        <v/>
      </c>
      <c r="T33" s="6" t="str">
        <f>IF(Q33="","",IFERROR(SUM($R$2:R33),""))</f>
        <v/>
      </c>
      <c r="U33" t="str">
        <f>IF(Q33="","",COUNTIFS(tblAnalysis[Date],Q33))</f>
        <v/>
      </c>
      <c r="W33" s="27" t="str">
        <f t="shared" si="4"/>
        <v/>
      </c>
      <c r="X33" s="6" t="str">
        <f t="shared" si="5"/>
        <v/>
      </c>
      <c r="Y33" s="6" t="str">
        <f>IF(Q33="","",MAX(X33,_xlfn.MAXIFS(tblAnalysis[Cum P&amp;L SOL],tblAnalysis[Date],Q33)))</f>
        <v/>
      </c>
      <c r="Z33" s="6" t="str">
        <f>IF(Q33="","",MIN(X33,_xlfn.MINIFS(tblAnalysis[Cum P&amp;L SOL],tblAnalysis[Date],Q33)))</f>
        <v/>
      </c>
      <c r="AA33" s="6" t="str">
        <f t="shared" si="6"/>
        <v/>
      </c>
      <c r="AB33"/>
      <c r="AC33" s="27" t="str">
        <f t="shared" si="7"/>
        <v/>
      </c>
      <c r="AD33" s="10" t="str">
        <f t="shared" si="8"/>
        <v/>
      </c>
      <c r="AE33" s="10" t="str">
        <f t="shared" si="9"/>
        <v/>
      </c>
      <c r="AF33" s="10" t="str">
        <f t="shared" si="10"/>
        <v/>
      </c>
      <c r="AG33"/>
      <c r="AH33" t="str">
        <f t="shared" si="11"/>
        <v/>
      </c>
      <c r="AI33" t="str">
        <f t="shared" si="12"/>
        <v/>
      </c>
      <c r="AK33" cm="1">
        <f t="array" ref="AK33">IFERROR(IF(INDEX($A:$A,ROW())="","",INDEX($A:$A,ROW())),"")</f>
        <v>32</v>
      </c>
      <c r="AL33" t="str" cm="1">
        <f t="array" ref="AL33">IFERROR(INDEX(tblTrades[sol_invested],ROW()-1),"")</f>
        <v/>
      </c>
      <c r="AM33" s="6" t="str" cm="1">
        <f t="array" ref="AM33">IFERROR(INDEX(tblAnalysis[P&amp;L SOL],ROW()-1),"")</f>
        <v/>
      </c>
      <c r="AN33" t="str" cm="1">
        <f t="array" ref="AN33">IFERROR(IF(INDEX(tblTrades[sol_invested],ROW()-1)&gt;0.5,INDEX(tblAnalysis[Token],ROW()-1)&amp;" ("&amp;TEXT(INDEX(tblTrades[sol_invested],ROW()-1),"0.0")&amp;" SOL)",""),"")</f>
        <v/>
      </c>
      <c r="AO33" s="7" t="e" cm="1">
        <f t="array" ref="AO33">IF(INDEX(tblTrades[sol_invested],ROW()-1)&gt;0.5,INDEX(tblAnalysis[Cum P&amp;L SOL],ROW()-1),"")</f>
        <v>#REF!</v>
      </c>
      <c r="AP33" s="12" t="str" cm="1">
        <f t="array" ref="AP33">IFERROR(INDEX(tblAnalysis[Entry MC ($)],ROW()-1),"")</f>
        <v/>
      </c>
      <c r="AQ33" s="10" t="str" cm="1">
        <f t="array" ref="AQ33">IFERROR(INDEX(tblAnalysis[P&amp;L %],ROW()-1),"")</f>
        <v/>
      </c>
      <c r="AR33" t="str" cm="1">
        <f t="array" ref="AR33">IFERROR(INDEX(tblAnalysis[Hold Time (s)],ROW()-1),"")</f>
        <v/>
      </c>
      <c r="AS33" s="6" t="str" cm="1">
        <f t="array" ref="AS33">IFERROR(INDEX(tblAnalysis[P&amp;L SOL],ROW()-1),"")</f>
        <v/>
      </c>
      <c r="AT33"/>
      <c r="AY33" s="10"/>
      <c r="AZ33" s="10"/>
      <c r="BA33" s="6"/>
      <c r="BB33"/>
      <c r="BF33" t="str">
        <f t="shared" si="13"/>
        <v/>
      </c>
      <c r="BG33" s="27" t="str">
        <f t="shared" si="14"/>
        <v/>
      </c>
      <c r="BH33" t="str">
        <f t="shared" si="15"/>
        <v/>
      </c>
      <c r="BL33" s="29" t="e">
        <f t="shared" si="16"/>
        <v>#N/A</v>
      </c>
      <c r="BM33" s="29" t="e">
        <f t="shared" si="17"/>
        <v>#N/A</v>
      </c>
    </row>
    <row r="34" spans="1:65" x14ac:dyDescent="0.35">
      <c r="A34">
        <f t="shared" si="22"/>
        <v>33</v>
      </c>
      <c r="B34" t="e" cm="1">
        <f t="array" ref="B34">INDEX(tblTrades[token_name],ROW()-1)</f>
        <v>#REF!</v>
      </c>
      <c r="C34" s="27" t="e" cm="1">
        <f t="array" ref="C34">INDEX(tblTrades[entry_date],ROW()-1)</f>
        <v>#REF!</v>
      </c>
      <c r="D34" s="2" t="e" cm="1">
        <f t="array" ref="D34">INDEX(tblTrades[entry_mc_actual],ROW()-1)</f>
        <v>#REF!</v>
      </c>
      <c r="E34" s="2" t="e" cm="1">
        <f t="array" ref="E34">INDEX(tblTrades[exit_mc_actual],ROW()-1)</f>
        <v>#REF!</v>
      </c>
      <c r="F34" s="3" t="e" cm="1">
        <f t="array" ref="F34">INDEX(tblTrades[time_in_trade_seconds],ROW()-1)</f>
        <v>#REF!</v>
      </c>
      <c r="G34" s="4" t="str" cm="1">
        <f t="array" ref="G34">IFERROR(INDEX(tblTrades[pnl_percentage],ROW()-1)*1,"")</f>
        <v/>
      </c>
      <c r="H34" s="5" t="str" cm="1">
        <f t="array" ref="H34">IFERROR(INDEX(tblTrades[pnl_sol],ROW()-1)*1,"")</f>
        <v/>
      </c>
      <c r="I34" t="str">
        <f t="shared" si="23"/>
        <v/>
      </c>
      <c r="J34" t="str">
        <f t="shared" si="24"/>
        <v/>
      </c>
      <c r="K34" t="str">
        <f t="shared" si="25"/>
        <v/>
      </c>
      <c r="L34" s="20" t="str" cm="1">
        <f t="array" ref="L34">IFERROR(INDEX(tblTrades[sol_invested],ROW()-1),"")</f>
        <v/>
      </c>
      <c r="M34" s="1">
        <f>COUNTIFS(tblAnalysis[Token],tblAnalysis[[#This Row],[Token]])</f>
        <v>0</v>
      </c>
      <c r="N34" s="1">
        <f>COUNTIFS($B$2:B34,tblAnalysis[[#This Row],[Token]])</f>
        <v>0</v>
      </c>
      <c r="O34" s="5">
        <f>IFERROR(SUM($H$2:H34),"")</f>
        <v>0.40399999999999997</v>
      </c>
      <c r="P34" s="6"/>
      <c r="Q34" s="27"/>
      <c r="R34" s="6" t="str">
        <f>IF(Q34="","",SUMIFS(tblAnalysis[P&amp;L SOL],tblAnalysis[Date],Q34))</f>
        <v/>
      </c>
      <c r="S34" s="10" t="str">
        <f>IF(Q34="","",SUMIFS(tblAnalysis[P&amp;L %],tblAnalysis[Date],Q34))</f>
        <v/>
      </c>
      <c r="T34" s="6" t="str">
        <f>IF(Q34="","",IFERROR(SUM($R$2:R34),""))</f>
        <v/>
      </c>
      <c r="U34" t="str">
        <f>IF(Q34="","",COUNTIFS(tblAnalysis[Date],Q34))</f>
        <v/>
      </c>
      <c r="W34" s="27" t="str">
        <f t="shared" si="4"/>
        <v/>
      </c>
      <c r="X34" s="6" t="str">
        <f t="shared" si="5"/>
        <v/>
      </c>
      <c r="Y34" s="6" t="str">
        <f>IF(Q34="","",MAX(X34,_xlfn.MAXIFS(tblAnalysis[Cum P&amp;L SOL],tblAnalysis[Date],Q34)))</f>
        <v/>
      </c>
      <c r="Z34" s="6" t="str">
        <f>IF(Q34="","",MIN(X34,_xlfn.MINIFS(tblAnalysis[Cum P&amp;L SOL],tblAnalysis[Date],Q34)))</f>
        <v/>
      </c>
      <c r="AA34" s="6" t="str">
        <f t="shared" si="6"/>
        <v/>
      </c>
      <c r="AB34"/>
      <c r="AC34" s="27" t="str">
        <f t="shared" si="7"/>
        <v/>
      </c>
      <c r="AD34" s="10" t="str">
        <f t="shared" si="8"/>
        <v/>
      </c>
      <c r="AE34" s="10" t="str">
        <f t="shared" si="9"/>
        <v/>
      </c>
      <c r="AF34" s="10" t="str">
        <f t="shared" si="10"/>
        <v/>
      </c>
      <c r="AG34"/>
      <c r="AH34" t="str">
        <f t="shared" si="11"/>
        <v/>
      </c>
      <c r="AI34" t="str">
        <f t="shared" si="12"/>
        <v/>
      </c>
      <c r="AK34" cm="1">
        <f t="array" ref="AK34">IFERROR(IF(INDEX($A:$A,ROW())="","",INDEX($A:$A,ROW())),"")</f>
        <v>33</v>
      </c>
      <c r="AL34" t="str" cm="1">
        <f t="array" ref="AL34">IFERROR(INDEX(tblTrades[sol_invested],ROW()-1),"")</f>
        <v/>
      </c>
      <c r="AM34" s="6" t="str" cm="1">
        <f t="array" ref="AM34">IFERROR(INDEX(tblAnalysis[P&amp;L SOL],ROW()-1),"")</f>
        <v/>
      </c>
      <c r="AN34" t="str" cm="1">
        <f t="array" ref="AN34">IFERROR(IF(INDEX(tblTrades[sol_invested],ROW()-1)&gt;0.5,INDEX(tblAnalysis[Token],ROW()-1)&amp;" ("&amp;TEXT(INDEX(tblTrades[sol_invested],ROW()-1),"0.0")&amp;" SOL)",""),"")</f>
        <v/>
      </c>
      <c r="AO34" s="7" t="e" cm="1">
        <f t="array" ref="AO34">IF(INDEX(tblTrades[sol_invested],ROW()-1)&gt;0.5,INDEX(tblAnalysis[Cum P&amp;L SOL],ROW()-1),"")</f>
        <v>#REF!</v>
      </c>
      <c r="AP34" s="12" t="str" cm="1">
        <f t="array" ref="AP34">IFERROR(INDEX(tblAnalysis[Entry MC ($)],ROW()-1),"")</f>
        <v/>
      </c>
      <c r="AQ34" s="10" t="str" cm="1">
        <f t="array" ref="AQ34">IFERROR(INDEX(tblAnalysis[P&amp;L %],ROW()-1),"")</f>
        <v/>
      </c>
      <c r="AR34" t="str" cm="1">
        <f t="array" ref="AR34">IFERROR(INDEX(tblAnalysis[Hold Time (s)],ROW()-1),"")</f>
        <v/>
      </c>
      <c r="AS34" s="6" t="str" cm="1">
        <f t="array" ref="AS34">IFERROR(INDEX(tblAnalysis[P&amp;L SOL],ROW()-1),"")</f>
        <v/>
      </c>
      <c r="AT34"/>
      <c r="AY34" s="10"/>
      <c r="AZ34" s="10"/>
      <c r="BA34" s="6"/>
      <c r="BB34"/>
      <c r="BF34" t="str">
        <f t="shared" si="13"/>
        <v/>
      </c>
      <c r="BG34" s="27" t="str">
        <f t="shared" si="14"/>
        <v/>
      </c>
      <c r="BH34" t="str">
        <f t="shared" si="15"/>
        <v/>
      </c>
      <c r="BL34" s="29" t="e">
        <f t="shared" si="16"/>
        <v>#N/A</v>
      </c>
      <c r="BM34" s="29" t="e">
        <f t="shared" si="17"/>
        <v>#N/A</v>
      </c>
    </row>
    <row r="35" spans="1:65" x14ac:dyDescent="0.35">
      <c r="A35">
        <f t="shared" si="22"/>
        <v>34</v>
      </c>
      <c r="B35" t="e" cm="1">
        <f t="array" ref="B35">INDEX(tblTrades[token_name],ROW()-1)</f>
        <v>#REF!</v>
      </c>
      <c r="C35" s="27" t="e" cm="1">
        <f t="array" ref="C35">INDEX(tblTrades[entry_date],ROW()-1)</f>
        <v>#REF!</v>
      </c>
      <c r="D35" s="2" t="e" cm="1">
        <f t="array" ref="D35">INDEX(tblTrades[entry_mc_actual],ROW()-1)</f>
        <v>#REF!</v>
      </c>
      <c r="E35" s="2" t="e" cm="1">
        <f t="array" ref="E35">INDEX(tblTrades[exit_mc_actual],ROW()-1)</f>
        <v>#REF!</v>
      </c>
      <c r="F35" s="3" t="e" cm="1">
        <f t="array" ref="F35">INDEX(tblTrades[time_in_trade_seconds],ROW()-1)</f>
        <v>#REF!</v>
      </c>
      <c r="G35" s="4" t="str" cm="1">
        <f t="array" ref="G35">IFERROR(INDEX(tblTrades[pnl_percentage],ROW()-1)*1,"")</f>
        <v/>
      </c>
      <c r="H35" s="5" t="str" cm="1">
        <f t="array" ref="H35">IFERROR(INDEX(tblTrades[pnl_sol],ROW()-1)*1,"")</f>
        <v/>
      </c>
      <c r="I35" t="str">
        <f t="shared" si="23"/>
        <v/>
      </c>
      <c r="J35" t="str">
        <f t="shared" si="24"/>
        <v/>
      </c>
      <c r="K35" t="str">
        <f t="shared" si="25"/>
        <v/>
      </c>
      <c r="L35" s="20" t="str" cm="1">
        <f t="array" ref="L35">IFERROR(INDEX(tblTrades[sol_invested],ROW()-1),"")</f>
        <v/>
      </c>
      <c r="M35" s="1">
        <f>COUNTIFS(tblAnalysis[Token],tblAnalysis[[#This Row],[Token]])</f>
        <v>0</v>
      </c>
      <c r="N35" s="1">
        <f>COUNTIFS($B$2:B35,tblAnalysis[[#This Row],[Token]])</f>
        <v>0</v>
      </c>
      <c r="O35" s="5">
        <f>IFERROR(SUM($H$2:H35),"")</f>
        <v>0.40399999999999997</v>
      </c>
      <c r="P35" s="6"/>
      <c r="Q35" s="27"/>
      <c r="R35" s="6" t="str">
        <f>IF(Q35="","",SUMIFS(tblAnalysis[P&amp;L SOL],tblAnalysis[Date],Q35))</f>
        <v/>
      </c>
      <c r="S35" s="10" t="str">
        <f>IF(Q35="","",SUMIFS(tblAnalysis[P&amp;L %],tblAnalysis[Date],Q35))</f>
        <v/>
      </c>
      <c r="T35" s="6" t="str">
        <f>IF(Q35="","",IFERROR(SUM($R$2:R35),""))</f>
        <v/>
      </c>
      <c r="U35" t="str">
        <f>IF(Q35="","",COUNTIFS(tblAnalysis[Date],Q35))</f>
        <v/>
      </c>
      <c r="W35" s="27" t="str">
        <f t="shared" si="4"/>
        <v/>
      </c>
      <c r="X35" s="6" t="str">
        <f t="shared" si="5"/>
        <v/>
      </c>
      <c r="Y35" s="6" t="str">
        <f>IF(Q35="","",MAX(X35,_xlfn.MAXIFS(tblAnalysis[Cum P&amp;L SOL],tblAnalysis[Date],Q35)))</f>
        <v/>
      </c>
      <c r="Z35" s="6" t="str">
        <f>IF(Q35="","",MIN(X35,_xlfn.MINIFS(tblAnalysis[Cum P&amp;L SOL],tblAnalysis[Date],Q35)))</f>
        <v/>
      </c>
      <c r="AA35" s="6" t="str">
        <f t="shared" si="6"/>
        <v/>
      </c>
      <c r="AB35"/>
      <c r="AC35" s="27" t="str">
        <f t="shared" si="7"/>
        <v/>
      </c>
      <c r="AD35" s="10" t="str">
        <f t="shared" si="8"/>
        <v/>
      </c>
      <c r="AE35" s="10" t="str">
        <f t="shared" si="9"/>
        <v/>
      </c>
      <c r="AF35" s="10" t="str">
        <f t="shared" si="10"/>
        <v/>
      </c>
      <c r="AG35"/>
      <c r="AH35" t="str">
        <f t="shared" si="11"/>
        <v/>
      </c>
      <c r="AI35" t="str">
        <f t="shared" si="12"/>
        <v/>
      </c>
      <c r="AK35" cm="1">
        <f t="array" ref="AK35">IFERROR(IF(INDEX($A:$A,ROW())="","",INDEX($A:$A,ROW())),"")</f>
        <v>34</v>
      </c>
      <c r="AL35" t="str" cm="1">
        <f t="array" ref="AL35">IFERROR(INDEX(tblTrades[sol_invested],ROW()-1),"")</f>
        <v/>
      </c>
      <c r="AM35" s="6" t="str" cm="1">
        <f t="array" ref="AM35">IFERROR(INDEX(tblAnalysis[P&amp;L SOL],ROW()-1),"")</f>
        <v/>
      </c>
      <c r="AN35" t="str" cm="1">
        <f t="array" ref="AN35">IFERROR(IF(INDEX(tblTrades[sol_invested],ROW()-1)&gt;0.5,INDEX(tblAnalysis[Token],ROW()-1)&amp;" ("&amp;TEXT(INDEX(tblTrades[sol_invested],ROW()-1),"0.0")&amp;" SOL)",""),"")</f>
        <v/>
      </c>
      <c r="AO35" s="7" t="e" cm="1">
        <f t="array" ref="AO35">IF(INDEX(tblTrades[sol_invested],ROW()-1)&gt;0.5,INDEX(tblAnalysis[Cum P&amp;L SOL],ROW()-1),"")</f>
        <v>#REF!</v>
      </c>
      <c r="AP35" s="12" t="str" cm="1">
        <f t="array" ref="AP35">IFERROR(INDEX(tblAnalysis[Entry MC ($)],ROW()-1),"")</f>
        <v/>
      </c>
      <c r="AQ35" s="10" t="str" cm="1">
        <f t="array" ref="AQ35">IFERROR(INDEX(tblAnalysis[P&amp;L %],ROW()-1),"")</f>
        <v/>
      </c>
      <c r="AR35" t="str" cm="1">
        <f t="array" ref="AR35">IFERROR(INDEX(tblAnalysis[Hold Time (s)],ROW()-1),"")</f>
        <v/>
      </c>
      <c r="AS35" s="6" t="str" cm="1">
        <f t="array" ref="AS35">IFERROR(INDEX(tblAnalysis[P&amp;L SOL],ROW()-1),"")</f>
        <v/>
      </c>
      <c r="AT35"/>
      <c r="AW35" s="21" t="s">
        <v>92</v>
      </c>
      <c r="AY35" s="10"/>
      <c r="AZ35" s="10"/>
      <c r="BA35" s="6"/>
      <c r="BB35"/>
      <c r="BF35" t="str">
        <f t="shared" si="13"/>
        <v/>
      </c>
      <c r="BG35" s="27" t="str">
        <f t="shared" si="14"/>
        <v/>
      </c>
      <c r="BH35" t="str">
        <f t="shared" si="15"/>
        <v/>
      </c>
      <c r="BL35" s="29" t="e">
        <f t="shared" si="16"/>
        <v>#N/A</v>
      </c>
      <c r="BM35" s="29" t="e">
        <f t="shared" si="17"/>
        <v>#N/A</v>
      </c>
    </row>
    <row r="36" spans="1:65" x14ac:dyDescent="0.35">
      <c r="A36">
        <f t="shared" si="22"/>
        <v>35</v>
      </c>
      <c r="B36" t="e" cm="1">
        <f t="array" ref="B36">INDEX(tblTrades[token_name],ROW()-1)</f>
        <v>#REF!</v>
      </c>
      <c r="C36" s="27" t="e" cm="1">
        <f t="array" ref="C36">INDEX(tblTrades[entry_date],ROW()-1)</f>
        <v>#REF!</v>
      </c>
      <c r="D36" s="2" t="e" cm="1">
        <f t="array" ref="D36">INDEX(tblTrades[entry_mc_actual],ROW()-1)</f>
        <v>#REF!</v>
      </c>
      <c r="E36" s="2" t="e" cm="1">
        <f t="array" ref="E36">INDEX(tblTrades[exit_mc_actual],ROW()-1)</f>
        <v>#REF!</v>
      </c>
      <c r="F36" s="3" t="e" cm="1">
        <f t="array" ref="F36">INDEX(tblTrades[time_in_trade_seconds],ROW()-1)</f>
        <v>#REF!</v>
      </c>
      <c r="G36" s="4" t="str" cm="1">
        <f t="array" ref="G36">IFERROR(INDEX(tblTrades[pnl_percentage],ROW()-1)*1,"")</f>
        <v/>
      </c>
      <c r="H36" s="5" t="str" cm="1">
        <f t="array" ref="H36">IFERROR(INDEX(tblTrades[pnl_sol],ROW()-1)*1,"")</f>
        <v/>
      </c>
      <c r="I36" t="str">
        <f t="shared" si="23"/>
        <v/>
      </c>
      <c r="J36" t="str">
        <f t="shared" si="24"/>
        <v/>
      </c>
      <c r="K36" t="str">
        <f t="shared" si="25"/>
        <v/>
      </c>
      <c r="L36" s="20" t="str" cm="1">
        <f t="array" ref="L36">IFERROR(INDEX(tblTrades[sol_invested],ROW()-1),"")</f>
        <v/>
      </c>
      <c r="M36" s="1">
        <f>COUNTIFS(tblAnalysis[Token],tblAnalysis[[#This Row],[Token]])</f>
        <v>0</v>
      </c>
      <c r="N36" s="1">
        <f>COUNTIFS($B$2:B36,tblAnalysis[[#This Row],[Token]])</f>
        <v>0</v>
      </c>
      <c r="O36" s="5">
        <f>IFERROR(SUM($H$2:H36),"")</f>
        <v>0.40399999999999997</v>
      </c>
      <c r="P36" s="6"/>
      <c r="Q36" s="27"/>
      <c r="R36" s="6" t="str">
        <f>IF(Q36="","",SUMIFS(tblAnalysis[P&amp;L SOL],tblAnalysis[Date],Q36))</f>
        <v/>
      </c>
      <c r="S36" s="10" t="str">
        <f>IF(Q36="","",SUMIFS(tblAnalysis[P&amp;L %],tblAnalysis[Date],Q36))</f>
        <v/>
      </c>
      <c r="T36" s="6" t="str">
        <f>IF(Q36="","",IFERROR(SUM($R$2:R36),""))</f>
        <v/>
      </c>
      <c r="U36" t="str">
        <f>IF(Q36="","",COUNTIFS(tblAnalysis[Date],Q36))</f>
        <v/>
      </c>
      <c r="W36" s="27" t="str">
        <f t="shared" si="4"/>
        <v/>
      </c>
      <c r="X36" s="6" t="str">
        <f t="shared" si="5"/>
        <v/>
      </c>
      <c r="Y36" s="6" t="str">
        <f>IF(Q36="","",MAX(X36,_xlfn.MAXIFS(tblAnalysis[Cum P&amp;L SOL],tblAnalysis[Date],Q36)))</f>
        <v/>
      </c>
      <c r="Z36" s="6" t="str">
        <f>IF(Q36="","",MIN(X36,_xlfn.MINIFS(tblAnalysis[Cum P&amp;L SOL],tblAnalysis[Date],Q36)))</f>
        <v/>
      </c>
      <c r="AA36" s="6" t="str">
        <f t="shared" si="6"/>
        <v/>
      </c>
      <c r="AB36"/>
      <c r="AC36" s="27" t="str">
        <f t="shared" si="7"/>
        <v/>
      </c>
      <c r="AD36" s="10" t="str">
        <f t="shared" si="8"/>
        <v/>
      </c>
      <c r="AE36" s="10" t="str">
        <f t="shared" si="9"/>
        <v/>
      </c>
      <c r="AF36" s="10" t="str">
        <f t="shared" si="10"/>
        <v/>
      </c>
      <c r="AG36"/>
      <c r="AH36" t="str">
        <f t="shared" si="11"/>
        <v/>
      </c>
      <c r="AI36" t="str">
        <f t="shared" si="12"/>
        <v/>
      </c>
      <c r="AK36" cm="1">
        <f t="array" ref="AK36">IFERROR(IF(INDEX($A:$A,ROW())="","",INDEX($A:$A,ROW())),"")</f>
        <v>35</v>
      </c>
      <c r="AL36" t="str" cm="1">
        <f t="array" ref="AL36">IFERROR(INDEX(tblTrades[sol_invested],ROW()-1),"")</f>
        <v/>
      </c>
      <c r="AM36" s="6" t="str" cm="1">
        <f t="array" ref="AM36">IFERROR(INDEX(tblAnalysis[P&amp;L SOL],ROW()-1),"")</f>
        <v/>
      </c>
      <c r="AN36" t="str" cm="1">
        <f t="array" ref="AN36">IFERROR(IF(INDEX(tblTrades[sol_invested],ROW()-1)&gt;0.5,INDEX(tblAnalysis[Token],ROW()-1)&amp;" ("&amp;TEXT(INDEX(tblTrades[sol_invested],ROW()-1),"0.0")&amp;" SOL)",""),"")</f>
        <v/>
      </c>
      <c r="AO36" s="7" t="e" cm="1">
        <f t="array" ref="AO36">IF(INDEX(tblTrades[sol_invested],ROW()-1)&gt;0.5,INDEX(tblAnalysis[Cum P&amp;L SOL],ROW()-1),"")</f>
        <v>#REF!</v>
      </c>
      <c r="AP36" s="12" t="str" cm="1">
        <f t="array" ref="AP36">IFERROR(INDEX(tblAnalysis[Entry MC ($)],ROW()-1),"")</f>
        <v/>
      </c>
      <c r="AQ36" s="10" t="str" cm="1">
        <f t="array" ref="AQ36">IFERROR(INDEX(tblAnalysis[P&amp;L %],ROW()-1),"")</f>
        <v/>
      </c>
      <c r="AR36" t="str" cm="1">
        <f t="array" ref="AR36">IFERROR(INDEX(tblAnalysis[Hold Time (s)],ROW()-1),"")</f>
        <v/>
      </c>
      <c r="AS36" s="6" t="str" cm="1">
        <f t="array" ref="AS36">IFERROR(INDEX(tblAnalysis[P&amp;L SOL],ROW()-1),"")</f>
        <v/>
      </c>
      <c r="AT36"/>
      <c r="AW36" s="21" t="s">
        <v>93</v>
      </c>
      <c r="AX36" s="21" t="s">
        <v>45</v>
      </c>
      <c r="AY36" s="23" t="s">
        <v>41</v>
      </c>
      <c r="AZ36" s="23" t="s">
        <v>42</v>
      </c>
      <c r="BA36" s="24" t="s">
        <v>46</v>
      </c>
      <c r="BB36" s="21" t="s">
        <v>82</v>
      </c>
      <c r="BC36" s="7" t="s">
        <v>83</v>
      </c>
      <c r="BF36" t="str">
        <f t="shared" si="13"/>
        <v/>
      </c>
      <c r="BG36" s="27" t="str">
        <f t="shared" si="14"/>
        <v/>
      </c>
      <c r="BH36" t="str">
        <f t="shared" si="15"/>
        <v/>
      </c>
      <c r="BL36" s="29" t="e">
        <f t="shared" si="16"/>
        <v>#N/A</v>
      </c>
      <c r="BM36" s="29" t="e">
        <f t="shared" si="17"/>
        <v>#N/A</v>
      </c>
    </row>
    <row r="37" spans="1:65" x14ac:dyDescent="0.35">
      <c r="A37">
        <f t="shared" si="22"/>
        <v>36</v>
      </c>
      <c r="B37" t="e" cm="1">
        <f t="array" ref="B37">INDEX(tblTrades[token_name],ROW()-1)</f>
        <v>#REF!</v>
      </c>
      <c r="C37" s="27" t="e" cm="1">
        <f t="array" ref="C37">INDEX(tblTrades[entry_date],ROW()-1)</f>
        <v>#REF!</v>
      </c>
      <c r="D37" s="2" t="e" cm="1">
        <f t="array" ref="D37">INDEX(tblTrades[entry_mc_actual],ROW()-1)</f>
        <v>#REF!</v>
      </c>
      <c r="E37" s="2" t="e" cm="1">
        <f t="array" ref="E37">INDEX(tblTrades[exit_mc_actual],ROW()-1)</f>
        <v>#REF!</v>
      </c>
      <c r="F37" s="3" t="e" cm="1">
        <f t="array" ref="F37">INDEX(tblTrades[time_in_trade_seconds],ROW()-1)</f>
        <v>#REF!</v>
      </c>
      <c r="G37" s="4" t="str" cm="1">
        <f t="array" ref="G37">IFERROR(INDEX(tblTrades[pnl_percentage],ROW()-1)*1,"")</f>
        <v/>
      </c>
      <c r="H37" s="5" t="str" cm="1">
        <f t="array" ref="H37">IFERROR(INDEX(tblTrades[pnl_sol],ROW()-1)*1,"")</f>
        <v/>
      </c>
      <c r="I37" t="str">
        <f t="shared" si="23"/>
        <v/>
      </c>
      <c r="J37" t="str">
        <f t="shared" si="24"/>
        <v/>
      </c>
      <c r="K37" t="str">
        <f t="shared" si="25"/>
        <v/>
      </c>
      <c r="L37" s="20" t="str" cm="1">
        <f t="array" ref="L37">IFERROR(INDEX(tblTrades[sol_invested],ROW()-1),"")</f>
        <v/>
      </c>
      <c r="M37" s="1">
        <f>COUNTIFS(tblAnalysis[Token],tblAnalysis[[#This Row],[Token]])</f>
        <v>0</v>
      </c>
      <c r="N37" s="1">
        <f>COUNTIFS($B$2:B37,tblAnalysis[[#This Row],[Token]])</f>
        <v>0</v>
      </c>
      <c r="O37" s="5">
        <f>IFERROR(SUM($H$2:H37),"")</f>
        <v>0.40399999999999997</v>
      </c>
      <c r="P37" s="6"/>
      <c r="Q37" s="27"/>
      <c r="R37" s="6" t="str">
        <f>IF(Q37="","",SUMIFS(tblAnalysis[P&amp;L SOL],tblAnalysis[Date],Q37))</f>
        <v/>
      </c>
      <c r="S37" s="10" t="str">
        <f>IF(Q37="","",SUMIFS(tblAnalysis[P&amp;L %],tblAnalysis[Date],Q37))</f>
        <v/>
      </c>
      <c r="T37" s="6" t="str">
        <f>IF(Q37="","",IFERROR(SUM($R$2:R37),""))</f>
        <v/>
      </c>
      <c r="U37" t="str">
        <f>IF(Q37="","",COUNTIFS(tblAnalysis[Date],Q37))</f>
        <v/>
      </c>
      <c r="W37" s="27" t="str">
        <f t="shared" si="4"/>
        <v/>
      </c>
      <c r="X37" s="6" t="str">
        <f t="shared" si="5"/>
        <v/>
      </c>
      <c r="Y37" s="6" t="str">
        <f>IF(Q37="","",MAX(X37,_xlfn.MAXIFS(tblAnalysis[Cum P&amp;L SOL],tblAnalysis[Date],Q37)))</f>
        <v/>
      </c>
      <c r="Z37" s="6" t="str">
        <f>IF(Q37="","",MIN(X37,_xlfn.MINIFS(tblAnalysis[Cum P&amp;L SOL],tblAnalysis[Date],Q37)))</f>
        <v/>
      </c>
      <c r="AA37" s="6" t="str">
        <f t="shared" si="6"/>
        <v/>
      </c>
      <c r="AB37"/>
      <c r="AC37" s="27" t="str">
        <f t="shared" si="7"/>
        <v/>
      </c>
      <c r="AD37" s="10" t="str">
        <f t="shared" si="8"/>
        <v/>
      </c>
      <c r="AE37" s="10" t="str">
        <f t="shared" si="9"/>
        <v/>
      </c>
      <c r="AF37" s="10" t="str">
        <f t="shared" si="10"/>
        <v/>
      </c>
      <c r="AG37"/>
      <c r="AH37" t="str">
        <f t="shared" si="11"/>
        <v/>
      </c>
      <c r="AI37" t="str">
        <f t="shared" si="12"/>
        <v/>
      </c>
      <c r="AK37" cm="1">
        <f t="array" ref="AK37">IFERROR(IF(INDEX($A:$A,ROW())="","",INDEX($A:$A,ROW())),"")</f>
        <v>36</v>
      </c>
      <c r="AL37" t="str" cm="1">
        <f t="array" ref="AL37">IFERROR(INDEX(tblTrades[sol_invested],ROW()-1),"")</f>
        <v/>
      </c>
      <c r="AM37" s="6" t="str" cm="1">
        <f t="array" ref="AM37">IFERROR(INDEX(tblAnalysis[P&amp;L SOL],ROW()-1),"")</f>
        <v/>
      </c>
      <c r="AN37" t="str" cm="1">
        <f t="array" ref="AN37">IFERROR(IF(INDEX(tblTrades[sol_invested],ROW()-1)&gt;0.5,INDEX(tblAnalysis[Token],ROW()-1)&amp;" ("&amp;TEXT(INDEX(tblTrades[sol_invested],ROW()-1),"0.0")&amp;" SOL)",""),"")</f>
        <v/>
      </c>
      <c r="AO37" s="7" t="e" cm="1">
        <f t="array" ref="AO37">IF(INDEX(tblTrades[sol_invested],ROW()-1)&gt;0.5,INDEX(tblAnalysis[Cum P&amp;L SOL],ROW()-1),"")</f>
        <v>#REF!</v>
      </c>
      <c r="AP37" s="12" t="str" cm="1">
        <f t="array" ref="AP37">IFERROR(INDEX(tblAnalysis[Entry MC ($)],ROW()-1),"")</f>
        <v/>
      </c>
      <c r="AQ37" s="10" t="str" cm="1">
        <f t="array" ref="AQ37">IFERROR(INDEX(tblAnalysis[P&amp;L %],ROW()-1),"")</f>
        <v/>
      </c>
      <c r="AR37" t="str" cm="1">
        <f t="array" ref="AR37">IFERROR(INDEX(tblAnalysis[Hold Time (s)],ROW()-1),"")</f>
        <v/>
      </c>
      <c r="AS37" s="6" t="str" cm="1">
        <f t="array" ref="AS37">IFERROR(INDEX(tblAnalysis[P&amp;L SOL],ROW()-1),"")</f>
        <v/>
      </c>
      <c r="AT37"/>
      <c r="AW37" t="s">
        <v>155</v>
      </c>
      <c r="AX37" s="12">
        <f>COUNTIF(tblTrades[TimeBucket],AW37)</f>
        <v>0</v>
      </c>
      <c r="AY37" s="25">
        <f>IFERROR(COUNTIFS(tblTrades[TimeBucket],AW37,tblTrades[pnl_sol],"&gt;0")/AX37,0)</f>
        <v>0</v>
      </c>
      <c r="AZ37" s="25">
        <f>IFERROR(AVERAGEIFS(tblTrades[pnl_percentage],tblTrades[TimeBucket],AW37),0)</f>
        <v>0</v>
      </c>
      <c r="BA37" s="26">
        <f>SUMIFS(tblTrades[pnl_sol],tblTrades[TimeBucket],AW37)</f>
        <v>0</v>
      </c>
      <c r="BB37" s="22">
        <f t="array" ref="BB37">IFERROR(SUMIFS(tblTrades[pnl_sol],tblTrades[TimeBucket],AW37)/SUMPRODUCT((tblTrades[TimeBucket]=AW37)*IFERROR(ABS(tblTrades[pnl_sol]/tblTrades[pnl_percentage]),0)),0)</f>
        <v>0</v>
      </c>
      <c r="BC37" s="18" t="str">
        <f t="shared" ref="BC37" si="26">TEXT(BA37,"+0.0;-0.0;0.0")&amp;" SOL"</f>
        <v>0.0 SOL</v>
      </c>
      <c r="BF37" t="str">
        <f t="shared" si="13"/>
        <v/>
      </c>
      <c r="BG37" s="27" t="str">
        <f t="shared" si="14"/>
        <v/>
      </c>
      <c r="BH37" t="str">
        <f t="shared" si="15"/>
        <v/>
      </c>
      <c r="BL37" s="29" t="e">
        <f t="shared" si="16"/>
        <v>#N/A</v>
      </c>
      <c r="BM37" s="29" t="e">
        <f t="shared" si="17"/>
        <v>#N/A</v>
      </c>
    </row>
    <row r="38" spans="1:65" x14ac:dyDescent="0.35">
      <c r="A38">
        <f t="shared" si="22"/>
        <v>37</v>
      </c>
      <c r="B38" t="e" cm="1">
        <f t="array" ref="B38">INDEX(tblTrades[token_name],ROW()-1)</f>
        <v>#REF!</v>
      </c>
      <c r="C38" s="27" t="e" cm="1">
        <f t="array" ref="C38">INDEX(tblTrades[entry_date],ROW()-1)</f>
        <v>#REF!</v>
      </c>
      <c r="D38" s="2" t="e" cm="1">
        <f t="array" ref="D38">INDEX(tblTrades[entry_mc_actual],ROW()-1)</f>
        <v>#REF!</v>
      </c>
      <c r="E38" s="2" t="e" cm="1">
        <f t="array" ref="E38">INDEX(tblTrades[exit_mc_actual],ROW()-1)</f>
        <v>#REF!</v>
      </c>
      <c r="F38" s="3" t="e" cm="1">
        <f t="array" ref="F38">INDEX(tblTrades[time_in_trade_seconds],ROW()-1)</f>
        <v>#REF!</v>
      </c>
      <c r="G38" s="4" t="str" cm="1">
        <f t="array" ref="G38">IFERROR(INDEX(tblTrades[pnl_percentage],ROW()-1)*1,"")</f>
        <v/>
      </c>
      <c r="H38" s="5" t="str" cm="1">
        <f t="array" ref="H38">IFERROR(INDEX(tblTrades[pnl_sol],ROW()-1)*1,"")</f>
        <v/>
      </c>
      <c r="I38" t="str">
        <f t="shared" si="23"/>
        <v/>
      </c>
      <c r="J38" t="str">
        <f t="shared" si="24"/>
        <v/>
      </c>
      <c r="K38" t="str">
        <f t="shared" si="25"/>
        <v/>
      </c>
      <c r="L38" s="20" t="str" cm="1">
        <f t="array" ref="L38">IFERROR(INDEX(tblTrades[sol_invested],ROW()-1),"")</f>
        <v/>
      </c>
      <c r="M38" s="1">
        <f>COUNTIFS(tblAnalysis[Token],tblAnalysis[[#This Row],[Token]])</f>
        <v>0</v>
      </c>
      <c r="N38" s="1">
        <f>COUNTIFS($B$2:B38,tblAnalysis[[#This Row],[Token]])</f>
        <v>0</v>
      </c>
      <c r="O38" s="5">
        <f>IFERROR(SUM($H$2:H38),"")</f>
        <v>0.40399999999999997</v>
      </c>
      <c r="P38" s="6"/>
      <c r="Q38" s="27"/>
      <c r="R38" s="6" t="str">
        <f>IF(Q38="","",SUMIFS(tblAnalysis[P&amp;L SOL],tblAnalysis[Date],Q38))</f>
        <v/>
      </c>
      <c r="S38" s="10" t="str">
        <f>IF(Q38="","",SUMIFS(tblAnalysis[P&amp;L %],tblAnalysis[Date],Q38))</f>
        <v/>
      </c>
      <c r="T38" s="6" t="str">
        <f>IF(Q38="","",IFERROR(SUM($R$2:R38),""))</f>
        <v/>
      </c>
      <c r="U38" t="str">
        <f>IF(Q38="","",COUNTIFS(tblAnalysis[Date],Q38))</f>
        <v/>
      </c>
      <c r="W38" s="27" t="str">
        <f t="shared" si="4"/>
        <v/>
      </c>
      <c r="X38" s="6" t="str">
        <f t="shared" si="5"/>
        <v/>
      </c>
      <c r="Y38" s="6" t="str">
        <f>IF(Q38="","",MAX(X38,_xlfn.MAXIFS(tblAnalysis[Cum P&amp;L SOL],tblAnalysis[Date],Q38)))</f>
        <v/>
      </c>
      <c r="Z38" s="6" t="str">
        <f>IF(Q38="","",MIN(X38,_xlfn.MINIFS(tblAnalysis[Cum P&amp;L SOL],tblAnalysis[Date],Q38)))</f>
        <v/>
      </c>
      <c r="AA38" s="6" t="str">
        <f t="shared" si="6"/>
        <v/>
      </c>
      <c r="AB38"/>
      <c r="AC38" s="27" t="str">
        <f t="shared" si="7"/>
        <v/>
      </c>
      <c r="AD38" s="10" t="str">
        <f t="shared" si="8"/>
        <v/>
      </c>
      <c r="AE38" s="10" t="str">
        <f t="shared" si="9"/>
        <v/>
      </c>
      <c r="AF38" s="10" t="str">
        <f t="shared" si="10"/>
        <v/>
      </c>
      <c r="AG38"/>
      <c r="AH38" t="str">
        <f t="shared" si="11"/>
        <v/>
      </c>
      <c r="AI38" t="str">
        <f t="shared" si="12"/>
        <v/>
      </c>
      <c r="AK38" cm="1">
        <f t="array" ref="AK38">IFERROR(IF(INDEX($A:$A,ROW())="","",INDEX($A:$A,ROW())),"")</f>
        <v>37</v>
      </c>
      <c r="AL38" t="str" cm="1">
        <f t="array" ref="AL38">IFERROR(INDEX(tblTrades[sol_invested],ROW()-1),"")</f>
        <v/>
      </c>
      <c r="AM38" s="6" t="str" cm="1">
        <f t="array" ref="AM38">IFERROR(INDEX(tblAnalysis[P&amp;L SOL],ROW()-1),"")</f>
        <v/>
      </c>
      <c r="AN38" t="str" cm="1">
        <f t="array" ref="AN38">IFERROR(IF(INDEX(tblTrades[sol_invested],ROW()-1)&gt;0.5,INDEX(tblAnalysis[Token],ROW()-1)&amp;" ("&amp;TEXT(INDEX(tblTrades[sol_invested],ROW()-1),"0.0")&amp;" SOL)",""),"")</f>
        <v/>
      </c>
      <c r="AO38" s="7" t="e" cm="1">
        <f t="array" ref="AO38">IF(INDEX(tblTrades[sol_invested],ROW()-1)&gt;0.5,INDEX(tblAnalysis[Cum P&amp;L SOL],ROW()-1),"")</f>
        <v>#REF!</v>
      </c>
      <c r="AP38" s="12" t="str" cm="1">
        <f t="array" ref="AP38">IFERROR(INDEX(tblAnalysis[Entry MC ($)],ROW()-1),"")</f>
        <v/>
      </c>
      <c r="AQ38" s="10" t="str" cm="1">
        <f t="array" ref="AQ38">IFERROR(INDEX(tblAnalysis[P&amp;L %],ROW()-1),"")</f>
        <v/>
      </c>
      <c r="AR38" t="str" cm="1">
        <f t="array" ref="AR38">IFERROR(INDEX(tblAnalysis[Hold Time (s)],ROW()-1),"")</f>
        <v/>
      </c>
      <c r="AS38" s="6" t="str" cm="1">
        <f t="array" ref="AS38">IFERROR(INDEX(tblAnalysis[P&amp;L SOL],ROW()-1),"")</f>
        <v/>
      </c>
      <c r="AT38"/>
      <c r="AW38" t="s">
        <v>154</v>
      </c>
      <c r="AX38" s="12">
        <f>COUNTIF(tblTrades[TimeBucket],AW38)</f>
        <v>0</v>
      </c>
      <c r="AY38" s="25">
        <f>IFERROR(COUNTIFS(tblTrades[TimeBucket],AW38,tblTrades[pnl_sol],"&gt;0")/AX38,0)</f>
        <v>0</v>
      </c>
      <c r="AZ38" s="25">
        <f>IFERROR(AVERAGEIFS(tblTrades[pnl_percentage],tblTrades[TimeBucket],AW38),0)</f>
        <v>0</v>
      </c>
      <c r="BA38" s="26">
        <f>SUMIFS(tblTrades[pnl_sol],tblTrades[TimeBucket],AW38)</f>
        <v>0</v>
      </c>
      <c r="BB38" s="22" cm="1">
        <f t="array" ref="BB38">IFERROR(SUMIFS(tblTrades[pnl_sol],tblTrades[TimeBucket],AW38)/SUMPRODUCT((tblTrades[TimeBucket]=AW38)*IFERROR(ABS(tblTrades[pnl_sol]/tblTrades[pnl_percentage]),0)),0)</f>
        <v>0</v>
      </c>
      <c r="BC38" s="18" t="str">
        <f t="shared" ref="BC38:BC42" si="27">TEXT(BA38,"+0.0;-0.0;0.0")&amp;" SOL"</f>
        <v>0.0 SOL</v>
      </c>
      <c r="BF38" t="str">
        <f t="shared" si="13"/>
        <v/>
      </c>
      <c r="BG38" s="27" t="str">
        <f t="shared" si="14"/>
        <v/>
      </c>
      <c r="BH38" t="str">
        <f t="shared" si="15"/>
        <v/>
      </c>
      <c r="BL38" s="29" t="e">
        <f t="shared" si="16"/>
        <v>#N/A</v>
      </c>
      <c r="BM38" s="29" t="e">
        <f t="shared" si="17"/>
        <v>#N/A</v>
      </c>
    </row>
    <row r="39" spans="1:65" x14ac:dyDescent="0.35">
      <c r="A39">
        <f t="shared" si="22"/>
        <v>38</v>
      </c>
      <c r="B39" t="e" cm="1">
        <f t="array" ref="B39">INDEX(tblTrades[token_name],ROW()-1)</f>
        <v>#REF!</v>
      </c>
      <c r="C39" s="27" t="e" cm="1">
        <f t="array" ref="C39">INDEX(tblTrades[entry_date],ROW()-1)</f>
        <v>#REF!</v>
      </c>
      <c r="D39" s="2" t="e" cm="1">
        <f t="array" ref="D39">INDEX(tblTrades[entry_mc_actual],ROW()-1)</f>
        <v>#REF!</v>
      </c>
      <c r="E39" s="2" t="e" cm="1">
        <f t="array" ref="E39">INDEX(tblTrades[exit_mc_actual],ROW()-1)</f>
        <v>#REF!</v>
      </c>
      <c r="F39" s="3" t="e" cm="1">
        <f t="array" ref="F39">INDEX(tblTrades[time_in_trade_seconds],ROW()-1)</f>
        <v>#REF!</v>
      </c>
      <c r="G39" s="4" t="str" cm="1">
        <f t="array" ref="G39">IFERROR(INDEX(tblTrades[pnl_percentage],ROW()-1)*1,"")</f>
        <v/>
      </c>
      <c r="H39" s="5" t="str" cm="1">
        <f t="array" ref="H39">IFERROR(INDEX(tblTrades[pnl_sol],ROW()-1)*1,"")</f>
        <v/>
      </c>
      <c r="I39" t="str">
        <f t="shared" si="23"/>
        <v/>
      </c>
      <c r="J39" t="str">
        <f t="shared" si="24"/>
        <v/>
      </c>
      <c r="K39" t="str">
        <f t="shared" si="25"/>
        <v/>
      </c>
      <c r="L39" s="20" t="str" cm="1">
        <f t="array" ref="L39">IFERROR(INDEX(tblTrades[sol_invested],ROW()-1),"")</f>
        <v/>
      </c>
      <c r="M39" s="1">
        <f>COUNTIFS(tblAnalysis[Token],tblAnalysis[[#This Row],[Token]])</f>
        <v>0</v>
      </c>
      <c r="N39" s="1">
        <f>COUNTIFS($B$2:B39,tblAnalysis[[#This Row],[Token]])</f>
        <v>0</v>
      </c>
      <c r="O39" s="5">
        <f>IFERROR(SUM($H$2:H39),"")</f>
        <v>0.40399999999999997</v>
      </c>
      <c r="P39" s="6"/>
      <c r="Q39" s="27"/>
      <c r="R39" s="6" t="str">
        <f>IF(Q39="","",SUMIFS(tblAnalysis[P&amp;L SOL],tblAnalysis[Date],Q39))</f>
        <v/>
      </c>
      <c r="S39" s="10" t="str">
        <f>IF(Q39="","",SUMIFS(tblAnalysis[P&amp;L %],tblAnalysis[Date],Q39))</f>
        <v/>
      </c>
      <c r="T39" s="6" t="str">
        <f>IF(Q39="","",IFERROR(SUM($R$2:R39),""))</f>
        <v/>
      </c>
      <c r="U39" t="str">
        <f>IF(Q39="","",COUNTIFS(tblAnalysis[Date],Q39))</f>
        <v/>
      </c>
      <c r="W39" s="27" t="str">
        <f t="shared" si="4"/>
        <v/>
      </c>
      <c r="X39" s="6" t="str">
        <f t="shared" si="5"/>
        <v/>
      </c>
      <c r="Y39" s="6" t="str">
        <f>IF(Q39="","",MAX(X39,_xlfn.MAXIFS(tblAnalysis[Cum P&amp;L SOL],tblAnalysis[Date],Q39)))</f>
        <v/>
      </c>
      <c r="Z39" s="6" t="str">
        <f>IF(Q39="","",MIN(X39,_xlfn.MINIFS(tblAnalysis[Cum P&amp;L SOL],tblAnalysis[Date],Q39)))</f>
        <v/>
      </c>
      <c r="AA39" s="6" t="str">
        <f t="shared" si="6"/>
        <v/>
      </c>
      <c r="AB39"/>
      <c r="AC39" s="27" t="str">
        <f t="shared" si="7"/>
        <v/>
      </c>
      <c r="AD39" s="10" t="str">
        <f t="shared" si="8"/>
        <v/>
      </c>
      <c r="AE39" s="10" t="str">
        <f t="shared" si="9"/>
        <v/>
      </c>
      <c r="AF39" s="10" t="str">
        <f t="shared" si="10"/>
        <v/>
      </c>
      <c r="AG39"/>
      <c r="AH39" t="str">
        <f t="shared" si="11"/>
        <v/>
      </c>
      <c r="AI39" t="str">
        <f t="shared" si="12"/>
        <v/>
      </c>
      <c r="AK39" cm="1">
        <f t="array" ref="AK39">IFERROR(IF(INDEX($A:$A,ROW())="","",INDEX($A:$A,ROW())),"")</f>
        <v>38</v>
      </c>
      <c r="AL39" t="str" cm="1">
        <f t="array" ref="AL39">IFERROR(INDEX(tblTrades[sol_invested],ROW()-1),"")</f>
        <v/>
      </c>
      <c r="AM39" s="6" t="str" cm="1">
        <f t="array" ref="AM39">IFERROR(INDEX(tblAnalysis[P&amp;L SOL],ROW()-1),"")</f>
        <v/>
      </c>
      <c r="AN39" t="str" cm="1">
        <f t="array" ref="AN39">IFERROR(IF(INDEX(tblTrades[sol_invested],ROW()-1)&gt;0.5,INDEX(tblAnalysis[Token],ROW()-1)&amp;" ("&amp;TEXT(INDEX(tblTrades[sol_invested],ROW()-1),"0.0")&amp;" SOL)",""),"")</f>
        <v/>
      </c>
      <c r="AO39" s="7" t="e" cm="1">
        <f t="array" ref="AO39">IF(INDEX(tblTrades[sol_invested],ROW()-1)&gt;0.5,INDEX(tblAnalysis[Cum P&amp;L SOL],ROW()-1),"")</f>
        <v>#REF!</v>
      </c>
      <c r="AP39" s="12" t="str" cm="1">
        <f t="array" ref="AP39">IFERROR(INDEX(tblAnalysis[Entry MC ($)],ROW()-1),"")</f>
        <v/>
      </c>
      <c r="AQ39" s="10" t="str" cm="1">
        <f t="array" ref="AQ39">IFERROR(INDEX(tblAnalysis[P&amp;L %],ROW()-1),"")</f>
        <v/>
      </c>
      <c r="AR39" t="str" cm="1">
        <f t="array" ref="AR39">IFERROR(INDEX(tblAnalysis[Hold Time (s)],ROW()-1),"")</f>
        <v/>
      </c>
      <c r="AS39" s="6" t="str" cm="1">
        <f t="array" ref="AS39">IFERROR(INDEX(tblAnalysis[P&amp;L SOL],ROW()-1),"")</f>
        <v/>
      </c>
      <c r="AT39"/>
      <c r="AW39" t="s">
        <v>95</v>
      </c>
      <c r="AX39" s="12">
        <f>COUNTIF(tblTrades[TimeBucket],AW39)</f>
        <v>0</v>
      </c>
      <c r="AY39" s="25">
        <f>IFERROR(COUNTIFS(tblTrades[TimeBucket],AW39,tblTrades[pnl_sol],"&gt;0")/AX39,0)</f>
        <v>0</v>
      </c>
      <c r="AZ39" s="25">
        <f>IFERROR(AVERAGEIFS(tblTrades[pnl_percentage],tblTrades[TimeBucket],AW39),0)</f>
        <v>0</v>
      </c>
      <c r="BA39" s="26">
        <f>SUMIFS(tblTrades[pnl_sol],tblTrades[TimeBucket],AW39)</f>
        <v>0</v>
      </c>
      <c r="BB39" s="22" cm="1">
        <f t="array" ref="BB39">IFERROR(SUMIFS(tblTrades[pnl_sol],tblTrades[TimeBucket],AW39)/SUMPRODUCT((tblTrades[TimeBucket]=AW39)*IFERROR(ABS(tblTrades[pnl_sol]/tblTrades[pnl_percentage]),0)),0)</f>
        <v>0</v>
      </c>
      <c r="BC39" s="18" t="str">
        <f t="shared" si="27"/>
        <v>0.0 SOL</v>
      </c>
      <c r="BF39" t="str">
        <f t="shared" si="13"/>
        <v/>
      </c>
      <c r="BG39" s="27" t="str">
        <f t="shared" si="14"/>
        <v/>
      </c>
      <c r="BH39" t="str">
        <f t="shared" si="15"/>
        <v/>
      </c>
      <c r="BL39" s="29" t="e">
        <f t="shared" si="16"/>
        <v>#N/A</v>
      </c>
      <c r="BM39" s="29" t="e">
        <f t="shared" si="17"/>
        <v>#N/A</v>
      </c>
    </row>
    <row r="40" spans="1:65" x14ac:dyDescent="0.35">
      <c r="A40">
        <f t="shared" si="22"/>
        <v>39</v>
      </c>
      <c r="B40" t="e" cm="1">
        <f t="array" ref="B40">INDEX(tblTrades[token_name],ROW()-1)</f>
        <v>#REF!</v>
      </c>
      <c r="C40" s="27" t="e" cm="1">
        <f t="array" ref="C40">INDEX(tblTrades[entry_date],ROW()-1)</f>
        <v>#REF!</v>
      </c>
      <c r="D40" s="2" t="e" cm="1">
        <f t="array" ref="D40">INDEX(tblTrades[entry_mc_actual],ROW()-1)</f>
        <v>#REF!</v>
      </c>
      <c r="E40" s="2" t="e" cm="1">
        <f t="array" ref="E40">INDEX(tblTrades[exit_mc_actual],ROW()-1)</f>
        <v>#REF!</v>
      </c>
      <c r="F40" s="3" t="e" cm="1">
        <f t="array" ref="F40">INDEX(tblTrades[time_in_trade_seconds],ROW()-1)</f>
        <v>#REF!</v>
      </c>
      <c r="G40" s="4" t="str" cm="1">
        <f t="array" ref="G40">IFERROR(INDEX(tblTrades[pnl_percentage],ROW()-1)*1,"")</f>
        <v/>
      </c>
      <c r="H40" s="5" t="str" cm="1">
        <f t="array" ref="H40">IFERROR(INDEX(tblTrades[pnl_sol],ROW()-1)*1,"")</f>
        <v/>
      </c>
      <c r="I40" t="str">
        <f t="shared" si="23"/>
        <v/>
      </c>
      <c r="J40" t="str">
        <f t="shared" si="24"/>
        <v/>
      </c>
      <c r="K40" t="str">
        <f t="shared" si="25"/>
        <v/>
      </c>
      <c r="L40" s="20" t="str" cm="1">
        <f t="array" ref="L40">IFERROR(INDEX(tblTrades[sol_invested],ROW()-1),"")</f>
        <v/>
      </c>
      <c r="M40" s="1">
        <f>COUNTIFS(tblAnalysis[Token],tblAnalysis[[#This Row],[Token]])</f>
        <v>0</v>
      </c>
      <c r="N40" s="1">
        <f>COUNTIFS($B$2:B40,tblAnalysis[[#This Row],[Token]])</f>
        <v>0</v>
      </c>
      <c r="O40" s="5">
        <f>IFERROR(SUM($H$2:H40),"")</f>
        <v>0.40399999999999997</v>
      </c>
      <c r="P40" s="6"/>
      <c r="Q40" s="27"/>
      <c r="R40" s="6" t="str">
        <f>IF(Q40="","",SUMIFS(tblAnalysis[P&amp;L SOL],tblAnalysis[Date],Q40))</f>
        <v/>
      </c>
      <c r="S40" s="10" t="str">
        <f>IF(Q40="","",SUMIFS(tblAnalysis[P&amp;L %],tblAnalysis[Date],Q40))</f>
        <v/>
      </c>
      <c r="T40" s="6" t="str">
        <f>IF(Q40="","",IFERROR(SUM($R$2:R40),""))</f>
        <v/>
      </c>
      <c r="U40" t="str">
        <f>IF(Q40="","",COUNTIFS(tblAnalysis[Date],Q40))</f>
        <v/>
      </c>
      <c r="W40" s="27" t="str">
        <f t="shared" si="4"/>
        <v/>
      </c>
      <c r="X40" s="6" t="str">
        <f t="shared" si="5"/>
        <v/>
      </c>
      <c r="Y40" s="6" t="str">
        <f>IF(Q40="","",MAX(X40,_xlfn.MAXIFS(tblAnalysis[Cum P&amp;L SOL],tblAnalysis[Date],Q40)))</f>
        <v/>
      </c>
      <c r="Z40" s="6" t="str">
        <f>IF(Q40="","",MIN(X40,_xlfn.MINIFS(tblAnalysis[Cum P&amp;L SOL],tblAnalysis[Date],Q40)))</f>
        <v/>
      </c>
      <c r="AA40" s="6" t="str">
        <f t="shared" si="6"/>
        <v/>
      </c>
      <c r="AB40"/>
      <c r="AC40" s="27" t="str">
        <f t="shared" si="7"/>
        <v/>
      </c>
      <c r="AD40" s="10" t="str">
        <f t="shared" si="8"/>
        <v/>
      </c>
      <c r="AE40" s="10" t="str">
        <f t="shared" si="9"/>
        <v/>
      </c>
      <c r="AF40" s="10" t="str">
        <f t="shared" si="10"/>
        <v/>
      </c>
      <c r="AG40"/>
      <c r="AH40" t="str">
        <f t="shared" si="11"/>
        <v/>
      </c>
      <c r="AI40" t="str">
        <f t="shared" si="12"/>
        <v/>
      </c>
      <c r="AK40" cm="1">
        <f t="array" ref="AK40">IFERROR(IF(INDEX($A:$A,ROW())="","",INDEX($A:$A,ROW())),"")</f>
        <v>39</v>
      </c>
      <c r="AL40" t="str" cm="1">
        <f t="array" ref="AL40">IFERROR(INDEX(tblTrades[sol_invested],ROW()-1),"")</f>
        <v/>
      </c>
      <c r="AM40" s="6" t="str" cm="1">
        <f t="array" ref="AM40">IFERROR(INDEX(tblAnalysis[P&amp;L SOL],ROW()-1),"")</f>
        <v/>
      </c>
      <c r="AN40" t="str" cm="1">
        <f t="array" ref="AN40">IFERROR(IF(INDEX(tblTrades[sol_invested],ROW()-1)&gt;0.5,INDEX(tblAnalysis[Token],ROW()-1)&amp;" ("&amp;TEXT(INDEX(tblTrades[sol_invested],ROW()-1),"0.0")&amp;" SOL)",""),"")</f>
        <v/>
      </c>
      <c r="AO40" s="7" t="e" cm="1">
        <f t="array" ref="AO40">IF(INDEX(tblTrades[sol_invested],ROW()-1)&gt;0.5,INDEX(tblAnalysis[Cum P&amp;L SOL],ROW()-1),"")</f>
        <v>#REF!</v>
      </c>
      <c r="AP40" s="12" t="str" cm="1">
        <f t="array" ref="AP40">IFERROR(INDEX(tblAnalysis[Entry MC ($)],ROW()-1),"")</f>
        <v/>
      </c>
      <c r="AQ40" s="10" t="str" cm="1">
        <f t="array" ref="AQ40">IFERROR(INDEX(tblAnalysis[P&amp;L %],ROW()-1),"")</f>
        <v/>
      </c>
      <c r="AR40" t="str" cm="1">
        <f t="array" ref="AR40">IFERROR(INDEX(tblAnalysis[Hold Time (s)],ROW()-1),"")</f>
        <v/>
      </c>
      <c r="AS40" s="6" t="str" cm="1">
        <f t="array" ref="AS40">IFERROR(INDEX(tblAnalysis[P&amp;L SOL],ROW()-1),"")</f>
        <v/>
      </c>
      <c r="AT40"/>
      <c r="AW40" t="s">
        <v>94</v>
      </c>
      <c r="AX40" s="12">
        <f>COUNTIF(tblTrades[TimeBucket],AW40)</f>
        <v>1</v>
      </c>
      <c r="AY40" s="25">
        <f>IFERROR(COUNTIFS(tblTrades[TimeBucket],AW40,tblTrades[pnl_sol],"&gt;0")/AX40,0)</f>
        <v>0</v>
      </c>
      <c r="AZ40" s="25">
        <f>IFERROR(AVERAGEIFS(tblTrades[pnl_percentage],tblTrades[TimeBucket],AW40),0)</f>
        <v>-0.01</v>
      </c>
      <c r="BA40" s="26">
        <f>SUMIFS(tblTrades[pnl_sol],tblTrades[TimeBucket],AW40)</f>
        <v>-5.0000000000000001E-3</v>
      </c>
      <c r="BB40" s="22" cm="1">
        <f t="array" ref="BB40">IFERROR(SUMIFS(tblTrades[pnl_sol],tblTrades[TimeBucket],AW40)/SUMPRODUCT((tblTrades[TimeBucket]=AW40)*IFERROR(ABS(tblTrades[pnl_sol]/tblTrades[pnl_percentage]),0)),0)</f>
        <v>-0.01</v>
      </c>
      <c r="BC40" s="18" t="str">
        <f t="shared" si="27"/>
        <v>-0.0 SOL</v>
      </c>
      <c r="BF40" t="str">
        <f t="shared" si="13"/>
        <v/>
      </c>
      <c r="BG40" s="27" t="str">
        <f t="shared" si="14"/>
        <v/>
      </c>
      <c r="BH40" t="str">
        <f t="shared" si="15"/>
        <v/>
      </c>
      <c r="BL40" s="29" t="e">
        <f t="shared" si="16"/>
        <v>#N/A</v>
      </c>
      <c r="BM40" s="29" t="e">
        <f t="shared" si="17"/>
        <v>#N/A</v>
      </c>
    </row>
    <row r="41" spans="1:65" x14ac:dyDescent="0.35">
      <c r="A41">
        <f t="shared" si="22"/>
        <v>40</v>
      </c>
      <c r="B41" t="e" cm="1">
        <f t="array" ref="B41">INDEX(tblTrades[token_name],ROW()-1)</f>
        <v>#REF!</v>
      </c>
      <c r="C41" s="27" t="e" cm="1">
        <f t="array" ref="C41">INDEX(tblTrades[entry_date],ROW()-1)</f>
        <v>#REF!</v>
      </c>
      <c r="D41" s="2" t="e" cm="1">
        <f t="array" ref="D41">INDEX(tblTrades[entry_mc_actual],ROW()-1)</f>
        <v>#REF!</v>
      </c>
      <c r="E41" s="2" t="e" cm="1">
        <f t="array" ref="E41">INDEX(tblTrades[exit_mc_actual],ROW()-1)</f>
        <v>#REF!</v>
      </c>
      <c r="F41" s="3" t="e" cm="1">
        <f t="array" ref="F41">INDEX(tblTrades[time_in_trade_seconds],ROW()-1)</f>
        <v>#REF!</v>
      </c>
      <c r="G41" s="4" t="str" cm="1">
        <f t="array" ref="G41">IFERROR(INDEX(tblTrades[pnl_percentage],ROW()-1)*1,"")</f>
        <v/>
      </c>
      <c r="H41" s="5" t="str" cm="1">
        <f t="array" ref="H41">IFERROR(INDEX(tblTrades[pnl_sol],ROW()-1)*1,"")</f>
        <v/>
      </c>
      <c r="I41" t="str">
        <f t="shared" si="23"/>
        <v/>
      </c>
      <c r="J41" t="str">
        <f t="shared" si="24"/>
        <v/>
      </c>
      <c r="K41" t="str">
        <f t="shared" si="25"/>
        <v/>
      </c>
      <c r="L41" s="20" t="str" cm="1">
        <f t="array" ref="L41">IFERROR(INDEX(tblTrades[sol_invested],ROW()-1),"")</f>
        <v/>
      </c>
      <c r="M41" s="1">
        <f>COUNTIFS(tblAnalysis[Token],tblAnalysis[[#This Row],[Token]])</f>
        <v>0</v>
      </c>
      <c r="N41" s="1">
        <f>COUNTIFS($B$2:B41,tblAnalysis[[#This Row],[Token]])</f>
        <v>0</v>
      </c>
      <c r="O41" s="5">
        <f>IFERROR(SUM($H$2:H41),"")</f>
        <v>0.40399999999999997</v>
      </c>
      <c r="P41" s="6"/>
      <c r="Q41" s="27"/>
      <c r="R41" s="6" t="str">
        <f>IF(Q41="","",SUMIFS(tblAnalysis[P&amp;L SOL],tblAnalysis[Date],Q41))</f>
        <v/>
      </c>
      <c r="S41" s="10" t="str">
        <f>IF(Q41="","",SUMIFS(tblAnalysis[P&amp;L %],tblAnalysis[Date],Q41))</f>
        <v/>
      </c>
      <c r="T41" s="6" t="str">
        <f>IF(Q41="","",IFERROR(SUM($R$2:R41),""))</f>
        <v/>
      </c>
      <c r="U41" t="str">
        <f>IF(Q41="","",COUNTIFS(tblAnalysis[Date],Q41))</f>
        <v/>
      </c>
      <c r="W41" s="27" t="str">
        <f t="shared" si="4"/>
        <v/>
      </c>
      <c r="X41" s="6" t="str">
        <f t="shared" si="5"/>
        <v/>
      </c>
      <c r="Y41" s="6" t="str">
        <f>IF(Q41="","",MAX(X41,_xlfn.MAXIFS(tblAnalysis[Cum P&amp;L SOL],tblAnalysis[Date],Q41)))</f>
        <v/>
      </c>
      <c r="Z41" s="6" t="str">
        <f>IF(Q41="","",MIN(X41,_xlfn.MINIFS(tblAnalysis[Cum P&amp;L SOL],tblAnalysis[Date],Q41)))</f>
        <v/>
      </c>
      <c r="AA41" s="6" t="str">
        <f t="shared" si="6"/>
        <v/>
      </c>
      <c r="AB41"/>
      <c r="AC41" s="27" t="str">
        <f t="shared" si="7"/>
        <v/>
      </c>
      <c r="AD41" s="10" t="str">
        <f t="shared" si="8"/>
        <v/>
      </c>
      <c r="AE41" s="10" t="str">
        <f t="shared" si="9"/>
        <v/>
      </c>
      <c r="AF41" s="10" t="str">
        <f t="shared" si="10"/>
        <v/>
      </c>
      <c r="AG41"/>
      <c r="AH41" t="str">
        <f t="shared" si="11"/>
        <v/>
      </c>
      <c r="AI41" t="str">
        <f t="shared" si="12"/>
        <v/>
      </c>
      <c r="AK41" cm="1">
        <f t="array" ref="AK41">IFERROR(IF(INDEX($A:$A,ROW())="","",INDEX($A:$A,ROW())),"")</f>
        <v>40</v>
      </c>
      <c r="AL41" t="str" cm="1">
        <f t="array" ref="AL41">IFERROR(INDEX(tblTrades[sol_invested],ROW()-1),"")</f>
        <v/>
      </c>
      <c r="AM41" s="6" t="str" cm="1">
        <f t="array" ref="AM41">IFERROR(INDEX(tblAnalysis[P&amp;L SOL],ROW()-1),"")</f>
        <v/>
      </c>
      <c r="AN41" t="str" cm="1">
        <f t="array" ref="AN41">IFERROR(IF(INDEX(tblTrades[sol_invested],ROW()-1)&gt;0.5,INDEX(tblAnalysis[Token],ROW()-1)&amp;" ("&amp;TEXT(INDEX(tblTrades[sol_invested],ROW()-1),"0.0")&amp;" SOL)",""),"")</f>
        <v/>
      </c>
      <c r="AO41" s="7" t="e" cm="1">
        <f t="array" ref="AO41">IF(INDEX(tblTrades[sol_invested],ROW()-1)&gt;0.5,INDEX(tblAnalysis[Cum P&amp;L SOL],ROW()-1),"")</f>
        <v>#REF!</v>
      </c>
      <c r="AP41" s="12" t="str" cm="1">
        <f t="array" ref="AP41">IFERROR(INDEX(tblAnalysis[Entry MC ($)],ROW()-1),"")</f>
        <v/>
      </c>
      <c r="AQ41" s="10" t="str" cm="1">
        <f t="array" ref="AQ41">IFERROR(INDEX(tblAnalysis[P&amp;L %],ROW()-1),"")</f>
        <v/>
      </c>
      <c r="AR41" t="str" cm="1">
        <f t="array" ref="AR41">IFERROR(INDEX(tblAnalysis[Hold Time (s)],ROW()-1),"")</f>
        <v/>
      </c>
      <c r="AS41" s="6" t="str" cm="1">
        <f t="array" ref="AS41">IFERROR(INDEX(tblAnalysis[P&amp;L SOL],ROW()-1),"")</f>
        <v/>
      </c>
      <c r="AT41"/>
      <c r="AW41" t="s">
        <v>96</v>
      </c>
      <c r="AX41" s="12">
        <f>COUNTIF(tblTrades[TimeBucket],AW41)</f>
        <v>0</v>
      </c>
      <c r="AY41" s="25">
        <f>IFERROR(COUNTIFS(tblTrades[TimeBucket],AW41,tblTrades[pnl_sol],"&gt;0")/AX41,0)</f>
        <v>0</v>
      </c>
      <c r="AZ41" s="25">
        <f>IFERROR(AVERAGEIFS(tblTrades[pnl_percentage],tblTrades[TimeBucket],AW41),0)</f>
        <v>0</v>
      </c>
      <c r="BA41" s="26">
        <f>SUMIFS(tblTrades[pnl_sol],tblTrades[TimeBucket],AW41)</f>
        <v>0</v>
      </c>
      <c r="BB41" s="22" cm="1">
        <f t="array" ref="BB41">IFERROR(SUMIFS(tblTrades[pnl_sol],tblTrades[TimeBucket],AW41)/SUMPRODUCT((tblTrades[TimeBucket]=AW41)*IFERROR(ABS(tblTrades[pnl_sol]/tblTrades[pnl_percentage]),0)),0)</f>
        <v>0</v>
      </c>
      <c r="BC41" s="18" t="str">
        <f t="shared" si="27"/>
        <v>0.0 SOL</v>
      </c>
      <c r="BF41" t="str">
        <f t="shared" si="13"/>
        <v/>
      </c>
      <c r="BG41" s="27" t="str">
        <f t="shared" si="14"/>
        <v/>
      </c>
      <c r="BH41" t="str">
        <f t="shared" si="15"/>
        <v/>
      </c>
      <c r="BL41" s="29" t="e">
        <f t="shared" si="16"/>
        <v>#N/A</v>
      </c>
      <c r="BM41" s="29" t="e">
        <f t="shared" si="17"/>
        <v>#N/A</v>
      </c>
    </row>
    <row r="42" spans="1:65" x14ac:dyDescent="0.35">
      <c r="A42">
        <f t="shared" si="22"/>
        <v>41</v>
      </c>
      <c r="B42" t="e" cm="1">
        <f t="array" ref="B42">INDEX(tblTrades[token_name],ROW()-1)</f>
        <v>#REF!</v>
      </c>
      <c r="C42" s="27" t="e" cm="1">
        <f t="array" ref="C42">INDEX(tblTrades[entry_date],ROW()-1)</f>
        <v>#REF!</v>
      </c>
      <c r="D42" s="2" t="e" cm="1">
        <f t="array" ref="D42">INDEX(tblTrades[entry_mc_actual],ROW()-1)</f>
        <v>#REF!</v>
      </c>
      <c r="E42" s="2" t="e" cm="1">
        <f t="array" ref="E42">INDEX(tblTrades[exit_mc_actual],ROW()-1)</f>
        <v>#REF!</v>
      </c>
      <c r="F42" s="3" t="e" cm="1">
        <f t="array" ref="F42">INDEX(tblTrades[time_in_trade_seconds],ROW()-1)</f>
        <v>#REF!</v>
      </c>
      <c r="G42" s="4" t="str" cm="1">
        <f t="array" ref="G42">IFERROR(INDEX(tblTrades[pnl_percentage],ROW()-1)*1,"")</f>
        <v/>
      </c>
      <c r="H42" s="5" t="str" cm="1">
        <f t="array" ref="H42">IFERROR(INDEX(tblTrades[pnl_sol],ROW()-1)*1,"")</f>
        <v/>
      </c>
      <c r="I42" t="str">
        <f t="shared" si="23"/>
        <v/>
      </c>
      <c r="J42" t="str">
        <f t="shared" si="24"/>
        <v/>
      </c>
      <c r="K42" t="str">
        <f t="shared" si="25"/>
        <v/>
      </c>
      <c r="L42" s="20" t="str" cm="1">
        <f t="array" ref="L42">IFERROR(INDEX(tblTrades[sol_invested],ROW()-1),"")</f>
        <v/>
      </c>
      <c r="M42" s="1">
        <f>COUNTIFS(tblAnalysis[Token],tblAnalysis[[#This Row],[Token]])</f>
        <v>0</v>
      </c>
      <c r="N42" s="1">
        <f>COUNTIFS($B$2:B42,tblAnalysis[[#This Row],[Token]])</f>
        <v>0</v>
      </c>
      <c r="O42" s="5">
        <f>IFERROR(SUM($H$2:H42),"")</f>
        <v>0.40399999999999997</v>
      </c>
      <c r="P42" s="6"/>
      <c r="Q42" s="27"/>
      <c r="R42" s="6" t="str">
        <f>IF(Q42="","",SUMIFS(tblAnalysis[P&amp;L SOL],tblAnalysis[Date],Q42))</f>
        <v/>
      </c>
      <c r="S42" s="10" t="str">
        <f>IF(Q42="","",SUMIFS(tblAnalysis[P&amp;L %],tblAnalysis[Date],Q42))</f>
        <v/>
      </c>
      <c r="T42" s="6" t="str">
        <f>IF(Q42="","",IFERROR(SUM($R$2:R42),""))</f>
        <v/>
      </c>
      <c r="U42" t="str">
        <f>IF(Q42="","",COUNTIFS(tblAnalysis[Date],Q42))</f>
        <v/>
      </c>
      <c r="W42" s="27" t="str">
        <f t="shared" si="4"/>
        <v/>
      </c>
      <c r="X42" s="6" t="str">
        <f t="shared" si="5"/>
        <v/>
      </c>
      <c r="Y42" s="6" t="str">
        <f>IF(Q42="","",MAX(X42,_xlfn.MAXIFS(tblAnalysis[Cum P&amp;L SOL],tblAnalysis[Date],Q42)))</f>
        <v/>
      </c>
      <c r="Z42" s="6" t="str">
        <f>IF(Q42="","",MIN(X42,_xlfn.MINIFS(tblAnalysis[Cum P&amp;L SOL],tblAnalysis[Date],Q42)))</f>
        <v/>
      </c>
      <c r="AA42" s="6" t="str">
        <f t="shared" si="6"/>
        <v/>
      </c>
      <c r="AB42"/>
      <c r="AC42" s="27" t="str">
        <f t="shared" si="7"/>
        <v/>
      </c>
      <c r="AD42" s="10" t="str">
        <f t="shared" si="8"/>
        <v/>
      </c>
      <c r="AE42" s="10" t="str">
        <f t="shared" si="9"/>
        <v/>
      </c>
      <c r="AF42" s="10" t="str">
        <f t="shared" si="10"/>
        <v/>
      </c>
      <c r="AG42"/>
      <c r="AH42" t="str">
        <f t="shared" si="11"/>
        <v/>
      </c>
      <c r="AI42" t="str">
        <f t="shared" si="12"/>
        <v/>
      </c>
      <c r="AK42" cm="1">
        <f t="array" ref="AK42">IFERROR(IF(INDEX($A:$A,ROW())="","",INDEX($A:$A,ROW())),"")</f>
        <v>41</v>
      </c>
      <c r="AL42" t="str" cm="1">
        <f t="array" ref="AL42">IFERROR(INDEX(tblTrades[sol_invested],ROW()-1),"")</f>
        <v/>
      </c>
      <c r="AM42" s="6" t="str" cm="1">
        <f t="array" ref="AM42">IFERROR(INDEX(tblAnalysis[P&amp;L SOL],ROW()-1),"")</f>
        <v/>
      </c>
      <c r="AN42" t="str" cm="1">
        <f t="array" ref="AN42">IFERROR(IF(INDEX(tblTrades[sol_invested],ROW()-1)&gt;0.5,INDEX(tblAnalysis[Token],ROW()-1)&amp;" ("&amp;TEXT(INDEX(tblTrades[sol_invested],ROW()-1),"0.0")&amp;" SOL)",""),"")</f>
        <v/>
      </c>
      <c r="AO42" s="7" t="e" cm="1">
        <f t="array" ref="AO42">IF(INDEX(tblTrades[sol_invested],ROW()-1)&gt;0.5,INDEX(tblAnalysis[Cum P&amp;L SOL],ROW()-1),"")</f>
        <v>#REF!</v>
      </c>
      <c r="AP42" s="12" t="str" cm="1">
        <f t="array" ref="AP42">IFERROR(INDEX(tblAnalysis[Entry MC ($)],ROW()-1),"")</f>
        <v/>
      </c>
      <c r="AQ42" s="10" t="str" cm="1">
        <f t="array" ref="AQ42">IFERROR(INDEX(tblAnalysis[P&amp;L %],ROW()-1),"")</f>
        <v/>
      </c>
      <c r="AR42" t="str" cm="1">
        <f t="array" ref="AR42">IFERROR(INDEX(tblAnalysis[Hold Time (s)],ROW()-1),"")</f>
        <v/>
      </c>
      <c r="AS42" s="6" t="str" cm="1">
        <f t="array" ref="AS42">IFERROR(INDEX(tblAnalysis[P&amp;L SOL],ROW()-1),"")</f>
        <v/>
      </c>
      <c r="AT42"/>
      <c r="AW42" t="s">
        <v>97</v>
      </c>
      <c r="AX42" s="12">
        <f>COUNTIF(tblTrades[TimeBucket],AW42)</f>
        <v>0</v>
      </c>
      <c r="AY42" s="25">
        <f>IFERROR(COUNTIFS(tblTrades[TimeBucket],AW42,tblTrades[pnl_sol],"&gt;0")/AX42,0)</f>
        <v>0</v>
      </c>
      <c r="AZ42" s="25">
        <f>IFERROR(AVERAGEIFS(tblTrades[pnl_percentage],tblTrades[TimeBucket],AW42),0)</f>
        <v>0</v>
      </c>
      <c r="BA42" s="26">
        <f>SUMIFS(tblTrades[pnl_sol],tblTrades[TimeBucket],AW42)</f>
        <v>0</v>
      </c>
      <c r="BB42" s="22" cm="1">
        <f t="array" ref="BB42">IFERROR(SUMIFS(tblTrades[pnl_sol],tblTrades[TimeBucket],AW42)/SUMPRODUCT((tblTrades[TimeBucket]=AW42)*IFERROR(ABS(tblTrades[pnl_sol]/tblTrades[pnl_percentage]),0)),0)</f>
        <v>0</v>
      </c>
      <c r="BC42" s="18" t="str">
        <f t="shared" si="27"/>
        <v>0.0 SOL</v>
      </c>
      <c r="BF42" t="str">
        <f t="shared" si="13"/>
        <v/>
      </c>
      <c r="BG42" s="27" t="str">
        <f t="shared" si="14"/>
        <v/>
      </c>
      <c r="BH42" t="str">
        <f t="shared" si="15"/>
        <v/>
      </c>
      <c r="BL42" s="29" t="e">
        <f t="shared" si="16"/>
        <v>#N/A</v>
      </c>
      <c r="BM42" s="29" t="e">
        <f t="shared" si="17"/>
        <v>#N/A</v>
      </c>
    </row>
    <row r="43" spans="1:65" x14ac:dyDescent="0.35">
      <c r="A43">
        <f t="shared" si="22"/>
        <v>42</v>
      </c>
      <c r="B43" t="e" cm="1">
        <f t="array" ref="B43">INDEX(tblTrades[token_name],ROW()-1)</f>
        <v>#REF!</v>
      </c>
      <c r="C43" s="27" t="e" cm="1">
        <f t="array" ref="C43">INDEX(tblTrades[entry_date],ROW()-1)</f>
        <v>#REF!</v>
      </c>
      <c r="D43" s="2" t="e" cm="1">
        <f t="array" ref="D43">INDEX(tblTrades[entry_mc_actual],ROW()-1)</f>
        <v>#REF!</v>
      </c>
      <c r="E43" s="2" t="e" cm="1">
        <f t="array" ref="E43">INDEX(tblTrades[exit_mc_actual],ROW()-1)</f>
        <v>#REF!</v>
      </c>
      <c r="F43" s="3" t="e" cm="1">
        <f t="array" ref="F43">INDEX(tblTrades[time_in_trade_seconds],ROW()-1)</f>
        <v>#REF!</v>
      </c>
      <c r="G43" s="4" t="str" cm="1">
        <f t="array" ref="G43">IFERROR(INDEX(tblTrades[pnl_percentage],ROW()-1)*1,"")</f>
        <v/>
      </c>
      <c r="H43" s="5" t="str" cm="1">
        <f t="array" ref="H43">IFERROR(INDEX(tblTrades[pnl_sol],ROW()-1)*1,"")</f>
        <v/>
      </c>
      <c r="I43" t="str">
        <f t="shared" si="23"/>
        <v/>
      </c>
      <c r="J43" t="str">
        <f t="shared" si="24"/>
        <v/>
      </c>
      <c r="K43" t="str">
        <f t="shared" si="25"/>
        <v/>
      </c>
      <c r="L43" s="20" t="str" cm="1">
        <f t="array" ref="L43">IFERROR(INDEX(tblTrades[sol_invested],ROW()-1),"")</f>
        <v/>
      </c>
      <c r="M43" s="1">
        <f>COUNTIFS(tblAnalysis[Token],tblAnalysis[[#This Row],[Token]])</f>
        <v>0</v>
      </c>
      <c r="N43" s="1">
        <f>COUNTIFS($B$2:B43,tblAnalysis[[#This Row],[Token]])</f>
        <v>0</v>
      </c>
      <c r="O43" s="5">
        <f>IFERROR(SUM($H$2:H43),"")</f>
        <v>0.40399999999999997</v>
      </c>
      <c r="P43" s="6"/>
      <c r="Q43" s="27"/>
      <c r="R43" s="6" t="str">
        <f>IF(Q43="","",SUMIFS(tblAnalysis[P&amp;L SOL],tblAnalysis[Date],Q43))</f>
        <v/>
      </c>
      <c r="S43" s="10" t="str">
        <f>IF(Q43="","",SUMIFS(tblAnalysis[P&amp;L %],tblAnalysis[Date],Q43))</f>
        <v/>
      </c>
      <c r="T43" s="6" t="str">
        <f>IF(Q43="","",IFERROR(SUM($R$2:R43),""))</f>
        <v/>
      </c>
      <c r="U43" t="str">
        <f>IF(Q43="","",COUNTIFS(tblAnalysis[Date],Q43))</f>
        <v/>
      </c>
      <c r="W43" s="27" t="str">
        <f t="shared" si="4"/>
        <v/>
      </c>
      <c r="X43" s="6" t="str">
        <f t="shared" si="5"/>
        <v/>
      </c>
      <c r="Y43" s="6" t="str">
        <f>IF(Q43="","",MAX(X43,_xlfn.MAXIFS(tblAnalysis[Cum P&amp;L SOL],tblAnalysis[Date],Q43)))</f>
        <v/>
      </c>
      <c r="Z43" s="6" t="str">
        <f>IF(Q43="","",MIN(X43,_xlfn.MINIFS(tblAnalysis[Cum P&amp;L SOL],tblAnalysis[Date],Q43)))</f>
        <v/>
      </c>
      <c r="AA43" s="6" t="str">
        <f t="shared" si="6"/>
        <v/>
      </c>
      <c r="AB43"/>
      <c r="AC43" s="27" t="str">
        <f t="shared" si="7"/>
        <v/>
      </c>
      <c r="AD43" s="10" t="str">
        <f t="shared" si="8"/>
        <v/>
      </c>
      <c r="AE43" s="10" t="str">
        <f t="shared" si="9"/>
        <v/>
      </c>
      <c r="AF43" s="10" t="str">
        <f t="shared" si="10"/>
        <v/>
      </c>
      <c r="AG43"/>
      <c r="AH43" t="str">
        <f t="shared" si="11"/>
        <v/>
      </c>
      <c r="AI43" t="str">
        <f t="shared" si="12"/>
        <v/>
      </c>
      <c r="AK43" cm="1">
        <f t="array" ref="AK43">IFERROR(IF(INDEX($A:$A,ROW())="","",INDEX($A:$A,ROW())),"")</f>
        <v>42</v>
      </c>
      <c r="AL43" t="str" cm="1">
        <f t="array" ref="AL43">IFERROR(INDEX(tblTrades[sol_invested],ROW()-1),"")</f>
        <v/>
      </c>
      <c r="AM43" s="6" t="str" cm="1">
        <f t="array" ref="AM43">IFERROR(INDEX(tblAnalysis[P&amp;L SOL],ROW()-1),"")</f>
        <v/>
      </c>
      <c r="AN43" t="str" cm="1">
        <f t="array" ref="AN43">IFERROR(IF(INDEX(tblTrades[sol_invested],ROW()-1)&gt;0.5,INDEX(tblAnalysis[Token],ROW()-1)&amp;" ("&amp;TEXT(INDEX(tblTrades[sol_invested],ROW()-1),"0.0")&amp;" SOL)",""),"")</f>
        <v/>
      </c>
      <c r="AO43" s="7" t="e" cm="1">
        <f t="array" ref="AO43">IF(INDEX(tblTrades[sol_invested],ROW()-1)&gt;0.5,INDEX(tblAnalysis[Cum P&amp;L SOL],ROW()-1),"")</f>
        <v>#REF!</v>
      </c>
      <c r="AP43" s="12" t="str" cm="1">
        <f t="array" ref="AP43">IFERROR(INDEX(tblAnalysis[Entry MC ($)],ROW()-1),"")</f>
        <v/>
      </c>
      <c r="AQ43" s="10" t="str" cm="1">
        <f t="array" ref="AQ43">IFERROR(INDEX(tblAnalysis[P&amp;L %],ROW()-1),"")</f>
        <v/>
      </c>
      <c r="AR43" t="str" cm="1">
        <f t="array" ref="AR43">IFERROR(INDEX(tblAnalysis[Hold Time (s)],ROW()-1),"")</f>
        <v/>
      </c>
      <c r="AS43" s="6" t="str" cm="1">
        <f t="array" ref="AS43">IFERROR(INDEX(tblAnalysis[P&amp;L SOL],ROW()-1),"")</f>
        <v/>
      </c>
      <c r="AT43"/>
      <c r="AW43" t="s">
        <v>193</v>
      </c>
      <c r="AX43" s="12">
        <f>COUNTIF(tblTrades[TimeBucket],"WE 6pm-8pm")+COUNTIF(tblTrades[TimeBucket],"WE 8pm-2am")</f>
        <v>0</v>
      </c>
      <c r="AY43" s="25">
        <f>IFERROR((COUNTIFS(tblTrades[TimeBucket],"WE 6pm-8pm",tblTrades[pnl_sol],"&gt;0")+COUNTIFS(tblTrades[TimeBucket],"WE 8pm-2am",tblTrades[pnl_sol],"&gt;0"))/AX43,0)</f>
        <v>0</v>
      </c>
      <c r="AZ43" s="25">
        <f>IFERROR((SUMIFS(tblTrades[pnl_percentage],tblTrades[TimeBucket],"WE 6pm-8pm")+SUMIFS(tblTrades[pnl_percentage],tblTrades[TimeBucket],"WE 8pm-2am"))/AX43,0)</f>
        <v>0</v>
      </c>
      <c r="BA43" s="26">
        <f>SUMIFS(tblTrades[pnl_sol],tblTrades[TimeBucket],"WE 6pm-8pm")+SUMIFS(tblTrades[pnl_sol],tblTrades[TimeBucket],"WE 8pm-2am")</f>
        <v>0</v>
      </c>
      <c r="BB43" s="22" cm="1">
        <f t="array" ref="BB43">IFERROR(BA43/SUMPRODUCT(((tblTrades[TimeBucket]="WE 6pm-8pm")+(tblTrades[TimeBucket]="WE 8pm-2am"))*IFERROR(ABS(tblTrades[pnl_sol]/tblTrades[pnl_percentage]),0)),0)</f>
        <v>0</v>
      </c>
      <c r="BC43" s="18" t="str">
        <f>TEXT(BA43,"+0.0;-0.0;0.0")&amp;" SOL"</f>
        <v>0.0 SOL</v>
      </c>
      <c r="BF43" t="str">
        <f t="shared" si="13"/>
        <v/>
      </c>
      <c r="BG43" s="27" t="str">
        <f t="shared" si="14"/>
        <v/>
      </c>
      <c r="BH43" t="str">
        <f t="shared" si="15"/>
        <v/>
      </c>
      <c r="BL43" s="29" t="e">
        <f t="shared" si="16"/>
        <v>#N/A</v>
      </c>
      <c r="BM43" s="29" t="e">
        <f t="shared" si="17"/>
        <v>#N/A</v>
      </c>
    </row>
    <row r="44" spans="1:65" x14ac:dyDescent="0.35">
      <c r="A44">
        <f t="shared" si="22"/>
        <v>43</v>
      </c>
      <c r="B44" t="e" cm="1">
        <f t="array" ref="B44">INDEX(tblTrades[token_name],ROW()-1)</f>
        <v>#REF!</v>
      </c>
      <c r="C44" s="27" t="e" cm="1">
        <f t="array" ref="C44">INDEX(tblTrades[entry_date],ROW()-1)</f>
        <v>#REF!</v>
      </c>
      <c r="D44" s="2" t="e" cm="1">
        <f t="array" ref="D44">INDEX(tblTrades[entry_mc_actual],ROW()-1)</f>
        <v>#REF!</v>
      </c>
      <c r="E44" s="2" t="e" cm="1">
        <f t="array" ref="E44">INDEX(tblTrades[exit_mc_actual],ROW()-1)</f>
        <v>#REF!</v>
      </c>
      <c r="F44" s="3" t="e" cm="1">
        <f t="array" ref="F44">INDEX(tblTrades[time_in_trade_seconds],ROW()-1)</f>
        <v>#REF!</v>
      </c>
      <c r="G44" s="4" t="str" cm="1">
        <f t="array" ref="G44">IFERROR(INDEX(tblTrades[pnl_percentage],ROW()-1)*1,"")</f>
        <v/>
      </c>
      <c r="H44" s="5" t="str" cm="1">
        <f t="array" ref="H44">IFERROR(INDEX(tblTrades[pnl_sol],ROW()-1)*1,"")</f>
        <v/>
      </c>
      <c r="I44" t="str">
        <f t="shared" si="23"/>
        <v/>
      </c>
      <c r="J44" t="str">
        <f t="shared" si="24"/>
        <v/>
      </c>
      <c r="K44" t="str">
        <f t="shared" si="25"/>
        <v/>
      </c>
      <c r="L44" s="20" t="str" cm="1">
        <f t="array" ref="L44">IFERROR(INDEX(tblTrades[sol_invested],ROW()-1),"")</f>
        <v/>
      </c>
      <c r="M44" s="1">
        <f>COUNTIFS(tblAnalysis[Token],tblAnalysis[[#This Row],[Token]])</f>
        <v>0</v>
      </c>
      <c r="N44" s="1">
        <f>COUNTIFS($B$2:B44,tblAnalysis[[#This Row],[Token]])</f>
        <v>0</v>
      </c>
      <c r="O44" s="5">
        <f>IFERROR(SUM($H$2:H44),"")</f>
        <v>0.40399999999999997</v>
      </c>
      <c r="P44" s="6"/>
      <c r="Q44" s="27"/>
      <c r="R44" s="6" t="str">
        <f>IF(Q44="","",SUMIFS(tblAnalysis[P&amp;L SOL],tblAnalysis[Date],Q44))</f>
        <v/>
      </c>
      <c r="S44" s="10" t="str">
        <f>IF(Q44="","",SUMIFS(tblAnalysis[P&amp;L %],tblAnalysis[Date],Q44))</f>
        <v/>
      </c>
      <c r="T44" s="6" t="str">
        <f>IF(Q44="","",IFERROR(SUM($R$2:R44),""))</f>
        <v/>
      </c>
      <c r="U44" t="str">
        <f>IF(Q44="","",COUNTIFS(tblAnalysis[Date],Q44))</f>
        <v/>
      </c>
      <c r="W44" s="27" t="str">
        <f t="shared" si="4"/>
        <v/>
      </c>
      <c r="X44" s="6" t="str">
        <f t="shared" si="5"/>
        <v/>
      </c>
      <c r="Y44" s="6" t="str">
        <f>IF(Q44="","",MAX(X44,_xlfn.MAXIFS(tblAnalysis[Cum P&amp;L SOL],tblAnalysis[Date],Q44)))</f>
        <v/>
      </c>
      <c r="Z44" s="6" t="str">
        <f>IF(Q44="","",MIN(X44,_xlfn.MINIFS(tblAnalysis[Cum P&amp;L SOL],tblAnalysis[Date],Q44)))</f>
        <v/>
      </c>
      <c r="AA44" s="6" t="str">
        <f t="shared" si="6"/>
        <v/>
      </c>
      <c r="AB44"/>
      <c r="AC44" s="27" t="str">
        <f t="shared" si="7"/>
        <v/>
      </c>
      <c r="AD44" s="10" t="str">
        <f t="shared" si="8"/>
        <v/>
      </c>
      <c r="AE44" s="10" t="str">
        <f t="shared" si="9"/>
        <v/>
      </c>
      <c r="AF44" s="10" t="str">
        <f t="shared" si="10"/>
        <v/>
      </c>
      <c r="AG44"/>
      <c r="AH44" t="str">
        <f t="shared" si="11"/>
        <v/>
      </c>
      <c r="AI44" t="str">
        <f t="shared" si="12"/>
        <v/>
      </c>
      <c r="AK44" cm="1">
        <f t="array" ref="AK44">IFERROR(IF(INDEX($A:$A,ROW())="","",INDEX($A:$A,ROW())),"")</f>
        <v>43</v>
      </c>
      <c r="AL44" t="str" cm="1">
        <f t="array" ref="AL44">IFERROR(INDEX(tblTrades[sol_invested],ROW()-1),"")</f>
        <v/>
      </c>
      <c r="AM44" s="6" t="str" cm="1">
        <f t="array" ref="AM44">IFERROR(INDEX(tblAnalysis[P&amp;L SOL],ROW()-1),"")</f>
        <v/>
      </c>
      <c r="AN44" t="str" cm="1">
        <f t="array" ref="AN44">IFERROR(IF(INDEX(tblTrades[sol_invested],ROW()-1)&gt;0.5,INDEX(tblAnalysis[Token],ROW()-1)&amp;" ("&amp;TEXT(INDEX(tblTrades[sol_invested],ROW()-1),"0.0")&amp;" SOL)",""),"")</f>
        <v/>
      </c>
      <c r="AO44" s="7" t="e" cm="1">
        <f t="array" ref="AO44">IF(INDEX(tblTrades[sol_invested],ROW()-1)&gt;0.5,INDEX(tblAnalysis[Cum P&amp;L SOL],ROW()-1),"")</f>
        <v>#REF!</v>
      </c>
      <c r="AP44" s="12" t="str" cm="1">
        <f t="array" ref="AP44">IFERROR(INDEX(tblAnalysis[Entry MC ($)],ROW()-1),"")</f>
        <v/>
      </c>
      <c r="AQ44" s="10" t="str" cm="1">
        <f t="array" ref="AQ44">IFERROR(INDEX(tblAnalysis[P&amp;L %],ROW()-1),"")</f>
        <v/>
      </c>
      <c r="AR44" t="str" cm="1">
        <f t="array" ref="AR44">IFERROR(INDEX(tblAnalysis[Hold Time (s)],ROW()-1),"")</f>
        <v/>
      </c>
      <c r="AS44" s="6" t="str" cm="1">
        <f t="array" ref="AS44">IFERROR(INDEX(tblAnalysis[P&amp;L SOL],ROW()-1),"")</f>
        <v/>
      </c>
      <c r="AT44"/>
      <c r="AX44" s="12"/>
      <c r="AY44" s="10"/>
      <c r="AZ44" s="10"/>
      <c r="BA44" s="6"/>
      <c r="BB44" s="22"/>
      <c r="BC44" s="18"/>
      <c r="BF44" t="str">
        <f t="shared" si="13"/>
        <v/>
      </c>
      <c r="BG44" s="27" t="str">
        <f t="shared" si="14"/>
        <v/>
      </c>
      <c r="BH44" t="str">
        <f t="shared" si="15"/>
        <v/>
      </c>
      <c r="BL44" s="29" t="e">
        <f t="shared" si="16"/>
        <v>#N/A</v>
      </c>
      <c r="BM44" s="29" t="e">
        <f t="shared" si="17"/>
        <v>#N/A</v>
      </c>
    </row>
    <row r="45" spans="1:65" x14ac:dyDescent="0.35">
      <c r="A45">
        <f t="shared" si="22"/>
        <v>44</v>
      </c>
      <c r="B45" t="e" cm="1">
        <f t="array" ref="B45">INDEX(tblTrades[token_name],ROW()-1)</f>
        <v>#REF!</v>
      </c>
      <c r="C45" s="27" t="e" cm="1">
        <f t="array" ref="C45">INDEX(tblTrades[entry_date],ROW()-1)</f>
        <v>#REF!</v>
      </c>
      <c r="D45" s="2" t="e" cm="1">
        <f t="array" ref="D45">INDEX(tblTrades[entry_mc_actual],ROW()-1)</f>
        <v>#REF!</v>
      </c>
      <c r="E45" s="2" t="e" cm="1">
        <f t="array" ref="E45">INDEX(tblTrades[exit_mc_actual],ROW()-1)</f>
        <v>#REF!</v>
      </c>
      <c r="F45" s="3" t="e" cm="1">
        <f t="array" ref="F45">INDEX(tblTrades[time_in_trade_seconds],ROW()-1)</f>
        <v>#REF!</v>
      </c>
      <c r="G45" s="4" t="str" cm="1">
        <f t="array" ref="G45">IFERROR(INDEX(tblTrades[pnl_percentage],ROW()-1)*1,"")</f>
        <v/>
      </c>
      <c r="H45" s="5" t="str" cm="1">
        <f t="array" ref="H45">IFERROR(INDEX(tblTrades[pnl_sol],ROW()-1)*1,"")</f>
        <v/>
      </c>
      <c r="I45" t="str">
        <f t="shared" si="23"/>
        <v/>
      </c>
      <c r="J45" t="str">
        <f t="shared" si="24"/>
        <v/>
      </c>
      <c r="K45" t="str">
        <f t="shared" si="25"/>
        <v/>
      </c>
      <c r="L45" s="20" t="str" cm="1">
        <f t="array" ref="L45">IFERROR(INDEX(tblTrades[sol_invested],ROW()-1),"")</f>
        <v/>
      </c>
      <c r="M45" s="1">
        <f>COUNTIFS(tblAnalysis[Token],tblAnalysis[[#This Row],[Token]])</f>
        <v>0</v>
      </c>
      <c r="N45" s="1">
        <f>COUNTIFS($B$2:B45,tblAnalysis[[#This Row],[Token]])</f>
        <v>0</v>
      </c>
      <c r="O45" s="5">
        <f>IFERROR(SUM($H$2:H45),"")</f>
        <v>0.40399999999999997</v>
      </c>
      <c r="P45" s="6"/>
      <c r="Q45" s="27"/>
      <c r="R45" s="6" t="str">
        <f>IF(Q45="","",SUMIFS(tblAnalysis[P&amp;L SOL],tblAnalysis[Date],Q45))</f>
        <v/>
      </c>
      <c r="S45" s="10" t="str">
        <f>IF(Q45="","",SUMIFS(tblAnalysis[P&amp;L %],tblAnalysis[Date],Q45))</f>
        <v/>
      </c>
      <c r="T45" s="6" t="str">
        <f>IF(Q45="","",IFERROR(SUM($R$2:R45),""))</f>
        <v/>
      </c>
      <c r="U45" t="str">
        <f>IF(Q45="","",COUNTIFS(tblAnalysis[Date],Q45))</f>
        <v/>
      </c>
      <c r="W45" s="27" t="str">
        <f t="shared" si="4"/>
        <v/>
      </c>
      <c r="X45" s="6" t="str">
        <f t="shared" si="5"/>
        <v/>
      </c>
      <c r="Y45" s="6" t="str">
        <f>IF(Q45="","",MAX(X45,_xlfn.MAXIFS(tblAnalysis[Cum P&amp;L SOL],tblAnalysis[Date],Q45)))</f>
        <v/>
      </c>
      <c r="Z45" s="6" t="str">
        <f>IF(Q45="","",MIN(X45,_xlfn.MINIFS(tblAnalysis[Cum P&amp;L SOL],tblAnalysis[Date],Q45)))</f>
        <v/>
      </c>
      <c r="AA45" s="6" t="str">
        <f t="shared" si="6"/>
        <v/>
      </c>
      <c r="AB45"/>
      <c r="AC45" s="27" t="str">
        <f t="shared" si="7"/>
        <v/>
      </c>
      <c r="AD45" s="10" t="str">
        <f t="shared" si="8"/>
        <v/>
      </c>
      <c r="AE45" s="10" t="str">
        <f t="shared" si="9"/>
        <v/>
      </c>
      <c r="AF45" s="10" t="str">
        <f t="shared" si="10"/>
        <v/>
      </c>
      <c r="AG45"/>
      <c r="AH45" t="str">
        <f t="shared" si="11"/>
        <v/>
      </c>
      <c r="AI45" t="str">
        <f t="shared" si="12"/>
        <v/>
      </c>
      <c r="AK45" cm="1">
        <f t="array" ref="AK45">IFERROR(IF(INDEX($A:$A,ROW())="","",INDEX($A:$A,ROW())),"")</f>
        <v>44</v>
      </c>
      <c r="AL45" t="str" cm="1">
        <f t="array" ref="AL45">IFERROR(INDEX(tblTrades[sol_invested],ROW()-1),"")</f>
        <v/>
      </c>
      <c r="AM45" s="6" t="str" cm="1">
        <f t="array" ref="AM45">IFERROR(INDEX(tblAnalysis[P&amp;L SOL],ROW()-1),"")</f>
        <v/>
      </c>
      <c r="AN45" t="str" cm="1">
        <f t="array" ref="AN45">IFERROR(IF(INDEX(tblTrades[sol_invested],ROW()-1)&gt;0.5,INDEX(tblAnalysis[Token],ROW()-1)&amp;" ("&amp;TEXT(INDEX(tblTrades[sol_invested],ROW()-1),"0.0")&amp;" SOL)",""),"")</f>
        <v/>
      </c>
      <c r="AO45" s="7" t="e" cm="1">
        <f t="array" ref="AO45">IF(INDEX(tblTrades[sol_invested],ROW()-1)&gt;0.5,INDEX(tblAnalysis[Cum P&amp;L SOL],ROW()-1),"")</f>
        <v>#REF!</v>
      </c>
      <c r="AP45" s="12" t="str" cm="1">
        <f t="array" ref="AP45">IFERROR(INDEX(tblAnalysis[Entry MC ($)],ROW()-1),"")</f>
        <v/>
      </c>
      <c r="AQ45" s="10" t="str" cm="1">
        <f t="array" ref="AQ45">IFERROR(INDEX(tblAnalysis[P&amp;L %],ROW()-1),"")</f>
        <v/>
      </c>
      <c r="AR45" t="str" cm="1">
        <f t="array" ref="AR45">IFERROR(INDEX(tblAnalysis[Hold Time (s)],ROW()-1),"")</f>
        <v/>
      </c>
      <c r="AS45" s="6" t="str" cm="1">
        <f t="array" ref="AS45">IFERROR(INDEX(tblAnalysis[P&amp;L SOL],ROW()-1),"")</f>
        <v/>
      </c>
      <c r="AT45"/>
      <c r="AY45" s="10"/>
      <c r="AZ45" s="10"/>
      <c r="BA45" s="6"/>
      <c r="BB45"/>
      <c r="BF45" t="str">
        <f t="shared" si="13"/>
        <v/>
      </c>
      <c r="BG45" s="27" t="str">
        <f t="shared" si="14"/>
        <v/>
      </c>
      <c r="BH45" t="str">
        <f t="shared" si="15"/>
        <v/>
      </c>
      <c r="BL45" s="29" t="e">
        <f t="shared" si="16"/>
        <v>#N/A</v>
      </c>
      <c r="BM45" s="29" t="e">
        <f t="shared" si="17"/>
        <v>#N/A</v>
      </c>
    </row>
    <row r="46" spans="1:65" x14ac:dyDescent="0.35">
      <c r="A46">
        <f t="shared" si="22"/>
        <v>45</v>
      </c>
      <c r="B46" t="e" cm="1">
        <f t="array" ref="B46">INDEX(tblTrades[token_name],ROW()-1)</f>
        <v>#REF!</v>
      </c>
      <c r="C46" s="27" t="e" cm="1">
        <f t="array" ref="C46">INDEX(tblTrades[entry_date],ROW()-1)</f>
        <v>#REF!</v>
      </c>
      <c r="D46" s="2" t="e" cm="1">
        <f t="array" ref="D46">INDEX(tblTrades[entry_mc_actual],ROW()-1)</f>
        <v>#REF!</v>
      </c>
      <c r="E46" s="2" t="e" cm="1">
        <f t="array" ref="E46">INDEX(tblTrades[exit_mc_actual],ROW()-1)</f>
        <v>#REF!</v>
      </c>
      <c r="F46" s="3" t="e" cm="1">
        <f t="array" ref="F46">INDEX(tblTrades[time_in_trade_seconds],ROW()-1)</f>
        <v>#REF!</v>
      </c>
      <c r="G46" s="4" t="str" cm="1">
        <f t="array" ref="G46">IFERROR(INDEX(tblTrades[pnl_percentage],ROW()-1)*1,"")</f>
        <v/>
      </c>
      <c r="H46" s="5" t="str" cm="1">
        <f t="array" ref="H46">IFERROR(INDEX(tblTrades[pnl_sol],ROW()-1)*1,"")</f>
        <v/>
      </c>
      <c r="I46" t="str">
        <f t="shared" si="23"/>
        <v/>
      </c>
      <c r="J46" t="str">
        <f t="shared" si="24"/>
        <v/>
      </c>
      <c r="K46" t="str">
        <f t="shared" si="25"/>
        <v/>
      </c>
      <c r="L46" s="20" t="str" cm="1">
        <f t="array" ref="L46">IFERROR(INDEX(tblTrades[sol_invested],ROW()-1),"")</f>
        <v/>
      </c>
      <c r="M46" s="1">
        <f>COUNTIFS(tblAnalysis[Token],tblAnalysis[[#This Row],[Token]])</f>
        <v>0</v>
      </c>
      <c r="N46" s="1">
        <f>COUNTIFS($B$2:B46,tblAnalysis[[#This Row],[Token]])</f>
        <v>0</v>
      </c>
      <c r="O46" s="5">
        <f>IFERROR(SUM($H$2:H46),"")</f>
        <v>0.40399999999999997</v>
      </c>
      <c r="P46" s="6"/>
      <c r="Q46" s="27"/>
      <c r="R46" s="6" t="str">
        <f>IF(Q46="","",SUMIFS(tblAnalysis[P&amp;L SOL],tblAnalysis[Date],Q46))</f>
        <v/>
      </c>
      <c r="S46" s="10" t="str">
        <f>IF(Q46="","",SUMIFS(tblAnalysis[P&amp;L %],tblAnalysis[Date],Q46))</f>
        <v/>
      </c>
      <c r="T46" s="6" t="str">
        <f>IF(Q46="","",IFERROR(SUM($R$2:R46),""))</f>
        <v/>
      </c>
      <c r="U46" t="str">
        <f>IF(Q46="","",COUNTIFS(tblAnalysis[Date],Q46))</f>
        <v/>
      </c>
      <c r="W46" s="27" t="str">
        <f t="shared" si="4"/>
        <v/>
      </c>
      <c r="X46" s="6" t="str">
        <f t="shared" si="5"/>
        <v/>
      </c>
      <c r="Y46" s="6" t="str">
        <f>IF(Q46="","",MAX(X46,_xlfn.MAXIFS(tblAnalysis[Cum P&amp;L SOL],tblAnalysis[Date],Q46)))</f>
        <v/>
      </c>
      <c r="Z46" s="6" t="str">
        <f>IF(Q46="","",MIN(X46,_xlfn.MINIFS(tblAnalysis[Cum P&amp;L SOL],tblAnalysis[Date],Q46)))</f>
        <v/>
      </c>
      <c r="AA46" s="6" t="str">
        <f t="shared" si="6"/>
        <v/>
      </c>
      <c r="AB46"/>
      <c r="AC46" s="27" t="str">
        <f t="shared" si="7"/>
        <v/>
      </c>
      <c r="AD46" s="10" t="str">
        <f t="shared" si="8"/>
        <v/>
      </c>
      <c r="AE46" s="10" t="str">
        <f t="shared" si="9"/>
        <v/>
      </c>
      <c r="AF46" s="10" t="str">
        <f t="shared" si="10"/>
        <v/>
      </c>
      <c r="AG46"/>
      <c r="AH46" t="str">
        <f t="shared" si="11"/>
        <v/>
      </c>
      <c r="AI46" t="str">
        <f t="shared" si="12"/>
        <v/>
      </c>
      <c r="AK46" cm="1">
        <f t="array" ref="AK46">IFERROR(IF(INDEX($A:$A,ROW())="","",INDEX($A:$A,ROW())),"")</f>
        <v>45</v>
      </c>
      <c r="AL46" t="str" cm="1">
        <f t="array" ref="AL46">IFERROR(INDEX(tblTrades[sol_invested],ROW()-1),"")</f>
        <v/>
      </c>
      <c r="AM46" s="6" t="str" cm="1">
        <f t="array" ref="AM46">IFERROR(INDEX(tblAnalysis[P&amp;L SOL],ROW()-1),"")</f>
        <v/>
      </c>
      <c r="AN46" t="str" cm="1">
        <f t="array" ref="AN46">IFERROR(IF(INDEX(tblTrades[sol_invested],ROW()-1)&gt;0.5,INDEX(tblAnalysis[Token],ROW()-1)&amp;" ("&amp;TEXT(INDEX(tblTrades[sol_invested],ROW()-1),"0.0")&amp;" SOL)",""),"")</f>
        <v/>
      </c>
      <c r="AO46" s="7" t="e" cm="1">
        <f t="array" ref="AO46">IF(INDEX(tblTrades[sol_invested],ROW()-1)&gt;0.5,INDEX(tblAnalysis[Cum P&amp;L SOL],ROW()-1),"")</f>
        <v>#REF!</v>
      </c>
      <c r="AP46" s="12" t="str" cm="1">
        <f t="array" ref="AP46">IFERROR(INDEX(tblAnalysis[Entry MC ($)],ROW()-1),"")</f>
        <v/>
      </c>
      <c r="AQ46" s="10" t="str" cm="1">
        <f t="array" ref="AQ46">IFERROR(INDEX(tblAnalysis[P&amp;L %],ROW()-1),"")</f>
        <v/>
      </c>
      <c r="AR46" t="str" cm="1">
        <f t="array" ref="AR46">IFERROR(INDEX(tblAnalysis[Hold Time (s)],ROW()-1),"")</f>
        <v/>
      </c>
      <c r="AS46" s="6" t="str" cm="1">
        <f t="array" ref="AS46">IFERROR(INDEX(tblAnalysis[P&amp;L SOL],ROW()-1),"")</f>
        <v/>
      </c>
      <c r="AT46"/>
      <c r="AY46" s="10"/>
      <c r="AZ46" s="10"/>
      <c r="BA46" s="6"/>
      <c r="BB46"/>
      <c r="BF46" t="str">
        <f t="shared" si="13"/>
        <v/>
      </c>
      <c r="BG46" s="27" t="str">
        <f t="shared" si="14"/>
        <v/>
      </c>
      <c r="BH46" t="str">
        <f t="shared" si="15"/>
        <v/>
      </c>
      <c r="BL46" s="29" t="e">
        <f t="shared" si="16"/>
        <v>#N/A</v>
      </c>
      <c r="BM46" s="29" t="e">
        <f t="shared" si="17"/>
        <v>#N/A</v>
      </c>
    </row>
    <row r="47" spans="1:65" x14ac:dyDescent="0.35">
      <c r="A47">
        <f t="shared" si="22"/>
        <v>46</v>
      </c>
      <c r="B47" t="e" cm="1">
        <f t="array" ref="B47">INDEX(tblTrades[token_name],ROW()-1)</f>
        <v>#REF!</v>
      </c>
      <c r="C47" s="27" t="e" cm="1">
        <f t="array" ref="C47">INDEX(tblTrades[entry_date],ROW()-1)</f>
        <v>#REF!</v>
      </c>
      <c r="D47" s="2" t="e" cm="1">
        <f t="array" ref="D47">INDEX(tblTrades[entry_mc_actual],ROW()-1)</f>
        <v>#REF!</v>
      </c>
      <c r="E47" s="2" t="e" cm="1">
        <f t="array" ref="E47">INDEX(tblTrades[exit_mc_actual],ROW()-1)</f>
        <v>#REF!</v>
      </c>
      <c r="F47" s="3" t="e" cm="1">
        <f t="array" ref="F47">INDEX(tblTrades[time_in_trade_seconds],ROW()-1)</f>
        <v>#REF!</v>
      </c>
      <c r="G47" s="4" t="str" cm="1">
        <f t="array" ref="G47">IFERROR(INDEX(tblTrades[pnl_percentage],ROW()-1)*1,"")</f>
        <v/>
      </c>
      <c r="H47" s="5" t="str" cm="1">
        <f t="array" ref="H47">IFERROR(INDEX(tblTrades[pnl_sol],ROW()-1)*1,"")</f>
        <v/>
      </c>
      <c r="I47" t="str">
        <f t="shared" si="23"/>
        <v/>
      </c>
      <c r="J47" t="str">
        <f t="shared" si="24"/>
        <v/>
      </c>
      <c r="K47" t="str">
        <f t="shared" si="25"/>
        <v/>
      </c>
      <c r="L47" s="20" t="str" cm="1">
        <f t="array" ref="L47">IFERROR(INDEX(tblTrades[sol_invested],ROW()-1),"")</f>
        <v/>
      </c>
      <c r="M47" s="1">
        <f>COUNTIFS(tblAnalysis[Token],tblAnalysis[[#This Row],[Token]])</f>
        <v>0</v>
      </c>
      <c r="N47" s="1">
        <f>COUNTIFS($B$2:B47,tblAnalysis[[#This Row],[Token]])</f>
        <v>0</v>
      </c>
      <c r="O47" s="5">
        <f>IFERROR(SUM($H$2:H47),"")</f>
        <v>0.40399999999999997</v>
      </c>
      <c r="P47" s="6"/>
      <c r="Q47" s="27"/>
      <c r="R47" s="6" t="str">
        <f>IF(Q47="","",SUMIFS(tblAnalysis[P&amp;L SOL],tblAnalysis[Date],Q47))</f>
        <v/>
      </c>
      <c r="S47" s="10" t="str">
        <f>IF(Q47="","",SUMIFS(tblAnalysis[P&amp;L %],tblAnalysis[Date],Q47))</f>
        <v/>
      </c>
      <c r="T47" s="6" t="str">
        <f>IF(Q47="","",IFERROR(SUM($R$2:R47),""))</f>
        <v/>
      </c>
      <c r="U47" t="str">
        <f>IF(Q47="","",COUNTIFS(tblAnalysis[Date],Q47))</f>
        <v/>
      </c>
      <c r="W47" s="27" t="str">
        <f t="shared" si="4"/>
        <v/>
      </c>
      <c r="X47" s="6" t="str">
        <f t="shared" si="5"/>
        <v/>
      </c>
      <c r="Y47" s="6" t="str">
        <f>IF(Q47="","",MAX(X47,_xlfn.MAXIFS(tblAnalysis[Cum P&amp;L SOL],tblAnalysis[Date],Q47)))</f>
        <v/>
      </c>
      <c r="Z47" s="6" t="str">
        <f>IF(Q47="","",MIN(X47,_xlfn.MINIFS(tblAnalysis[Cum P&amp;L SOL],tblAnalysis[Date],Q47)))</f>
        <v/>
      </c>
      <c r="AA47" s="6" t="str">
        <f t="shared" si="6"/>
        <v/>
      </c>
      <c r="AB47"/>
      <c r="AC47" s="27" t="str">
        <f t="shared" si="7"/>
        <v/>
      </c>
      <c r="AD47" s="10" t="str">
        <f t="shared" si="8"/>
        <v/>
      </c>
      <c r="AE47" s="10" t="str">
        <f t="shared" si="9"/>
        <v/>
      </c>
      <c r="AF47" s="10" t="str">
        <f t="shared" si="10"/>
        <v/>
      </c>
      <c r="AG47"/>
      <c r="AH47" t="str">
        <f t="shared" si="11"/>
        <v/>
      </c>
      <c r="AI47" t="str">
        <f t="shared" si="12"/>
        <v/>
      </c>
      <c r="AK47" cm="1">
        <f t="array" ref="AK47">IFERROR(IF(INDEX($A:$A,ROW())="","",INDEX($A:$A,ROW())),"")</f>
        <v>46</v>
      </c>
      <c r="AL47" t="str" cm="1">
        <f t="array" ref="AL47">IFERROR(INDEX(tblTrades[sol_invested],ROW()-1),"")</f>
        <v/>
      </c>
      <c r="AM47" s="6" t="str" cm="1">
        <f t="array" ref="AM47">IFERROR(INDEX(tblAnalysis[P&amp;L SOL],ROW()-1),"")</f>
        <v/>
      </c>
      <c r="AN47" t="str" cm="1">
        <f t="array" ref="AN47">IFERROR(IF(INDEX(tblTrades[sol_invested],ROW()-1)&gt;0.5,INDEX(tblAnalysis[Token],ROW()-1)&amp;" ("&amp;TEXT(INDEX(tblTrades[sol_invested],ROW()-1),"0.0")&amp;" SOL)",""),"")</f>
        <v/>
      </c>
      <c r="AO47" s="7" t="e" cm="1">
        <f t="array" ref="AO47">IF(INDEX(tblTrades[sol_invested],ROW()-1)&gt;0.5,INDEX(tblAnalysis[Cum P&amp;L SOL],ROW()-1),"")</f>
        <v>#REF!</v>
      </c>
      <c r="AP47" s="12" t="str" cm="1">
        <f t="array" ref="AP47">IFERROR(INDEX(tblAnalysis[Entry MC ($)],ROW()-1),"")</f>
        <v/>
      </c>
      <c r="AQ47" s="10" t="str" cm="1">
        <f t="array" ref="AQ47">IFERROR(INDEX(tblAnalysis[P&amp;L %],ROW()-1),"")</f>
        <v/>
      </c>
      <c r="AR47" t="str" cm="1">
        <f t="array" ref="AR47">IFERROR(INDEX(tblAnalysis[Hold Time (s)],ROW()-1),"")</f>
        <v/>
      </c>
      <c r="AS47" s="6" t="str" cm="1">
        <f t="array" ref="AS47">IFERROR(INDEX(tblAnalysis[P&amp;L SOL],ROW()-1),"")</f>
        <v/>
      </c>
      <c r="AT47"/>
      <c r="AY47" s="10"/>
      <c r="AZ47" s="10"/>
      <c r="BA47" s="6"/>
      <c r="BB47"/>
      <c r="BF47" t="str">
        <f t="shared" si="13"/>
        <v/>
      </c>
      <c r="BG47" s="27" t="str">
        <f t="shared" si="14"/>
        <v/>
      </c>
      <c r="BH47" t="str">
        <f t="shared" si="15"/>
        <v/>
      </c>
      <c r="BL47" s="29" t="e">
        <f t="shared" si="16"/>
        <v>#N/A</v>
      </c>
      <c r="BM47" s="29" t="e">
        <f t="shared" si="17"/>
        <v>#N/A</v>
      </c>
    </row>
    <row r="48" spans="1:65" x14ac:dyDescent="0.35">
      <c r="A48">
        <f t="shared" si="22"/>
        <v>47</v>
      </c>
      <c r="B48" t="e" cm="1">
        <f t="array" ref="B48">INDEX(tblTrades[token_name],ROW()-1)</f>
        <v>#REF!</v>
      </c>
      <c r="C48" s="27" t="e" cm="1">
        <f t="array" ref="C48">INDEX(tblTrades[entry_date],ROW()-1)</f>
        <v>#REF!</v>
      </c>
      <c r="D48" s="2" t="e" cm="1">
        <f t="array" ref="D48">INDEX(tblTrades[entry_mc_actual],ROW()-1)</f>
        <v>#REF!</v>
      </c>
      <c r="E48" s="2" t="e" cm="1">
        <f t="array" ref="E48">INDEX(tblTrades[exit_mc_actual],ROW()-1)</f>
        <v>#REF!</v>
      </c>
      <c r="F48" s="3" t="e" cm="1">
        <f t="array" ref="F48">INDEX(tblTrades[time_in_trade_seconds],ROW()-1)</f>
        <v>#REF!</v>
      </c>
      <c r="G48" s="4" t="str" cm="1">
        <f t="array" ref="G48">IFERROR(INDEX(tblTrades[pnl_percentage],ROW()-1)*1,"")</f>
        <v/>
      </c>
      <c r="H48" s="5" t="str" cm="1">
        <f t="array" ref="H48">IFERROR(INDEX(tblTrades[pnl_sol],ROW()-1)*1,"")</f>
        <v/>
      </c>
      <c r="I48" t="str">
        <f t="shared" si="23"/>
        <v/>
      </c>
      <c r="J48" t="str">
        <f t="shared" si="24"/>
        <v/>
      </c>
      <c r="K48" t="str">
        <f t="shared" si="25"/>
        <v/>
      </c>
      <c r="L48" s="20" t="str" cm="1">
        <f t="array" ref="L48">IFERROR(INDEX(tblTrades[sol_invested],ROW()-1),"")</f>
        <v/>
      </c>
      <c r="M48" s="1">
        <f>COUNTIFS(tblAnalysis[Token],tblAnalysis[[#This Row],[Token]])</f>
        <v>0</v>
      </c>
      <c r="N48" s="1">
        <f>COUNTIFS($B$2:B48,tblAnalysis[[#This Row],[Token]])</f>
        <v>0</v>
      </c>
      <c r="O48" s="5">
        <f>IFERROR(SUM($H$2:H48),"")</f>
        <v>0.40399999999999997</v>
      </c>
      <c r="P48" s="6"/>
      <c r="Q48" s="27"/>
      <c r="R48" s="6" t="str">
        <f>IF(Q48="","",SUMIFS(tblAnalysis[P&amp;L SOL],tblAnalysis[Date],Q48))</f>
        <v/>
      </c>
      <c r="S48" s="10" t="str">
        <f>IF(Q48="","",SUMIFS(tblAnalysis[P&amp;L %],tblAnalysis[Date],Q48))</f>
        <v/>
      </c>
      <c r="T48" s="6" t="str">
        <f>IF(Q48="","",IFERROR(SUM($R$2:R48),""))</f>
        <v/>
      </c>
      <c r="U48" t="str">
        <f>IF(Q48="","",COUNTIFS(tblAnalysis[Date],Q48))</f>
        <v/>
      </c>
      <c r="W48" s="27" t="str">
        <f t="shared" si="4"/>
        <v/>
      </c>
      <c r="X48" s="6" t="str">
        <f t="shared" si="5"/>
        <v/>
      </c>
      <c r="Y48" s="6" t="str">
        <f>IF(Q48="","",MAX(X48,_xlfn.MAXIFS(tblAnalysis[Cum P&amp;L SOL],tblAnalysis[Date],Q48)))</f>
        <v/>
      </c>
      <c r="Z48" s="6" t="str">
        <f>IF(Q48="","",MIN(X48,_xlfn.MINIFS(tblAnalysis[Cum P&amp;L SOL],tblAnalysis[Date],Q48)))</f>
        <v/>
      </c>
      <c r="AA48" s="6" t="str">
        <f t="shared" si="6"/>
        <v/>
      </c>
      <c r="AB48"/>
      <c r="AC48" s="27" t="str">
        <f t="shared" si="7"/>
        <v/>
      </c>
      <c r="AD48" s="10" t="str">
        <f t="shared" si="8"/>
        <v/>
      </c>
      <c r="AE48" s="10" t="str">
        <f t="shared" si="9"/>
        <v/>
      </c>
      <c r="AF48" s="10" t="str">
        <f t="shared" si="10"/>
        <v/>
      </c>
      <c r="AG48"/>
      <c r="AH48" t="str">
        <f t="shared" si="11"/>
        <v/>
      </c>
      <c r="AI48" t="str">
        <f t="shared" si="12"/>
        <v/>
      </c>
      <c r="AK48" cm="1">
        <f t="array" ref="AK48">IFERROR(IF(INDEX($A:$A,ROW())="","",INDEX($A:$A,ROW())),"")</f>
        <v>47</v>
      </c>
      <c r="AL48" t="str" cm="1">
        <f t="array" ref="AL48">IFERROR(INDEX(tblTrades[sol_invested],ROW()-1),"")</f>
        <v/>
      </c>
      <c r="AM48" s="6" t="str" cm="1">
        <f t="array" ref="AM48">IFERROR(INDEX(tblAnalysis[P&amp;L SOL],ROW()-1),"")</f>
        <v/>
      </c>
      <c r="AN48" t="str" cm="1">
        <f t="array" ref="AN48">IFERROR(IF(INDEX(tblTrades[sol_invested],ROW()-1)&gt;0.5,INDEX(tblAnalysis[Token],ROW()-1)&amp;" ("&amp;TEXT(INDEX(tblTrades[sol_invested],ROW()-1),"0.0")&amp;" SOL)",""),"")</f>
        <v/>
      </c>
      <c r="AO48" s="7" t="e" cm="1">
        <f t="array" ref="AO48">IF(INDEX(tblTrades[sol_invested],ROW()-1)&gt;0.5,INDEX(tblAnalysis[Cum P&amp;L SOL],ROW()-1),"")</f>
        <v>#REF!</v>
      </c>
      <c r="AP48" s="12" t="str" cm="1">
        <f t="array" ref="AP48">IFERROR(INDEX(tblAnalysis[Entry MC ($)],ROW()-1),"")</f>
        <v/>
      </c>
      <c r="AQ48" s="10" t="str" cm="1">
        <f t="array" ref="AQ48">IFERROR(INDEX(tblAnalysis[P&amp;L %],ROW()-1),"")</f>
        <v/>
      </c>
      <c r="AR48" t="str" cm="1">
        <f t="array" ref="AR48">IFERROR(INDEX(tblAnalysis[Hold Time (s)],ROW()-1),"")</f>
        <v/>
      </c>
      <c r="AS48" s="6" t="str" cm="1">
        <f t="array" ref="AS48">IFERROR(INDEX(tblAnalysis[P&amp;L SOL],ROW()-1),"")</f>
        <v/>
      </c>
      <c r="AT48"/>
      <c r="AY48" s="10"/>
      <c r="AZ48" s="10"/>
      <c r="BA48" s="6"/>
      <c r="BB48"/>
      <c r="BF48" t="str">
        <f t="shared" si="13"/>
        <v/>
      </c>
      <c r="BG48" s="27" t="str">
        <f t="shared" si="14"/>
        <v/>
      </c>
      <c r="BH48" t="str">
        <f t="shared" si="15"/>
        <v/>
      </c>
      <c r="BL48" s="29" t="e">
        <f t="shared" si="16"/>
        <v>#N/A</v>
      </c>
      <c r="BM48" s="29" t="e">
        <f t="shared" si="17"/>
        <v>#N/A</v>
      </c>
    </row>
    <row r="49" spans="1:65" x14ac:dyDescent="0.35">
      <c r="A49">
        <f t="shared" si="22"/>
        <v>48</v>
      </c>
      <c r="B49" t="e" cm="1">
        <f t="array" ref="B49">INDEX(tblTrades[token_name],ROW()-1)</f>
        <v>#REF!</v>
      </c>
      <c r="C49" s="27" t="e" cm="1">
        <f t="array" ref="C49">INDEX(tblTrades[entry_date],ROW()-1)</f>
        <v>#REF!</v>
      </c>
      <c r="D49" s="2" t="e" cm="1">
        <f t="array" ref="D49">INDEX(tblTrades[entry_mc_actual],ROW()-1)</f>
        <v>#REF!</v>
      </c>
      <c r="E49" s="2" t="e" cm="1">
        <f t="array" ref="E49">INDEX(tblTrades[exit_mc_actual],ROW()-1)</f>
        <v>#REF!</v>
      </c>
      <c r="F49" s="3" t="e" cm="1">
        <f t="array" ref="F49">INDEX(tblTrades[time_in_trade_seconds],ROW()-1)</f>
        <v>#REF!</v>
      </c>
      <c r="G49" s="4" t="str" cm="1">
        <f t="array" ref="G49">IFERROR(INDEX(tblTrades[pnl_percentage],ROW()-1)*1,"")</f>
        <v/>
      </c>
      <c r="H49" s="5" t="str" cm="1">
        <f t="array" ref="H49">IFERROR(INDEX(tblTrades[pnl_sol],ROW()-1)*1,"")</f>
        <v/>
      </c>
      <c r="I49" t="str">
        <f t="shared" si="23"/>
        <v/>
      </c>
      <c r="J49" t="str">
        <f t="shared" si="24"/>
        <v/>
      </c>
      <c r="K49" t="str">
        <f t="shared" si="25"/>
        <v/>
      </c>
      <c r="L49" s="20" t="str" cm="1">
        <f t="array" ref="L49">IFERROR(INDEX(tblTrades[sol_invested],ROW()-1),"")</f>
        <v/>
      </c>
      <c r="M49" s="1">
        <f>COUNTIFS(tblAnalysis[Token],tblAnalysis[[#This Row],[Token]])</f>
        <v>0</v>
      </c>
      <c r="N49" s="1">
        <f>COUNTIFS($B$2:B49,tblAnalysis[[#This Row],[Token]])</f>
        <v>0</v>
      </c>
      <c r="O49" s="5">
        <f>IFERROR(SUM($H$2:H49),"")</f>
        <v>0.40399999999999997</v>
      </c>
      <c r="P49" s="6"/>
      <c r="Q49" s="27"/>
      <c r="R49" s="6" t="str">
        <f>IF(Q49="","",SUMIFS(tblAnalysis[P&amp;L SOL],tblAnalysis[Date],Q49))</f>
        <v/>
      </c>
      <c r="S49" s="10" t="str">
        <f>IF(Q49="","",SUMIFS(tblAnalysis[P&amp;L %],tblAnalysis[Date],Q49))</f>
        <v/>
      </c>
      <c r="T49" s="6" t="str">
        <f>IF(Q49="","",IFERROR(SUM($R$2:R49),""))</f>
        <v/>
      </c>
      <c r="U49" t="str">
        <f>IF(Q49="","",COUNTIFS(tblAnalysis[Date],Q49))</f>
        <v/>
      </c>
      <c r="W49" s="27" t="str">
        <f t="shared" si="4"/>
        <v/>
      </c>
      <c r="X49" s="6" t="str">
        <f t="shared" si="5"/>
        <v/>
      </c>
      <c r="Y49" s="6" t="str">
        <f>IF(Q49="","",MAX(X49,_xlfn.MAXIFS(tblAnalysis[Cum P&amp;L SOL],tblAnalysis[Date],Q49)))</f>
        <v/>
      </c>
      <c r="Z49" s="6" t="str">
        <f>IF(Q49="","",MIN(X49,_xlfn.MINIFS(tblAnalysis[Cum P&amp;L SOL],tblAnalysis[Date],Q49)))</f>
        <v/>
      </c>
      <c r="AA49" s="6" t="str">
        <f t="shared" si="6"/>
        <v/>
      </c>
      <c r="AB49"/>
      <c r="AC49" s="27" t="str">
        <f t="shared" si="7"/>
        <v/>
      </c>
      <c r="AD49" s="10" t="str">
        <f t="shared" si="8"/>
        <v/>
      </c>
      <c r="AE49" s="10" t="str">
        <f t="shared" si="9"/>
        <v/>
      </c>
      <c r="AF49" s="10" t="str">
        <f t="shared" si="10"/>
        <v/>
      </c>
      <c r="AG49"/>
      <c r="AH49" t="str">
        <f t="shared" si="11"/>
        <v/>
      </c>
      <c r="AI49" t="str">
        <f t="shared" si="12"/>
        <v/>
      </c>
      <c r="AK49" cm="1">
        <f t="array" ref="AK49">IFERROR(IF(INDEX($A:$A,ROW())="","",INDEX($A:$A,ROW())),"")</f>
        <v>48</v>
      </c>
      <c r="AL49" t="str" cm="1">
        <f t="array" ref="AL49">IFERROR(INDEX(tblTrades[sol_invested],ROW()-1),"")</f>
        <v/>
      </c>
      <c r="AM49" s="6" t="str" cm="1">
        <f t="array" ref="AM49">IFERROR(INDEX(tblAnalysis[P&amp;L SOL],ROW()-1),"")</f>
        <v/>
      </c>
      <c r="AN49" t="str" cm="1">
        <f t="array" ref="AN49">IFERROR(IF(INDEX(tblTrades[sol_invested],ROW()-1)&gt;0.5,INDEX(tblAnalysis[Token],ROW()-1)&amp;" ("&amp;TEXT(INDEX(tblTrades[sol_invested],ROW()-1),"0.0")&amp;" SOL)",""),"")</f>
        <v/>
      </c>
      <c r="AO49" s="7" t="e" cm="1">
        <f t="array" ref="AO49">IF(INDEX(tblTrades[sol_invested],ROW()-1)&gt;0.5,INDEX(tblAnalysis[Cum P&amp;L SOL],ROW()-1),"")</f>
        <v>#REF!</v>
      </c>
      <c r="AP49" s="12" t="str" cm="1">
        <f t="array" ref="AP49">IFERROR(INDEX(tblAnalysis[Entry MC ($)],ROW()-1),"")</f>
        <v/>
      </c>
      <c r="AQ49" s="10" t="str" cm="1">
        <f t="array" ref="AQ49">IFERROR(INDEX(tblAnalysis[P&amp;L %],ROW()-1),"")</f>
        <v/>
      </c>
      <c r="AR49" t="str" cm="1">
        <f t="array" ref="AR49">IFERROR(INDEX(tblAnalysis[Hold Time (s)],ROW()-1),"")</f>
        <v/>
      </c>
      <c r="AS49" s="6" t="str" cm="1">
        <f t="array" ref="AS49">IFERROR(INDEX(tblAnalysis[P&amp;L SOL],ROW()-1),"")</f>
        <v/>
      </c>
      <c r="AT49"/>
      <c r="AY49" s="10"/>
      <c r="AZ49" s="10"/>
      <c r="BA49" s="6"/>
      <c r="BB49"/>
      <c r="BF49" t="str">
        <f t="shared" si="13"/>
        <v/>
      </c>
      <c r="BG49" s="27" t="str">
        <f t="shared" si="14"/>
        <v/>
      </c>
      <c r="BH49" t="str">
        <f t="shared" si="15"/>
        <v/>
      </c>
      <c r="BL49" s="29" t="e">
        <f t="shared" si="16"/>
        <v>#N/A</v>
      </c>
      <c r="BM49" s="29" t="e">
        <f t="shared" si="17"/>
        <v>#N/A</v>
      </c>
    </row>
    <row r="50" spans="1:65" x14ac:dyDescent="0.35">
      <c r="A50">
        <f t="shared" si="22"/>
        <v>49</v>
      </c>
      <c r="B50" t="e" cm="1">
        <f t="array" ref="B50">INDEX(tblTrades[token_name],ROW()-1)</f>
        <v>#REF!</v>
      </c>
      <c r="C50" s="27" t="e" cm="1">
        <f t="array" ref="C50">INDEX(tblTrades[entry_date],ROW()-1)</f>
        <v>#REF!</v>
      </c>
      <c r="D50" s="2" t="e" cm="1">
        <f t="array" ref="D50">INDEX(tblTrades[entry_mc_actual],ROW()-1)</f>
        <v>#REF!</v>
      </c>
      <c r="E50" s="2" t="e" cm="1">
        <f t="array" ref="E50">INDEX(tblTrades[exit_mc_actual],ROW()-1)</f>
        <v>#REF!</v>
      </c>
      <c r="F50" s="3" t="e" cm="1">
        <f t="array" ref="F50">INDEX(tblTrades[time_in_trade_seconds],ROW()-1)</f>
        <v>#REF!</v>
      </c>
      <c r="G50" s="4" t="str" cm="1">
        <f t="array" ref="G50">IFERROR(INDEX(tblTrades[pnl_percentage],ROW()-1)*1,"")</f>
        <v/>
      </c>
      <c r="H50" s="5" t="str" cm="1">
        <f t="array" ref="H50">IFERROR(INDEX(tblTrades[pnl_sol],ROW()-1)*1,"")</f>
        <v/>
      </c>
      <c r="I50" t="str">
        <f t="shared" si="23"/>
        <v/>
      </c>
      <c r="J50" t="str">
        <f t="shared" si="24"/>
        <v/>
      </c>
      <c r="K50" t="str">
        <f t="shared" si="25"/>
        <v/>
      </c>
      <c r="L50" s="20" t="str" cm="1">
        <f t="array" ref="L50">IFERROR(INDEX(tblTrades[sol_invested],ROW()-1),"")</f>
        <v/>
      </c>
      <c r="M50" s="1">
        <f>COUNTIFS(tblAnalysis[Token],tblAnalysis[[#This Row],[Token]])</f>
        <v>0</v>
      </c>
      <c r="N50" s="1">
        <f>COUNTIFS($B$2:B50,tblAnalysis[[#This Row],[Token]])</f>
        <v>0</v>
      </c>
      <c r="O50" s="5">
        <f>IFERROR(SUM($H$2:H50),"")</f>
        <v>0.40399999999999997</v>
      </c>
      <c r="P50" s="6"/>
      <c r="Q50" s="27"/>
      <c r="R50" s="6" t="str">
        <f>IF(Q50="","",SUMIFS(tblAnalysis[P&amp;L SOL],tblAnalysis[Date],Q50))</f>
        <v/>
      </c>
      <c r="S50" s="10" t="str">
        <f>IF(Q50="","",SUMIFS(tblAnalysis[P&amp;L %],tblAnalysis[Date],Q50))</f>
        <v/>
      </c>
      <c r="T50" s="6" t="str">
        <f>IF(Q50="","",IFERROR(SUM($R$2:R50),""))</f>
        <v/>
      </c>
      <c r="U50" t="str">
        <f>IF(Q50="","",COUNTIFS(tblAnalysis[Date],Q50))</f>
        <v/>
      </c>
      <c r="W50" s="27" t="str">
        <f t="shared" si="4"/>
        <v/>
      </c>
      <c r="X50" s="6" t="str">
        <f t="shared" si="5"/>
        <v/>
      </c>
      <c r="Y50" s="6" t="str">
        <f>IF(Q50="","",MAX(X50,_xlfn.MAXIFS(tblAnalysis[Cum P&amp;L SOL],tblAnalysis[Date],Q50)))</f>
        <v/>
      </c>
      <c r="Z50" s="6" t="str">
        <f>IF(Q50="","",MIN(X50,_xlfn.MINIFS(tblAnalysis[Cum P&amp;L SOL],tblAnalysis[Date],Q50)))</f>
        <v/>
      </c>
      <c r="AA50" s="6" t="str">
        <f t="shared" si="6"/>
        <v/>
      </c>
      <c r="AB50"/>
      <c r="AC50" s="27" t="str">
        <f t="shared" si="7"/>
        <v/>
      </c>
      <c r="AD50" s="10" t="str">
        <f t="shared" si="8"/>
        <v/>
      </c>
      <c r="AE50" s="10" t="str">
        <f t="shared" si="9"/>
        <v/>
      </c>
      <c r="AF50" s="10" t="str">
        <f t="shared" si="10"/>
        <v/>
      </c>
      <c r="AG50"/>
      <c r="AH50" t="str">
        <f t="shared" si="11"/>
        <v/>
      </c>
      <c r="AI50" t="str">
        <f t="shared" si="12"/>
        <v/>
      </c>
      <c r="AK50" cm="1">
        <f t="array" ref="AK50">IFERROR(IF(INDEX($A:$A,ROW())="","",INDEX($A:$A,ROW())),"")</f>
        <v>49</v>
      </c>
      <c r="AL50" t="str" cm="1">
        <f t="array" ref="AL50">IFERROR(INDEX(tblTrades[sol_invested],ROW()-1),"")</f>
        <v/>
      </c>
      <c r="AM50" s="6" t="str" cm="1">
        <f t="array" ref="AM50">IFERROR(INDEX(tblAnalysis[P&amp;L SOL],ROW()-1),"")</f>
        <v/>
      </c>
      <c r="AN50" t="str" cm="1">
        <f t="array" ref="AN50">IFERROR(IF(INDEX(tblTrades[sol_invested],ROW()-1)&gt;0.5,INDEX(tblAnalysis[Token],ROW()-1)&amp;" ("&amp;TEXT(INDEX(tblTrades[sol_invested],ROW()-1),"0.0")&amp;" SOL)",""),"")</f>
        <v/>
      </c>
      <c r="AO50" s="7" t="e" cm="1">
        <f t="array" ref="AO50">IF(INDEX(tblTrades[sol_invested],ROW()-1)&gt;0.5,INDEX(tblAnalysis[Cum P&amp;L SOL],ROW()-1),"")</f>
        <v>#REF!</v>
      </c>
      <c r="AP50" s="12" t="str" cm="1">
        <f t="array" ref="AP50">IFERROR(INDEX(tblAnalysis[Entry MC ($)],ROW()-1),"")</f>
        <v/>
      </c>
      <c r="AQ50" s="10" t="str" cm="1">
        <f t="array" ref="AQ50">IFERROR(INDEX(tblAnalysis[P&amp;L %],ROW()-1),"")</f>
        <v/>
      </c>
      <c r="AR50" t="str" cm="1">
        <f t="array" ref="AR50">IFERROR(INDEX(tblAnalysis[Hold Time (s)],ROW()-1),"")</f>
        <v/>
      </c>
      <c r="AS50" s="6" t="str" cm="1">
        <f t="array" ref="AS50">IFERROR(INDEX(tblAnalysis[P&amp;L SOL],ROW()-1),"")</f>
        <v/>
      </c>
      <c r="AT50"/>
      <c r="AY50" s="10"/>
      <c r="AZ50" s="10"/>
      <c r="BA50" s="6"/>
      <c r="BB50"/>
      <c r="BF50" t="str">
        <f t="shared" si="13"/>
        <v/>
      </c>
      <c r="BG50" s="27" t="str">
        <f t="shared" si="14"/>
        <v/>
      </c>
      <c r="BH50" t="str">
        <f t="shared" si="15"/>
        <v/>
      </c>
      <c r="BL50" s="29" t="e">
        <f t="shared" si="16"/>
        <v>#N/A</v>
      </c>
      <c r="BM50" s="29" t="e">
        <f t="shared" si="17"/>
        <v>#N/A</v>
      </c>
    </row>
    <row r="51" spans="1:65" x14ac:dyDescent="0.35">
      <c r="A51">
        <f t="shared" si="22"/>
        <v>50</v>
      </c>
      <c r="B51" t="e" cm="1">
        <f t="array" ref="B51">INDEX(tblTrades[token_name],ROW()-1)</f>
        <v>#REF!</v>
      </c>
      <c r="C51" s="27" t="e" cm="1">
        <f t="array" ref="C51">INDEX(tblTrades[entry_date],ROW()-1)</f>
        <v>#REF!</v>
      </c>
      <c r="D51" s="2" t="e" cm="1">
        <f t="array" ref="D51">INDEX(tblTrades[entry_mc_actual],ROW()-1)</f>
        <v>#REF!</v>
      </c>
      <c r="E51" s="2" t="e" cm="1">
        <f t="array" ref="E51">INDEX(tblTrades[exit_mc_actual],ROW()-1)</f>
        <v>#REF!</v>
      </c>
      <c r="F51" s="3" t="e" cm="1">
        <f t="array" ref="F51">INDEX(tblTrades[time_in_trade_seconds],ROW()-1)</f>
        <v>#REF!</v>
      </c>
      <c r="G51" s="4" t="str" cm="1">
        <f t="array" ref="G51">IFERROR(INDEX(tblTrades[pnl_percentage],ROW()-1)*1,"")</f>
        <v/>
      </c>
      <c r="H51" s="5" t="str" cm="1">
        <f t="array" ref="H51">IFERROR(INDEX(tblTrades[pnl_sol],ROW()-1)*1,"")</f>
        <v/>
      </c>
      <c r="I51" t="str">
        <f t="shared" si="23"/>
        <v/>
      </c>
      <c r="J51" t="str">
        <f t="shared" si="24"/>
        <v/>
      </c>
      <c r="K51" t="str">
        <f t="shared" si="25"/>
        <v/>
      </c>
      <c r="L51" s="20" t="str" cm="1">
        <f t="array" ref="L51">IFERROR(INDEX(tblTrades[sol_invested],ROW()-1),"")</f>
        <v/>
      </c>
      <c r="M51" s="1">
        <f>COUNTIFS(tblAnalysis[Token],tblAnalysis[[#This Row],[Token]])</f>
        <v>0</v>
      </c>
      <c r="N51" s="1">
        <f>COUNTIFS($B$2:B51,tblAnalysis[[#This Row],[Token]])</f>
        <v>0</v>
      </c>
      <c r="O51" s="5">
        <f>IFERROR(SUM($H$2:H51),"")</f>
        <v>0.40399999999999997</v>
      </c>
      <c r="P51" s="6"/>
      <c r="Q51" s="27"/>
      <c r="R51" s="6" t="str">
        <f>IF(Q51="","",SUMIFS(tblAnalysis[P&amp;L SOL],tblAnalysis[Date],Q51))</f>
        <v/>
      </c>
      <c r="S51" s="10" t="str">
        <f>IF(Q51="","",SUMIFS(tblAnalysis[P&amp;L %],tblAnalysis[Date],Q51))</f>
        <v/>
      </c>
      <c r="T51" s="6" t="str">
        <f>IF(Q51="","",IFERROR(SUM($R$2:R51),""))</f>
        <v/>
      </c>
      <c r="U51" t="str">
        <f>IF(Q51="","",COUNTIFS(tblAnalysis[Date],Q51))</f>
        <v/>
      </c>
      <c r="W51" s="27" t="str">
        <f t="shared" si="4"/>
        <v/>
      </c>
      <c r="X51" s="6" t="str">
        <f t="shared" si="5"/>
        <v/>
      </c>
      <c r="Y51" s="6" t="str">
        <f>IF(Q51="","",MAX(X51,_xlfn.MAXIFS(tblAnalysis[Cum P&amp;L SOL],tblAnalysis[Date],Q51)))</f>
        <v/>
      </c>
      <c r="Z51" s="6" t="str">
        <f>IF(Q51="","",MIN(X51,_xlfn.MINIFS(tblAnalysis[Cum P&amp;L SOL],tblAnalysis[Date],Q51)))</f>
        <v/>
      </c>
      <c r="AA51" s="6" t="str">
        <f t="shared" si="6"/>
        <v/>
      </c>
      <c r="AB51"/>
      <c r="AC51" s="27" t="str">
        <f t="shared" si="7"/>
        <v/>
      </c>
      <c r="AD51" s="10" t="str">
        <f t="shared" si="8"/>
        <v/>
      </c>
      <c r="AE51" s="10" t="str">
        <f t="shared" si="9"/>
        <v/>
      </c>
      <c r="AF51" s="10" t="str">
        <f t="shared" si="10"/>
        <v/>
      </c>
      <c r="AG51"/>
      <c r="AH51" t="str">
        <f t="shared" si="11"/>
        <v/>
      </c>
      <c r="AI51" t="str">
        <f t="shared" si="12"/>
        <v/>
      </c>
      <c r="AK51" cm="1">
        <f t="array" ref="AK51">IFERROR(IF(INDEX($A:$A,ROW())="","",INDEX($A:$A,ROW())),"")</f>
        <v>50</v>
      </c>
      <c r="AL51" t="str" cm="1">
        <f t="array" ref="AL51">IFERROR(INDEX(tblTrades[sol_invested],ROW()-1),"")</f>
        <v/>
      </c>
      <c r="AM51" s="6" t="str" cm="1">
        <f t="array" ref="AM51">IFERROR(INDEX(tblAnalysis[P&amp;L SOL],ROW()-1),"")</f>
        <v/>
      </c>
      <c r="AN51" t="str" cm="1">
        <f t="array" ref="AN51">IFERROR(IF(INDEX(tblTrades[sol_invested],ROW()-1)&gt;0.5,INDEX(tblAnalysis[Token],ROW()-1)&amp;" ("&amp;TEXT(INDEX(tblTrades[sol_invested],ROW()-1),"0.0")&amp;" SOL)",""),"")</f>
        <v/>
      </c>
      <c r="AO51" s="7" t="e" cm="1">
        <f t="array" ref="AO51">IF(INDEX(tblTrades[sol_invested],ROW()-1)&gt;0.5,INDEX(tblAnalysis[Cum P&amp;L SOL],ROW()-1),"")</f>
        <v>#REF!</v>
      </c>
      <c r="AP51" s="12" t="str" cm="1">
        <f t="array" ref="AP51">IFERROR(INDEX(tblAnalysis[Entry MC ($)],ROW()-1),"")</f>
        <v/>
      </c>
      <c r="AQ51" s="10" t="str" cm="1">
        <f t="array" ref="AQ51">IFERROR(INDEX(tblAnalysis[P&amp;L %],ROW()-1),"")</f>
        <v/>
      </c>
      <c r="AR51" t="str" cm="1">
        <f t="array" ref="AR51">IFERROR(INDEX(tblAnalysis[Hold Time (s)],ROW()-1),"")</f>
        <v/>
      </c>
      <c r="AS51" s="6" t="str" cm="1">
        <f t="array" ref="AS51">IFERROR(INDEX(tblAnalysis[P&amp;L SOL],ROW()-1),"")</f>
        <v/>
      </c>
      <c r="AT51"/>
      <c r="AY51" s="10"/>
      <c r="AZ51" s="10"/>
      <c r="BA51" s="6"/>
      <c r="BB51"/>
      <c r="BF51" t="str">
        <f t="shared" si="13"/>
        <v/>
      </c>
      <c r="BG51" s="27" t="str">
        <f t="shared" si="14"/>
        <v/>
      </c>
      <c r="BH51" t="str">
        <f t="shared" si="15"/>
        <v/>
      </c>
      <c r="BL51" s="29" t="e">
        <f t="shared" si="16"/>
        <v>#N/A</v>
      </c>
      <c r="BM51" s="29" t="e">
        <f t="shared" si="17"/>
        <v>#N/A</v>
      </c>
    </row>
    <row r="52" spans="1:65" x14ac:dyDescent="0.35">
      <c r="A52">
        <f t="shared" si="22"/>
        <v>51</v>
      </c>
      <c r="B52" t="e" cm="1">
        <f t="array" ref="B52">INDEX(tblTrades[token_name],ROW()-1)</f>
        <v>#REF!</v>
      </c>
      <c r="C52" s="27" t="e" cm="1">
        <f t="array" ref="C52">INDEX(tblTrades[entry_date],ROW()-1)</f>
        <v>#REF!</v>
      </c>
      <c r="D52" s="2" t="e" cm="1">
        <f t="array" ref="D52">INDEX(tblTrades[entry_mc_actual],ROW()-1)</f>
        <v>#REF!</v>
      </c>
      <c r="E52" s="2" t="e" cm="1">
        <f t="array" ref="E52">INDEX(tblTrades[exit_mc_actual],ROW()-1)</f>
        <v>#REF!</v>
      </c>
      <c r="F52" s="3" t="e" cm="1">
        <f t="array" ref="F52">INDEX(tblTrades[time_in_trade_seconds],ROW()-1)</f>
        <v>#REF!</v>
      </c>
      <c r="G52" s="4" t="str" cm="1">
        <f t="array" ref="G52">IFERROR(INDEX(tblTrades[pnl_percentage],ROW()-1)*1,"")</f>
        <v/>
      </c>
      <c r="H52" s="5" t="str" cm="1">
        <f t="array" ref="H52">IFERROR(INDEX(tblTrades[pnl_sol],ROW()-1)*1,"")</f>
        <v/>
      </c>
      <c r="I52" t="str">
        <f t="shared" si="23"/>
        <v/>
      </c>
      <c r="J52" t="str">
        <f t="shared" si="24"/>
        <v/>
      </c>
      <c r="K52" t="str">
        <f t="shared" si="25"/>
        <v/>
      </c>
      <c r="L52" s="20" t="str" cm="1">
        <f t="array" ref="L52">IFERROR(INDEX(tblTrades[sol_invested],ROW()-1),"")</f>
        <v/>
      </c>
      <c r="M52" s="1">
        <f>COUNTIFS(tblAnalysis[Token],tblAnalysis[[#This Row],[Token]])</f>
        <v>0</v>
      </c>
      <c r="N52" s="1">
        <f>COUNTIFS($B$2:B52,tblAnalysis[[#This Row],[Token]])</f>
        <v>0</v>
      </c>
      <c r="O52" s="5">
        <f>IFERROR(SUM($H$2:H52),"")</f>
        <v>0.40399999999999997</v>
      </c>
      <c r="P52" s="6"/>
      <c r="Q52" s="27"/>
      <c r="R52" s="6" t="str">
        <f>IF(Q52="","",SUMIFS(tblAnalysis[P&amp;L SOL],tblAnalysis[Date],Q52))</f>
        <v/>
      </c>
      <c r="S52" s="10" t="str">
        <f>IF(Q52="","",SUMIFS(tblAnalysis[P&amp;L %],tblAnalysis[Date],Q52))</f>
        <v/>
      </c>
      <c r="T52" s="6" t="str">
        <f>IF(Q52="","",IFERROR(SUM($R$2:R52),""))</f>
        <v/>
      </c>
      <c r="U52" t="str">
        <f>IF(Q52="","",COUNTIFS(tblAnalysis[Date],Q52))</f>
        <v/>
      </c>
      <c r="W52" s="27" t="str">
        <f t="shared" si="4"/>
        <v/>
      </c>
      <c r="X52" s="6" t="str">
        <f t="shared" si="5"/>
        <v/>
      </c>
      <c r="Y52" s="6" t="str">
        <f>IF(Q52="","",MAX(X52,_xlfn.MAXIFS(tblAnalysis[Cum P&amp;L SOL],tblAnalysis[Date],Q52)))</f>
        <v/>
      </c>
      <c r="Z52" s="6" t="str">
        <f>IF(Q52="","",MIN(X52,_xlfn.MINIFS(tblAnalysis[Cum P&amp;L SOL],tblAnalysis[Date],Q52)))</f>
        <v/>
      </c>
      <c r="AA52" s="6" t="str">
        <f t="shared" si="6"/>
        <v/>
      </c>
      <c r="AB52"/>
      <c r="AC52" s="27" t="str">
        <f t="shared" si="7"/>
        <v/>
      </c>
      <c r="AD52" s="10" t="str">
        <f t="shared" si="8"/>
        <v/>
      </c>
      <c r="AE52" s="10" t="str">
        <f t="shared" si="9"/>
        <v/>
      </c>
      <c r="AF52" s="10" t="str">
        <f t="shared" si="10"/>
        <v/>
      </c>
      <c r="AG52"/>
      <c r="AH52" t="str">
        <f t="shared" si="11"/>
        <v/>
      </c>
      <c r="AI52" t="str">
        <f t="shared" si="12"/>
        <v/>
      </c>
      <c r="AK52" cm="1">
        <f t="array" ref="AK52">IFERROR(IF(INDEX($A:$A,ROW())="","",INDEX($A:$A,ROW())),"")</f>
        <v>51</v>
      </c>
      <c r="AL52" t="str" cm="1">
        <f t="array" ref="AL52">IFERROR(INDEX(tblTrades[sol_invested],ROW()-1),"")</f>
        <v/>
      </c>
      <c r="AM52" s="6" t="str" cm="1">
        <f t="array" ref="AM52">IFERROR(INDEX(tblAnalysis[P&amp;L SOL],ROW()-1),"")</f>
        <v/>
      </c>
      <c r="AN52" t="str" cm="1">
        <f t="array" ref="AN52">IFERROR(IF(INDEX(tblTrades[sol_invested],ROW()-1)&gt;0.5,INDEX(tblAnalysis[Token],ROW()-1)&amp;" ("&amp;TEXT(INDEX(tblTrades[sol_invested],ROW()-1),"0.0")&amp;" SOL)",""),"")</f>
        <v/>
      </c>
      <c r="AO52" s="7" t="e" cm="1">
        <f t="array" ref="AO52">IF(INDEX(tblTrades[sol_invested],ROW()-1)&gt;0.5,INDEX(tblAnalysis[Cum P&amp;L SOL],ROW()-1),"")</f>
        <v>#REF!</v>
      </c>
      <c r="AP52" s="12" t="str" cm="1">
        <f t="array" ref="AP52">IFERROR(INDEX(tblAnalysis[Entry MC ($)],ROW()-1),"")</f>
        <v/>
      </c>
      <c r="AQ52" s="10" t="str" cm="1">
        <f t="array" ref="AQ52">IFERROR(INDEX(tblAnalysis[P&amp;L %],ROW()-1),"")</f>
        <v/>
      </c>
      <c r="AR52" t="str" cm="1">
        <f t="array" ref="AR52">IFERROR(INDEX(tblAnalysis[Hold Time (s)],ROW()-1),"")</f>
        <v/>
      </c>
      <c r="AS52" s="6" t="str" cm="1">
        <f t="array" ref="AS52">IFERROR(INDEX(tblAnalysis[P&amp;L SOL],ROW()-1),"")</f>
        <v/>
      </c>
      <c r="AT52"/>
      <c r="AY52" s="10"/>
      <c r="AZ52" s="10"/>
      <c r="BA52" s="6"/>
      <c r="BB52"/>
      <c r="BF52" t="str">
        <f t="shared" si="13"/>
        <v/>
      </c>
      <c r="BG52" s="27" t="str">
        <f t="shared" si="14"/>
        <v/>
      </c>
      <c r="BH52" t="str">
        <f t="shared" si="15"/>
        <v/>
      </c>
      <c r="BL52" s="29" t="e">
        <f t="shared" si="16"/>
        <v>#N/A</v>
      </c>
      <c r="BM52" s="29" t="e">
        <f t="shared" si="17"/>
        <v>#N/A</v>
      </c>
    </row>
    <row r="53" spans="1:65" x14ac:dyDescent="0.35">
      <c r="A53">
        <f t="shared" si="22"/>
        <v>52</v>
      </c>
      <c r="B53" t="e" cm="1">
        <f t="array" ref="B53">INDEX(tblTrades[token_name],ROW()-1)</f>
        <v>#REF!</v>
      </c>
      <c r="C53" s="27" t="e" cm="1">
        <f t="array" ref="C53">INDEX(tblTrades[entry_date],ROW()-1)</f>
        <v>#REF!</v>
      </c>
      <c r="D53" s="2" t="e" cm="1">
        <f t="array" ref="D53">INDEX(tblTrades[entry_mc_actual],ROW()-1)</f>
        <v>#REF!</v>
      </c>
      <c r="E53" s="2" t="e" cm="1">
        <f t="array" ref="E53">INDEX(tblTrades[exit_mc_actual],ROW()-1)</f>
        <v>#REF!</v>
      </c>
      <c r="F53" s="3" t="e" cm="1">
        <f t="array" ref="F53">INDEX(tblTrades[time_in_trade_seconds],ROW()-1)</f>
        <v>#REF!</v>
      </c>
      <c r="G53" s="4" t="str" cm="1">
        <f t="array" ref="G53">IFERROR(INDEX(tblTrades[pnl_percentage],ROW()-1)*1,"")</f>
        <v/>
      </c>
      <c r="H53" s="5" t="str" cm="1">
        <f t="array" ref="H53">IFERROR(INDEX(tblTrades[pnl_sol],ROW()-1)*1,"")</f>
        <v/>
      </c>
      <c r="I53" t="str">
        <f t="shared" si="23"/>
        <v/>
      </c>
      <c r="J53" t="str">
        <f t="shared" si="24"/>
        <v/>
      </c>
      <c r="K53" t="str">
        <f t="shared" si="25"/>
        <v/>
      </c>
      <c r="L53" s="20" t="str" cm="1">
        <f t="array" ref="L53">IFERROR(INDEX(tblTrades[sol_invested],ROW()-1),"")</f>
        <v/>
      </c>
      <c r="M53" s="1">
        <f>COUNTIFS(tblAnalysis[Token],tblAnalysis[[#This Row],[Token]])</f>
        <v>0</v>
      </c>
      <c r="N53" s="1">
        <f>COUNTIFS($B$2:B53,tblAnalysis[[#This Row],[Token]])</f>
        <v>0</v>
      </c>
      <c r="O53" s="5">
        <f>IFERROR(SUM($H$2:H53),"")</f>
        <v>0.40399999999999997</v>
      </c>
      <c r="P53" s="6"/>
      <c r="Q53" s="27"/>
      <c r="R53" s="6" t="str">
        <f>IF(Q53="","",SUMIFS(tblAnalysis[P&amp;L SOL],tblAnalysis[Date],Q53))</f>
        <v/>
      </c>
      <c r="S53" s="10" t="str">
        <f>IF(Q53="","",SUMIFS(tblAnalysis[P&amp;L %],tblAnalysis[Date],Q53))</f>
        <v/>
      </c>
      <c r="T53" s="6" t="str">
        <f>IF(Q53="","",IFERROR(SUM($R$2:R53),""))</f>
        <v/>
      </c>
      <c r="U53" t="str">
        <f>IF(Q53="","",COUNTIFS(tblAnalysis[Date],Q53))</f>
        <v/>
      </c>
      <c r="W53" s="27" t="str">
        <f t="shared" si="4"/>
        <v/>
      </c>
      <c r="X53" s="6" t="str">
        <f t="shared" si="5"/>
        <v/>
      </c>
      <c r="Y53" s="6" t="str">
        <f>IF(Q53="","",MAX(X53,_xlfn.MAXIFS(tblAnalysis[Cum P&amp;L SOL],tblAnalysis[Date],Q53)))</f>
        <v/>
      </c>
      <c r="Z53" s="6" t="str">
        <f>IF(Q53="","",MIN(X53,_xlfn.MINIFS(tblAnalysis[Cum P&amp;L SOL],tblAnalysis[Date],Q53)))</f>
        <v/>
      </c>
      <c r="AA53" s="6" t="str">
        <f t="shared" si="6"/>
        <v/>
      </c>
      <c r="AB53"/>
      <c r="AC53" s="27" t="str">
        <f t="shared" si="7"/>
        <v/>
      </c>
      <c r="AD53" s="10" t="str">
        <f t="shared" si="8"/>
        <v/>
      </c>
      <c r="AE53" s="10" t="str">
        <f t="shared" si="9"/>
        <v/>
      </c>
      <c r="AF53" s="10" t="str">
        <f t="shared" si="10"/>
        <v/>
      </c>
      <c r="AG53"/>
      <c r="AH53" t="str">
        <f t="shared" si="11"/>
        <v/>
      </c>
      <c r="AI53" t="str">
        <f t="shared" si="12"/>
        <v/>
      </c>
      <c r="AK53" cm="1">
        <f t="array" ref="AK53">IFERROR(IF(INDEX($A:$A,ROW())="","",INDEX($A:$A,ROW())),"")</f>
        <v>52</v>
      </c>
      <c r="AL53" t="str" cm="1">
        <f t="array" ref="AL53">IFERROR(INDEX(tblTrades[sol_invested],ROW()-1),"")</f>
        <v/>
      </c>
      <c r="AM53" s="6" t="str" cm="1">
        <f t="array" ref="AM53">IFERROR(INDEX(tblAnalysis[P&amp;L SOL],ROW()-1),"")</f>
        <v/>
      </c>
      <c r="AN53" t="str" cm="1">
        <f t="array" ref="AN53">IFERROR(IF(INDEX(tblTrades[sol_invested],ROW()-1)&gt;0.5,INDEX(tblAnalysis[Token],ROW()-1)&amp;" ("&amp;TEXT(INDEX(tblTrades[sol_invested],ROW()-1),"0.0")&amp;" SOL)",""),"")</f>
        <v/>
      </c>
      <c r="AO53" s="7" t="e" cm="1">
        <f t="array" ref="AO53">IF(INDEX(tblTrades[sol_invested],ROW()-1)&gt;0.5,INDEX(tblAnalysis[Cum P&amp;L SOL],ROW()-1),"")</f>
        <v>#REF!</v>
      </c>
      <c r="AP53" s="12" t="str" cm="1">
        <f t="array" ref="AP53">IFERROR(INDEX(tblAnalysis[Entry MC ($)],ROW()-1),"")</f>
        <v/>
      </c>
      <c r="AQ53" s="10" t="str" cm="1">
        <f t="array" ref="AQ53">IFERROR(INDEX(tblAnalysis[P&amp;L %],ROW()-1),"")</f>
        <v/>
      </c>
      <c r="AR53" t="str" cm="1">
        <f t="array" ref="AR53">IFERROR(INDEX(tblAnalysis[Hold Time (s)],ROW()-1),"")</f>
        <v/>
      </c>
      <c r="AS53" s="6" t="str" cm="1">
        <f t="array" ref="AS53">IFERROR(INDEX(tblAnalysis[P&amp;L SOL],ROW()-1),"")</f>
        <v/>
      </c>
      <c r="AT53"/>
      <c r="AY53" s="10"/>
      <c r="AZ53" s="10"/>
      <c r="BA53" s="6"/>
      <c r="BB53"/>
      <c r="BF53" t="str">
        <f t="shared" si="13"/>
        <v/>
      </c>
      <c r="BG53" s="27" t="str">
        <f t="shared" si="14"/>
        <v/>
      </c>
      <c r="BH53" t="str">
        <f t="shared" si="15"/>
        <v/>
      </c>
      <c r="BL53" s="29" t="e">
        <f t="shared" si="16"/>
        <v>#N/A</v>
      </c>
      <c r="BM53" s="29" t="e">
        <f t="shared" si="17"/>
        <v>#N/A</v>
      </c>
    </row>
    <row r="54" spans="1:65" x14ac:dyDescent="0.35">
      <c r="A54">
        <f t="shared" si="22"/>
        <v>53</v>
      </c>
      <c r="B54" t="e" cm="1">
        <f t="array" ref="B54">INDEX(tblTrades[token_name],ROW()-1)</f>
        <v>#REF!</v>
      </c>
      <c r="C54" s="27" t="e" cm="1">
        <f t="array" ref="C54">INDEX(tblTrades[entry_date],ROW()-1)</f>
        <v>#REF!</v>
      </c>
      <c r="D54" s="2" t="e" cm="1">
        <f t="array" ref="D54">INDEX(tblTrades[entry_mc_actual],ROW()-1)</f>
        <v>#REF!</v>
      </c>
      <c r="E54" s="2" t="e" cm="1">
        <f t="array" ref="E54">INDEX(tblTrades[exit_mc_actual],ROW()-1)</f>
        <v>#REF!</v>
      </c>
      <c r="F54" s="3" t="e" cm="1">
        <f t="array" ref="F54">INDEX(tblTrades[time_in_trade_seconds],ROW()-1)</f>
        <v>#REF!</v>
      </c>
      <c r="G54" s="4" t="str" cm="1">
        <f t="array" ref="G54">IFERROR(INDEX(tblTrades[pnl_percentage],ROW()-1)*1,"")</f>
        <v/>
      </c>
      <c r="H54" s="5" t="str" cm="1">
        <f t="array" ref="H54">IFERROR(INDEX(tblTrades[pnl_sol],ROW()-1)*1,"")</f>
        <v/>
      </c>
      <c r="I54" t="str">
        <f t="shared" si="23"/>
        <v/>
      </c>
      <c r="J54" t="str">
        <f t="shared" si="24"/>
        <v/>
      </c>
      <c r="K54" t="str">
        <f t="shared" si="25"/>
        <v/>
      </c>
      <c r="L54" s="20" t="str" cm="1">
        <f t="array" ref="L54">IFERROR(INDEX(tblTrades[sol_invested],ROW()-1),"")</f>
        <v/>
      </c>
      <c r="M54" s="1">
        <f>COUNTIFS(tblAnalysis[Token],tblAnalysis[[#This Row],[Token]])</f>
        <v>0</v>
      </c>
      <c r="N54" s="1">
        <f>COUNTIFS($B$2:B54,tblAnalysis[[#This Row],[Token]])</f>
        <v>0</v>
      </c>
      <c r="O54" s="5">
        <f>IFERROR(SUM($H$2:H54),"")</f>
        <v>0.40399999999999997</v>
      </c>
      <c r="P54" s="6"/>
      <c r="Q54" s="27"/>
      <c r="R54" s="6" t="str">
        <f>IF(Q54="","",SUMIFS(tblAnalysis[P&amp;L SOL],tblAnalysis[Date],Q54))</f>
        <v/>
      </c>
      <c r="S54" s="10" t="str">
        <f>IF(Q54="","",SUMIFS(tblAnalysis[P&amp;L %],tblAnalysis[Date],Q54))</f>
        <v/>
      </c>
      <c r="T54" s="6" t="str">
        <f>IF(Q54="","",IFERROR(SUM($R$2:R54),""))</f>
        <v/>
      </c>
      <c r="U54" t="str">
        <f>IF(Q54="","",COUNTIFS(tblAnalysis[Date],Q54))</f>
        <v/>
      </c>
      <c r="W54" s="27" t="str">
        <f t="shared" si="4"/>
        <v/>
      </c>
      <c r="X54" s="6" t="str">
        <f t="shared" si="5"/>
        <v/>
      </c>
      <c r="Y54" s="6" t="str">
        <f>IF(Q54="","",MAX(X54,_xlfn.MAXIFS(tblAnalysis[Cum P&amp;L SOL],tblAnalysis[Date],Q54)))</f>
        <v/>
      </c>
      <c r="Z54" s="6" t="str">
        <f>IF(Q54="","",MIN(X54,_xlfn.MINIFS(tblAnalysis[Cum P&amp;L SOL],tblAnalysis[Date],Q54)))</f>
        <v/>
      </c>
      <c r="AA54" s="6" t="str">
        <f t="shared" si="6"/>
        <v/>
      </c>
      <c r="AB54"/>
      <c r="AC54" s="27" t="str">
        <f t="shared" si="7"/>
        <v/>
      </c>
      <c r="AD54" s="10" t="str">
        <f t="shared" si="8"/>
        <v/>
      </c>
      <c r="AE54" s="10" t="str">
        <f t="shared" si="9"/>
        <v/>
      </c>
      <c r="AF54" s="10" t="str">
        <f t="shared" si="10"/>
        <v/>
      </c>
      <c r="AG54"/>
      <c r="AH54" t="str">
        <f t="shared" si="11"/>
        <v/>
      </c>
      <c r="AI54" t="str">
        <f t="shared" si="12"/>
        <v/>
      </c>
      <c r="AK54" cm="1">
        <f t="array" ref="AK54">IFERROR(IF(INDEX($A:$A,ROW())="","",INDEX($A:$A,ROW())),"")</f>
        <v>53</v>
      </c>
      <c r="AL54" t="str" cm="1">
        <f t="array" ref="AL54">IFERROR(INDEX(tblTrades[sol_invested],ROW()-1),"")</f>
        <v/>
      </c>
      <c r="AM54" s="6" t="str" cm="1">
        <f t="array" ref="AM54">IFERROR(INDEX(tblAnalysis[P&amp;L SOL],ROW()-1),"")</f>
        <v/>
      </c>
      <c r="AN54" t="str" cm="1">
        <f t="array" ref="AN54">IFERROR(IF(INDEX(tblTrades[sol_invested],ROW()-1)&gt;0.5,INDEX(tblAnalysis[Token],ROW()-1)&amp;" ("&amp;TEXT(INDEX(tblTrades[sol_invested],ROW()-1),"0.0")&amp;" SOL)",""),"")</f>
        <v/>
      </c>
      <c r="AO54" s="7" t="e" cm="1">
        <f t="array" ref="AO54">IF(INDEX(tblTrades[sol_invested],ROW()-1)&gt;0.5,INDEX(tblAnalysis[Cum P&amp;L SOL],ROW()-1),"")</f>
        <v>#REF!</v>
      </c>
      <c r="AP54" s="12" t="str" cm="1">
        <f t="array" ref="AP54">IFERROR(INDEX(tblAnalysis[Entry MC ($)],ROW()-1),"")</f>
        <v/>
      </c>
      <c r="AQ54" s="10" t="str" cm="1">
        <f t="array" ref="AQ54">IFERROR(INDEX(tblAnalysis[P&amp;L %],ROW()-1),"")</f>
        <v/>
      </c>
      <c r="AR54" t="str" cm="1">
        <f t="array" ref="AR54">IFERROR(INDEX(tblAnalysis[Hold Time (s)],ROW()-1),"")</f>
        <v/>
      </c>
      <c r="AS54" s="6" t="str" cm="1">
        <f t="array" ref="AS54">IFERROR(INDEX(tblAnalysis[P&amp;L SOL],ROW()-1),"")</f>
        <v/>
      </c>
      <c r="AT54"/>
      <c r="AY54" s="10"/>
      <c r="AZ54" s="10"/>
      <c r="BA54" s="6"/>
      <c r="BB54"/>
      <c r="BF54" t="str">
        <f t="shared" si="13"/>
        <v/>
      </c>
      <c r="BG54" s="27" t="str">
        <f t="shared" si="14"/>
        <v/>
      </c>
      <c r="BH54" t="str">
        <f t="shared" si="15"/>
        <v/>
      </c>
      <c r="BL54" s="29" t="e">
        <f t="shared" si="16"/>
        <v>#N/A</v>
      </c>
      <c r="BM54" s="29" t="e">
        <f t="shared" si="17"/>
        <v>#N/A</v>
      </c>
    </row>
    <row r="55" spans="1:65" x14ac:dyDescent="0.35">
      <c r="A55">
        <f t="shared" si="22"/>
        <v>54</v>
      </c>
      <c r="B55" t="e" cm="1">
        <f t="array" ref="B55">INDEX(tblTrades[token_name],ROW()-1)</f>
        <v>#REF!</v>
      </c>
      <c r="C55" s="27" t="e" cm="1">
        <f t="array" ref="C55">INDEX(tblTrades[entry_date],ROW()-1)</f>
        <v>#REF!</v>
      </c>
      <c r="D55" s="2" t="e" cm="1">
        <f t="array" ref="D55">INDEX(tblTrades[entry_mc_actual],ROW()-1)</f>
        <v>#REF!</v>
      </c>
      <c r="E55" s="2" t="e" cm="1">
        <f t="array" ref="E55">INDEX(tblTrades[exit_mc_actual],ROW()-1)</f>
        <v>#REF!</v>
      </c>
      <c r="F55" s="3" t="e" cm="1">
        <f t="array" ref="F55">INDEX(tblTrades[time_in_trade_seconds],ROW()-1)</f>
        <v>#REF!</v>
      </c>
      <c r="G55" s="4" t="str" cm="1">
        <f t="array" ref="G55">IFERROR(INDEX(tblTrades[pnl_percentage],ROW()-1)*1,"")</f>
        <v/>
      </c>
      <c r="H55" s="5" t="str" cm="1">
        <f t="array" ref="H55">IFERROR(INDEX(tblTrades[pnl_sol],ROW()-1)*1,"")</f>
        <v/>
      </c>
      <c r="I55" t="str">
        <f t="shared" si="23"/>
        <v/>
      </c>
      <c r="J55" t="str">
        <f t="shared" si="24"/>
        <v/>
      </c>
      <c r="K55" t="str">
        <f t="shared" si="25"/>
        <v/>
      </c>
      <c r="L55" s="20" t="str" cm="1">
        <f t="array" ref="L55">IFERROR(INDEX(tblTrades[sol_invested],ROW()-1),"")</f>
        <v/>
      </c>
      <c r="M55" s="1">
        <f>COUNTIFS(tblAnalysis[Token],tblAnalysis[[#This Row],[Token]])</f>
        <v>0</v>
      </c>
      <c r="N55" s="1">
        <f>COUNTIFS($B$2:B55,tblAnalysis[[#This Row],[Token]])</f>
        <v>0</v>
      </c>
      <c r="O55" s="5">
        <f>IFERROR(SUM($H$2:H55),"")</f>
        <v>0.40399999999999997</v>
      </c>
      <c r="P55" s="6"/>
      <c r="Q55" s="27"/>
      <c r="R55" s="6" t="str">
        <f>IF(Q55="","",SUMIFS(tblAnalysis[P&amp;L SOL],tblAnalysis[Date],Q55))</f>
        <v/>
      </c>
      <c r="S55" s="10" t="str">
        <f>IF(Q55="","",SUMIFS(tblAnalysis[P&amp;L %],tblAnalysis[Date],Q55))</f>
        <v/>
      </c>
      <c r="T55" s="6" t="str">
        <f>IF(Q55="","",IFERROR(SUM($R$2:R55),""))</f>
        <v/>
      </c>
      <c r="U55" t="str">
        <f>IF(Q55="","",COUNTIFS(tblAnalysis[Date],Q55))</f>
        <v/>
      </c>
      <c r="W55" s="27" t="str">
        <f t="shared" si="4"/>
        <v/>
      </c>
      <c r="X55" s="6" t="str">
        <f t="shared" si="5"/>
        <v/>
      </c>
      <c r="Y55" s="6" t="str">
        <f>IF(Q55="","",MAX(X55,_xlfn.MAXIFS(tblAnalysis[Cum P&amp;L SOL],tblAnalysis[Date],Q55)))</f>
        <v/>
      </c>
      <c r="Z55" s="6" t="str">
        <f>IF(Q55="","",MIN(X55,_xlfn.MINIFS(tblAnalysis[Cum P&amp;L SOL],tblAnalysis[Date],Q55)))</f>
        <v/>
      </c>
      <c r="AA55" s="6" t="str">
        <f t="shared" si="6"/>
        <v/>
      </c>
      <c r="AB55"/>
      <c r="AC55" s="27" t="str">
        <f t="shared" si="7"/>
        <v/>
      </c>
      <c r="AD55" s="10" t="str">
        <f t="shared" si="8"/>
        <v/>
      </c>
      <c r="AE55" s="10" t="str">
        <f t="shared" si="9"/>
        <v/>
      </c>
      <c r="AF55" s="10" t="str">
        <f t="shared" si="10"/>
        <v/>
      </c>
      <c r="AG55"/>
      <c r="AH55" t="str">
        <f t="shared" si="11"/>
        <v/>
      </c>
      <c r="AI55" t="str">
        <f t="shared" si="12"/>
        <v/>
      </c>
      <c r="AK55" cm="1">
        <f t="array" ref="AK55">IFERROR(IF(INDEX($A:$A,ROW())="","",INDEX($A:$A,ROW())),"")</f>
        <v>54</v>
      </c>
      <c r="AL55" t="str" cm="1">
        <f t="array" ref="AL55">IFERROR(INDEX(tblTrades[sol_invested],ROW()-1),"")</f>
        <v/>
      </c>
      <c r="AM55" s="6" t="str" cm="1">
        <f t="array" ref="AM55">IFERROR(INDEX(tblAnalysis[P&amp;L SOL],ROW()-1),"")</f>
        <v/>
      </c>
      <c r="AN55" t="str" cm="1">
        <f t="array" ref="AN55">IFERROR(IF(INDEX(tblTrades[sol_invested],ROW()-1)&gt;0.5,INDEX(tblAnalysis[Token],ROW()-1)&amp;" ("&amp;TEXT(INDEX(tblTrades[sol_invested],ROW()-1),"0.0")&amp;" SOL)",""),"")</f>
        <v/>
      </c>
      <c r="AO55" s="7" t="e" cm="1">
        <f t="array" ref="AO55">IF(INDEX(tblTrades[sol_invested],ROW()-1)&gt;0.5,INDEX(tblAnalysis[Cum P&amp;L SOL],ROW()-1),"")</f>
        <v>#REF!</v>
      </c>
      <c r="AP55" s="12" t="str" cm="1">
        <f t="array" ref="AP55">IFERROR(INDEX(tblAnalysis[Entry MC ($)],ROW()-1),"")</f>
        <v/>
      </c>
      <c r="AQ55" s="10" t="str" cm="1">
        <f t="array" ref="AQ55">IFERROR(INDEX(tblAnalysis[P&amp;L %],ROW()-1),"")</f>
        <v/>
      </c>
      <c r="AR55" t="str" cm="1">
        <f t="array" ref="AR55">IFERROR(INDEX(tblAnalysis[Hold Time (s)],ROW()-1),"")</f>
        <v/>
      </c>
      <c r="AS55" s="6" t="str" cm="1">
        <f t="array" ref="AS55">IFERROR(INDEX(tblAnalysis[P&amp;L SOL],ROW()-1),"")</f>
        <v/>
      </c>
      <c r="AT55"/>
      <c r="AY55" s="10"/>
      <c r="AZ55" s="10"/>
      <c r="BA55" s="6"/>
      <c r="BB55"/>
      <c r="BF55" t="str">
        <f t="shared" si="13"/>
        <v/>
      </c>
      <c r="BG55" s="27" t="str">
        <f t="shared" si="14"/>
        <v/>
      </c>
      <c r="BH55" t="str">
        <f t="shared" si="15"/>
        <v/>
      </c>
      <c r="BL55" s="29" t="e">
        <f t="shared" si="16"/>
        <v>#N/A</v>
      </c>
      <c r="BM55" s="29" t="e">
        <f t="shared" si="17"/>
        <v>#N/A</v>
      </c>
    </row>
    <row r="56" spans="1:65" x14ac:dyDescent="0.35">
      <c r="A56">
        <f t="shared" si="22"/>
        <v>55</v>
      </c>
      <c r="B56" t="e" cm="1">
        <f t="array" ref="B56">INDEX(tblTrades[token_name],ROW()-1)</f>
        <v>#REF!</v>
      </c>
      <c r="C56" s="27" t="e" cm="1">
        <f t="array" ref="C56">INDEX(tblTrades[entry_date],ROW()-1)</f>
        <v>#REF!</v>
      </c>
      <c r="D56" s="2" t="e" cm="1">
        <f t="array" ref="D56">INDEX(tblTrades[entry_mc_actual],ROW()-1)</f>
        <v>#REF!</v>
      </c>
      <c r="E56" s="2" t="e" cm="1">
        <f t="array" ref="E56">INDEX(tblTrades[exit_mc_actual],ROW()-1)</f>
        <v>#REF!</v>
      </c>
      <c r="F56" s="3" t="e" cm="1">
        <f t="array" ref="F56">INDEX(tblTrades[time_in_trade_seconds],ROW()-1)</f>
        <v>#REF!</v>
      </c>
      <c r="G56" s="4" t="str" cm="1">
        <f t="array" ref="G56">IFERROR(INDEX(tblTrades[pnl_percentage],ROW()-1)*1,"")</f>
        <v/>
      </c>
      <c r="H56" s="5" t="str" cm="1">
        <f t="array" ref="H56">IFERROR(INDEX(tblTrades[pnl_sol],ROW()-1)*1,"")</f>
        <v/>
      </c>
      <c r="I56" t="str">
        <f t="shared" si="23"/>
        <v/>
      </c>
      <c r="J56" t="str">
        <f t="shared" si="24"/>
        <v/>
      </c>
      <c r="K56" t="str">
        <f t="shared" si="25"/>
        <v/>
      </c>
      <c r="L56" s="20" t="str" cm="1">
        <f t="array" ref="L56">IFERROR(INDEX(tblTrades[sol_invested],ROW()-1),"")</f>
        <v/>
      </c>
      <c r="M56" s="1">
        <f>COUNTIFS(tblAnalysis[Token],tblAnalysis[[#This Row],[Token]])</f>
        <v>0</v>
      </c>
      <c r="N56" s="1">
        <f>COUNTIFS($B$2:B56,tblAnalysis[[#This Row],[Token]])</f>
        <v>0</v>
      </c>
      <c r="O56" s="5">
        <f>IFERROR(SUM($H$2:H56),"")</f>
        <v>0.40399999999999997</v>
      </c>
      <c r="P56" s="6"/>
      <c r="Q56" s="27"/>
      <c r="R56" s="6" t="str">
        <f>IF(Q56="","",SUMIFS(tblAnalysis[P&amp;L SOL],tblAnalysis[Date],Q56))</f>
        <v/>
      </c>
      <c r="S56" s="10" t="str">
        <f>IF(Q56="","",SUMIFS(tblAnalysis[P&amp;L %],tblAnalysis[Date],Q56))</f>
        <v/>
      </c>
      <c r="T56" s="6" t="str">
        <f>IF(Q56="","",IFERROR(SUM($R$2:R56),""))</f>
        <v/>
      </c>
      <c r="U56" t="str">
        <f>IF(Q56="","",COUNTIFS(tblAnalysis[Date],Q56))</f>
        <v/>
      </c>
      <c r="W56" s="27" t="str">
        <f t="shared" si="4"/>
        <v/>
      </c>
      <c r="X56" s="6" t="str">
        <f t="shared" si="5"/>
        <v/>
      </c>
      <c r="Y56" s="6" t="str">
        <f>IF(Q56="","",MAX(X56,_xlfn.MAXIFS(tblAnalysis[Cum P&amp;L SOL],tblAnalysis[Date],Q56)))</f>
        <v/>
      </c>
      <c r="Z56" s="6" t="str">
        <f>IF(Q56="","",MIN(X56,_xlfn.MINIFS(tblAnalysis[Cum P&amp;L SOL],tblAnalysis[Date],Q56)))</f>
        <v/>
      </c>
      <c r="AA56" s="6" t="str">
        <f t="shared" si="6"/>
        <v/>
      </c>
      <c r="AB56"/>
      <c r="AC56" s="27" t="str">
        <f t="shared" si="7"/>
        <v/>
      </c>
      <c r="AD56" s="10" t="str">
        <f t="shared" si="8"/>
        <v/>
      </c>
      <c r="AE56" s="10" t="str">
        <f t="shared" si="9"/>
        <v/>
      </c>
      <c r="AF56" s="10" t="str">
        <f t="shared" si="10"/>
        <v/>
      </c>
      <c r="AG56"/>
      <c r="AH56" t="str">
        <f t="shared" si="11"/>
        <v/>
      </c>
      <c r="AI56" t="str">
        <f t="shared" si="12"/>
        <v/>
      </c>
      <c r="AK56" cm="1">
        <f t="array" ref="AK56">IFERROR(IF(INDEX($A:$A,ROW())="","",INDEX($A:$A,ROW())),"")</f>
        <v>55</v>
      </c>
      <c r="AL56" t="str" cm="1">
        <f t="array" ref="AL56">IFERROR(INDEX(tblTrades[sol_invested],ROW()-1),"")</f>
        <v/>
      </c>
      <c r="AM56" s="6" t="str" cm="1">
        <f t="array" ref="AM56">IFERROR(INDEX(tblAnalysis[P&amp;L SOL],ROW()-1),"")</f>
        <v/>
      </c>
      <c r="AN56" t="str" cm="1">
        <f t="array" ref="AN56">IFERROR(IF(INDEX(tblTrades[sol_invested],ROW()-1)&gt;0.5,INDEX(tblAnalysis[Token],ROW()-1)&amp;" ("&amp;TEXT(INDEX(tblTrades[sol_invested],ROW()-1),"0.0")&amp;" SOL)",""),"")</f>
        <v/>
      </c>
      <c r="AO56" s="7" t="e" cm="1">
        <f t="array" ref="AO56">IF(INDEX(tblTrades[sol_invested],ROW()-1)&gt;0.5,INDEX(tblAnalysis[Cum P&amp;L SOL],ROW()-1),"")</f>
        <v>#REF!</v>
      </c>
      <c r="AP56" s="12" t="str" cm="1">
        <f t="array" ref="AP56">IFERROR(INDEX(tblAnalysis[Entry MC ($)],ROW()-1),"")</f>
        <v/>
      </c>
      <c r="AQ56" s="10" t="str" cm="1">
        <f t="array" ref="AQ56">IFERROR(INDEX(tblAnalysis[P&amp;L %],ROW()-1),"")</f>
        <v/>
      </c>
      <c r="AR56" t="str" cm="1">
        <f t="array" ref="AR56">IFERROR(INDEX(tblAnalysis[Hold Time (s)],ROW()-1),"")</f>
        <v/>
      </c>
      <c r="AS56" s="6" t="str" cm="1">
        <f t="array" ref="AS56">IFERROR(INDEX(tblAnalysis[P&amp;L SOL],ROW()-1),"")</f>
        <v/>
      </c>
      <c r="AT56"/>
      <c r="AY56" s="10"/>
      <c r="AZ56" s="10"/>
      <c r="BA56" s="6"/>
      <c r="BB56"/>
      <c r="BF56" t="str">
        <f t="shared" si="13"/>
        <v/>
      </c>
      <c r="BG56" s="27" t="str">
        <f t="shared" si="14"/>
        <v/>
      </c>
      <c r="BH56" t="str">
        <f t="shared" si="15"/>
        <v/>
      </c>
      <c r="BL56" s="29" t="e">
        <f t="shared" si="16"/>
        <v>#N/A</v>
      </c>
      <c r="BM56" s="29" t="e">
        <f t="shared" si="17"/>
        <v>#N/A</v>
      </c>
    </row>
    <row r="57" spans="1:65" x14ac:dyDescent="0.35">
      <c r="A57">
        <f t="shared" si="22"/>
        <v>56</v>
      </c>
      <c r="B57" t="e" cm="1">
        <f t="array" ref="B57">INDEX(tblTrades[token_name],ROW()-1)</f>
        <v>#REF!</v>
      </c>
      <c r="C57" s="27" t="e" cm="1">
        <f t="array" ref="C57">INDEX(tblTrades[entry_date],ROW()-1)</f>
        <v>#REF!</v>
      </c>
      <c r="D57" s="2" t="e" cm="1">
        <f t="array" ref="D57">INDEX(tblTrades[entry_mc_actual],ROW()-1)</f>
        <v>#REF!</v>
      </c>
      <c r="E57" s="2" t="e" cm="1">
        <f t="array" ref="E57">INDEX(tblTrades[exit_mc_actual],ROW()-1)</f>
        <v>#REF!</v>
      </c>
      <c r="F57" s="3" t="e" cm="1">
        <f t="array" ref="F57">INDEX(tblTrades[time_in_trade_seconds],ROW()-1)</f>
        <v>#REF!</v>
      </c>
      <c r="G57" s="4" t="str" cm="1">
        <f t="array" ref="G57">IFERROR(INDEX(tblTrades[pnl_percentage],ROW()-1)*1,"")</f>
        <v/>
      </c>
      <c r="H57" s="5" t="str" cm="1">
        <f t="array" ref="H57">IFERROR(INDEX(tblTrades[pnl_sol],ROW()-1)*1,"")</f>
        <v/>
      </c>
      <c r="I57" t="str">
        <f t="shared" si="23"/>
        <v/>
      </c>
      <c r="J57" t="str">
        <f t="shared" si="24"/>
        <v/>
      </c>
      <c r="K57" t="str">
        <f t="shared" si="25"/>
        <v/>
      </c>
      <c r="L57" s="20" t="str" cm="1">
        <f t="array" ref="L57">IFERROR(INDEX(tblTrades[sol_invested],ROW()-1),"")</f>
        <v/>
      </c>
      <c r="M57" s="1">
        <f>COUNTIFS(tblAnalysis[Token],tblAnalysis[[#This Row],[Token]])</f>
        <v>0</v>
      </c>
      <c r="N57" s="1">
        <f>COUNTIFS($B$2:B57,tblAnalysis[[#This Row],[Token]])</f>
        <v>0</v>
      </c>
      <c r="O57" s="5">
        <f>IFERROR(SUM($H$2:H57),"")</f>
        <v>0.40399999999999997</v>
      </c>
      <c r="P57" s="6"/>
      <c r="Q57" s="27"/>
      <c r="R57" s="6" t="str">
        <f>IF(Q57="","",SUMIFS(tblAnalysis[P&amp;L SOL],tblAnalysis[Date],Q57))</f>
        <v/>
      </c>
      <c r="S57" s="10" t="str">
        <f>IF(Q57="","",SUMIFS(tblAnalysis[P&amp;L %],tblAnalysis[Date],Q57))</f>
        <v/>
      </c>
      <c r="T57" s="6" t="str">
        <f>IF(Q57="","",IFERROR(SUM($R$2:R57),""))</f>
        <v/>
      </c>
      <c r="U57" t="str">
        <f>IF(Q57="","",COUNTIFS(tblAnalysis[Date],Q57))</f>
        <v/>
      </c>
      <c r="W57" s="27" t="str">
        <f t="shared" si="4"/>
        <v/>
      </c>
      <c r="X57" s="6" t="str">
        <f t="shared" si="5"/>
        <v/>
      </c>
      <c r="Y57" s="6" t="str">
        <f>IF(Q57="","",MAX(X57,_xlfn.MAXIFS(tblAnalysis[Cum P&amp;L SOL],tblAnalysis[Date],Q57)))</f>
        <v/>
      </c>
      <c r="Z57" s="6" t="str">
        <f>IF(Q57="","",MIN(X57,_xlfn.MINIFS(tblAnalysis[Cum P&amp;L SOL],tblAnalysis[Date],Q57)))</f>
        <v/>
      </c>
      <c r="AA57" s="6" t="str">
        <f t="shared" si="6"/>
        <v/>
      </c>
      <c r="AB57"/>
      <c r="AC57" s="27" t="str">
        <f t="shared" si="7"/>
        <v/>
      </c>
      <c r="AD57" s="10" t="str">
        <f t="shared" si="8"/>
        <v/>
      </c>
      <c r="AE57" s="10" t="str">
        <f t="shared" si="9"/>
        <v/>
      </c>
      <c r="AF57" s="10" t="str">
        <f t="shared" si="10"/>
        <v/>
      </c>
      <c r="AG57"/>
      <c r="AH57" t="str">
        <f t="shared" si="11"/>
        <v/>
      </c>
      <c r="AI57" t="str">
        <f t="shared" si="12"/>
        <v/>
      </c>
      <c r="AK57" cm="1">
        <f t="array" ref="AK57">IFERROR(IF(INDEX($A:$A,ROW())="","",INDEX($A:$A,ROW())),"")</f>
        <v>56</v>
      </c>
      <c r="AL57" t="str" cm="1">
        <f t="array" ref="AL57">IFERROR(INDEX(tblTrades[sol_invested],ROW()-1),"")</f>
        <v/>
      </c>
      <c r="AM57" s="6" t="str" cm="1">
        <f t="array" ref="AM57">IFERROR(INDEX(tblAnalysis[P&amp;L SOL],ROW()-1),"")</f>
        <v/>
      </c>
      <c r="AN57" t="str" cm="1">
        <f t="array" ref="AN57">IFERROR(IF(INDEX(tblTrades[sol_invested],ROW()-1)&gt;0.5,INDEX(tblAnalysis[Token],ROW()-1)&amp;" ("&amp;TEXT(INDEX(tblTrades[sol_invested],ROW()-1),"0.0")&amp;" SOL)",""),"")</f>
        <v/>
      </c>
      <c r="AO57" s="7" t="e" cm="1">
        <f t="array" ref="AO57">IF(INDEX(tblTrades[sol_invested],ROW()-1)&gt;0.5,INDEX(tblAnalysis[Cum P&amp;L SOL],ROW()-1),"")</f>
        <v>#REF!</v>
      </c>
      <c r="AP57" s="12" t="str" cm="1">
        <f t="array" ref="AP57">IFERROR(INDEX(tblAnalysis[Entry MC ($)],ROW()-1),"")</f>
        <v/>
      </c>
      <c r="AQ57" s="10" t="str" cm="1">
        <f t="array" ref="AQ57">IFERROR(INDEX(tblAnalysis[P&amp;L %],ROW()-1),"")</f>
        <v/>
      </c>
      <c r="AR57" t="str" cm="1">
        <f t="array" ref="AR57">IFERROR(INDEX(tblAnalysis[Hold Time (s)],ROW()-1),"")</f>
        <v/>
      </c>
      <c r="AS57" s="6" t="str" cm="1">
        <f t="array" ref="AS57">IFERROR(INDEX(tblAnalysis[P&amp;L SOL],ROW()-1),"")</f>
        <v/>
      </c>
      <c r="AT57"/>
      <c r="AY57" s="10"/>
      <c r="AZ57" s="10"/>
      <c r="BA57" s="6"/>
      <c r="BB57"/>
      <c r="BF57" t="str">
        <f t="shared" si="13"/>
        <v/>
      </c>
      <c r="BG57" s="27" t="str">
        <f t="shared" si="14"/>
        <v/>
      </c>
      <c r="BH57" t="str">
        <f t="shared" si="15"/>
        <v/>
      </c>
      <c r="BL57" s="29" t="e">
        <f t="shared" si="16"/>
        <v>#N/A</v>
      </c>
      <c r="BM57" s="29" t="e">
        <f t="shared" si="17"/>
        <v>#N/A</v>
      </c>
    </row>
    <row r="58" spans="1:65" x14ac:dyDescent="0.35">
      <c r="A58">
        <f t="shared" si="22"/>
        <v>57</v>
      </c>
      <c r="B58" t="e" cm="1">
        <f t="array" ref="B58">INDEX(tblTrades[token_name],ROW()-1)</f>
        <v>#REF!</v>
      </c>
      <c r="C58" s="27" t="e" cm="1">
        <f t="array" ref="C58">INDEX(tblTrades[entry_date],ROW()-1)</f>
        <v>#REF!</v>
      </c>
      <c r="D58" s="2" t="e" cm="1">
        <f t="array" ref="D58">INDEX(tblTrades[entry_mc_actual],ROW()-1)</f>
        <v>#REF!</v>
      </c>
      <c r="E58" s="2" t="e" cm="1">
        <f t="array" ref="E58">INDEX(tblTrades[exit_mc_actual],ROW()-1)</f>
        <v>#REF!</v>
      </c>
      <c r="F58" s="3" t="e" cm="1">
        <f t="array" ref="F58">INDEX(tblTrades[time_in_trade_seconds],ROW()-1)</f>
        <v>#REF!</v>
      </c>
      <c r="G58" s="4" t="str" cm="1">
        <f t="array" ref="G58">IFERROR(INDEX(tblTrades[pnl_percentage],ROW()-1)*1,"")</f>
        <v/>
      </c>
      <c r="H58" s="5" t="str" cm="1">
        <f t="array" ref="H58">IFERROR(INDEX(tblTrades[pnl_sol],ROW()-1)*1,"")</f>
        <v/>
      </c>
      <c r="I58" t="str">
        <f t="shared" si="23"/>
        <v/>
      </c>
      <c r="J58" t="str">
        <f t="shared" si="24"/>
        <v/>
      </c>
      <c r="K58" t="str">
        <f t="shared" si="25"/>
        <v/>
      </c>
      <c r="L58" s="20" t="str" cm="1">
        <f t="array" ref="L58">IFERROR(INDEX(tblTrades[sol_invested],ROW()-1),"")</f>
        <v/>
      </c>
      <c r="M58" s="1">
        <f>COUNTIFS(tblAnalysis[Token],tblAnalysis[[#This Row],[Token]])</f>
        <v>0</v>
      </c>
      <c r="N58" s="1">
        <f>COUNTIFS($B$2:B58,tblAnalysis[[#This Row],[Token]])</f>
        <v>0</v>
      </c>
      <c r="O58" s="5">
        <f>IFERROR(SUM($H$2:H58),"")</f>
        <v>0.40399999999999997</v>
      </c>
      <c r="P58" s="6"/>
      <c r="Q58" s="27"/>
      <c r="R58" s="6" t="str">
        <f>IF(Q58="","",SUMIFS(tblAnalysis[P&amp;L SOL],tblAnalysis[Date],Q58))</f>
        <v/>
      </c>
      <c r="S58" s="10" t="str">
        <f>IF(Q58="","",SUMIFS(tblAnalysis[P&amp;L %],tblAnalysis[Date],Q58))</f>
        <v/>
      </c>
      <c r="T58" s="6" t="str">
        <f>IF(Q58="","",IFERROR(SUM($R$2:R58),""))</f>
        <v/>
      </c>
      <c r="U58" t="str">
        <f>IF(Q58="","",COUNTIFS(tblAnalysis[Date],Q58))</f>
        <v/>
      </c>
      <c r="W58" s="27" t="str">
        <f t="shared" si="4"/>
        <v/>
      </c>
      <c r="X58" s="6" t="str">
        <f t="shared" si="5"/>
        <v/>
      </c>
      <c r="Y58" s="6" t="str">
        <f>IF(Q58="","",MAX(X58,_xlfn.MAXIFS(tblAnalysis[Cum P&amp;L SOL],tblAnalysis[Date],Q58)))</f>
        <v/>
      </c>
      <c r="Z58" s="6" t="str">
        <f>IF(Q58="","",MIN(X58,_xlfn.MINIFS(tblAnalysis[Cum P&amp;L SOL],tblAnalysis[Date],Q58)))</f>
        <v/>
      </c>
      <c r="AA58" s="6" t="str">
        <f t="shared" si="6"/>
        <v/>
      </c>
      <c r="AB58"/>
      <c r="AC58" s="27" t="str">
        <f t="shared" si="7"/>
        <v/>
      </c>
      <c r="AD58" s="10" t="str">
        <f t="shared" si="8"/>
        <v/>
      </c>
      <c r="AE58" s="10" t="str">
        <f t="shared" si="9"/>
        <v/>
      </c>
      <c r="AF58" s="10" t="str">
        <f t="shared" si="10"/>
        <v/>
      </c>
      <c r="AG58"/>
      <c r="AH58" t="str">
        <f t="shared" si="11"/>
        <v/>
      </c>
      <c r="AI58" t="str">
        <f t="shared" si="12"/>
        <v/>
      </c>
      <c r="AK58" cm="1">
        <f t="array" ref="AK58">IFERROR(IF(INDEX($A:$A,ROW())="","",INDEX($A:$A,ROW())),"")</f>
        <v>57</v>
      </c>
      <c r="AL58" t="str" cm="1">
        <f t="array" ref="AL58">IFERROR(INDEX(tblTrades[sol_invested],ROW()-1),"")</f>
        <v/>
      </c>
      <c r="AM58" s="6" t="str" cm="1">
        <f t="array" ref="AM58">IFERROR(INDEX(tblAnalysis[P&amp;L SOL],ROW()-1),"")</f>
        <v/>
      </c>
      <c r="AN58" t="str" cm="1">
        <f t="array" ref="AN58">IFERROR(IF(INDEX(tblTrades[sol_invested],ROW()-1)&gt;0.5,INDEX(tblAnalysis[Token],ROW()-1)&amp;" ("&amp;TEXT(INDEX(tblTrades[sol_invested],ROW()-1),"0.0")&amp;" SOL)",""),"")</f>
        <v/>
      </c>
      <c r="AO58" s="7" t="e" cm="1">
        <f t="array" ref="AO58">IF(INDEX(tblTrades[sol_invested],ROW()-1)&gt;0.5,INDEX(tblAnalysis[Cum P&amp;L SOL],ROW()-1),"")</f>
        <v>#REF!</v>
      </c>
      <c r="AP58" s="12" t="str" cm="1">
        <f t="array" ref="AP58">IFERROR(INDEX(tblAnalysis[Entry MC ($)],ROW()-1),"")</f>
        <v/>
      </c>
      <c r="AQ58" s="10" t="str" cm="1">
        <f t="array" ref="AQ58">IFERROR(INDEX(tblAnalysis[P&amp;L %],ROW()-1),"")</f>
        <v/>
      </c>
      <c r="AR58" t="str" cm="1">
        <f t="array" ref="AR58">IFERROR(INDEX(tblAnalysis[Hold Time (s)],ROW()-1),"")</f>
        <v/>
      </c>
      <c r="AS58" s="6" t="str" cm="1">
        <f t="array" ref="AS58">IFERROR(INDEX(tblAnalysis[P&amp;L SOL],ROW()-1),"")</f>
        <v/>
      </c>
      <c r="AT58"/>
      <c r="AY58" s="10"/>
      <c r="AZ58" s="10"/>
      <c r="BA58" s="6"/>
      <c r="BB58"/>
      <c r="BF58" t="str">
        <f t="shared" si="13"/>
        <v/>
      </c>
      <c r="BG58" s="27" t="str">
        <f t="shared" si="14"/>
        <v/>
      </c>
      <c r="BH58" t="str">
        <f t="shared" si="15"/>
        <v/>
      </c>
      <c r="BL58" s="29" t="e">
        <f t="shared" si="16"/>
        <v>#N/A</v>
      </c>
      <c r="BM58" s="29" t="e">
        <f t="shared" si="17"/>
        <v>#N/A</v>
      </c>
    </row>
    <row r="59" spans="1:65" x14ac:dyDescent="0.35">
      <c r="A59">
        <f t="shared" si="22"/>
        <v>58</v>
      </c>
      <c r="B59" t="e" cm="1">
        <f t="array" ref="B59">INDEX(tblTrades[token_name],ROW()-1)</f>
        <v>#REF!</v>
      </c>
      <c r="C59" s="27" t="e" cm="1">
        <f t="array" ref="C59">INDEX(tblTrades[entry_date],ROW()-1)</f>
        <v>#REF!</v>
      </c>
      <c r="D59" s="2" t="e" cm="1">
        <f t="array" ref="D59">INDEX(tblTrades[entry_mc_actual],ROW()-1)</f>
        <v>#REF!</v>
      </c>
      <c r="E59" s="2" t="e" cm="1">
        <f t="array" ref="E59">INDEX(tblTrades[exit_mc_actual],ROW()-1)</f>
        <v>#REF!</v>
      </c>
      <c r="F59" s="3" t="e" cm="1">
        <f t="array" ref="F59">INDEX(tblTrades[time_in_trade_seconds],ROW()-1)</f>
        <v>#REF!</v>
      </c>
      <c r="G59" s="4" t="str" cm="1">
        <f t="array" ref="G59">IFERROR(INDEX(tblTrades[pnl_percentage],ROW()-1)*1,"")</f>
        <v/>
      </c>
      <c r="H59" s="5" t="str" cm="1">
        <f t="array" ref="H59">IFERROR(INDEX(tblTrades[pnl_sol],ROW()-1)*1,"")</f>
        <v/>
      </c>
      <c r="I59" t="str">
        <f t="shared" si="23"/>
        <v/>
      </c>
      <c r="J59" t="str">
        <f t="shared" si="24"/>
        <v/>
      </c>
      <c r="K59" t="str">
        <f t="shared" si="25"/>
        <v/>
      </c>
      <c r="L59" s="20" t="str" cm="1">
        <f t="array" ref="L59">IFERROR(INDEX(tblTrades[sol_invested],ROW()-1),"")</f>
        <v/>
      </c>
      <c r="M59" s="1">
        <f>COUNTIFS(tblAnalysis[Token],tblAnalysis[[#This Row],[Token]])</f>
        <v>0</v>
      </c>
      <c r="N59" s="1">
        <f>COUNTIFS($B$2:B59,tblAnalysis[[#This Row],[Token]])</f>
        <v>0</v>
      </c>
      <c r="O59" s="5">
        <f>IFERROR(SUM($H$2:H59),"")</f>
        <v>0.40399999999999997</v>
      </c>
      <c r="P59" s="6"/>
      <c r="Q59" s="27"/>
      <c r="R59" s="6" t="str">
        <f>IF(Q59="","",SUMIFS(tblAnalysis[P&amp;L SOL],tblAnalysis[Date],Q59))</f>
        <v/>
      </c>
      <c r="S59" s="10" t="str">
        <f>IF(Q59="","",SUMIFS(tblAnalysis[P&amp;L %],tblAnalysis[Date],Q59))</f>
        <v/>
      </c>
      <c r="T59" s="6" t="str">
        <f>IF(Q59="","",IFERROR(SUM($R$2:R59),""))</f>
        <v/>
      </c>
      <c r="U59" t="str">
        <f>IF(Q59="","",COUNTIFS(tblAnalysis[Date],Q59))</f>
        <v/>
      </c>
      <c r="W59" s="27" t="str">
        <f t="shared" si="4"/>
        <v/>
      </c>
      <c r="X59" s="6" t="str">
        <f t="shared" si="5"/>
        <v/>
      </c>
      <c r="Y59" s="6" t="str">
        <f>IF(Q59="","",MAX(X59,_xlfn.MAXIFS(tblAnalysis[Cum P&amp;L SOL],tblAnalysis[Date],Q59)))</f>
        <v/>
      </c>
      <c r="Z59" s="6" t="str">
        <f>IF(Q59="","",MIN(X59,_xlfn.MINIFS(tblAnalysis[Cum P&amp;L SOL],tblAnalysis[Date],Q59)))</f>
        <v/>
      </c>
      <c r="AA59" s="6" t="str">
        <f t="shared" si="6"/>
        <v/>
      </c>
      <c r="AB59"/>
      <c r="AC59" s="27" t="str">
        <f t="shared" si="7"/>
        <v/>
      </c>
      <c r="AD59" s="10" t="str">
        <f t="shared" si="8"/>
        <v/>
      </c>
      <c r="AE59" s="10" t="str">
        <f t="shared" si="9"/>
        <v/>
      </c>
      <c r="AF59" s="10" t="str">
        <f t="shared" si="10"/>
        <v/>
      </c>
      <c r="AG59"/>
      <c r="AH59" t="str">
        <f t="shared" si="11"/>
        <v/>
      </c>
      <c r="AI59" t="str">
        <f t="shared" si="12"/>
        <v/>
      </c>
      <c r="AK59" cm="1">
        <f t="array" ref="AK59">IFERROR(IF(INDEX($A:$A,ROW())="","",INDEX($A:$A,ROW())),"")</f>
        <v>58</v>
      </c>
      <c r="AL59" t="str" cm="1">
        <f t="array" ref="AL59">IFERROR(INDEX(tblTrades[sol_invested],ROW()-1),"")</f>
        <v/>
      </c>
      <c r="AM59" s="6" t="str" cm="1">
        <f t="array" ref="AM59">IFERROR(INDEX(tblAnalysis[P&amp;L SOL],ROW()-1),"")</f>
        <v/>
      </c>
      <c r="AN59" t="str" cm="1">
        <f t="array" ref="AN59">IFERROR(IF(INDEX(tblTrades[sol_invested],ROW()-1)&gt;0.5,INDEX(tblAnalysis[Token],ROW()-1)&amp;" ("&amp;TEXT(INDEX(tblTrades[sol_invested],ROW()-1),"0.0")&amp;" SOL)",""),"")</f>
        <v/>
      </c>
      <c r="AO59" s="7" t="e" cm="1">
        <f t="array" ref="AO59">IF(INDEX(tblTrades[sol_invested],ROW()-1)&gt;0.5,INDEX(tblAnalysis[Cum P&amp;L SOL],ROW()-1),"")</f>
        <v>#REF!</v>
      </c>
      <c r="AP59" s="12" t="str" cm="1">
        <f t="array" ref="AP59">IFERROR(INDEX(tblAnalysis[Entry MC ($)],ROW()-1),"")</f>
        <v/>
      </c>
      <c r="AQ59" s="10" t="str" cm="1">
        <f t="array" ref="AQ59">IFERROR(INDEX(tblAnalysis[P&amp;L %],ROW()-1),"")</f>
        <v/>
      </c>
      <c r="AR59" t="str" cm="1">
        <f t="array" ref="AR59">IFERROR(INDEX(tblAnalysis[Hold Time (s)],ROW()-1),"")</f>
        <v/>
      </c>
      <c r="AS59" s="6" t="str" cm="1">
        <f t="array" ref="AS59">IFERROR(INDEX(tblAnalysis[P&amp;L SOL],ROW()-1),"")</f>
        <v/>
      </c>
      <c r="AT59"/>
      <c r="AY59" s="10"/>
      <c r="AZ59" s="10"/>
      <c r="BA59" s="6"/>
      <c r="BB59"/>
      <c r="BF59" t="str">
        <f t="shared" si="13"/>
        <v/>
      </c>
      <c r="BG59" s="27" t="str">
        <f t="shared" si="14"/>
        <v/>
      </c>
      <c r="BH59" t="str">
        <f t="shared" si="15"/>
        <v/>
      </c>
      <c r="BL59" s="29" t="e">
        <f t="shared" si="16"/>
        <v>#N/A</v>
      </c>
      <c r="BM59" s="29" t="e">
        <f t="shared" si="17"/>
        <v>#N/A</v>
      </c>
    </row>
    <row r="60" spans="1:65" x14ac:dyDescent="0.35">
      <c r="A60">
        <f t="shared" si="22"/>
        <v>59</v>
      </c>
      <c r="B60" t="e" cm="1">
        <f t="array" ref="B60">INDEX(tblTrades[token_name],ROW()-1)</f>
        <v>#REF!</v>
      </c>
      <c r="C60" s="27" t="e" cm="1">
        <f t="array" ref="C60">INDEX(tblTrades[entry_date],ROW()-1)</f>
        <v>#REF!</v>
      </c>
      <c r="D60" s="2" t="e" cm="1">
        <f t="array" ref="D60">INDEX(tblTrades[entry_mc_actual],ROW()-1)</f>
        <v>#REF!</v>
      </c>
      <c r="E60" s="2" t="e" cm="1">
        <f t="array" ref="E60">INDEX(tblTrades[exit_mc_actual],ROW()-1)</f>
        <v>#REF!</v>
      </c>
      <c r="F60" s="3" t="e" cm="1">
        <f t="array" ref="F60">INDEX(tblTrades[time_in_trade_seconds],ROW()-1)</f>
        <v>#REF!</v>
      </c>
      <c r="G60" s="4" t="str" cm="1">
        <f t="array" ref="G60">IFERROR(INDEX(tblTrades[pnl_percentage],ROW()-1)*1,"")</f>
        <v/>
      </c>
      <c r="H60" s="5" t="str" cm="1">
        <f t="array" ref="H60">IFERROR(INDEX(tblTrades[pnl_sol],ROW()-1)*1,"")</f>
        <v/>
      </c>
      <c r="I60" t="str">
        <f t="shared" si="23"/>
        <v/>
      </c>
      <c r="J60" t="str">
        <f t="shared" si="24"/>
        <v/>
      </c>
      <c r="K60" t="str">
        <f t="shared" si="25"/>
        <v/>
      </c>
      <c r="L60" s="20" t="str" cm="1">
        <f t="array" ref="L60">IFERROR(INDEX(tblTrades[sol_invested],ROW()-1),"")</f>
        <v/>
      </c>
      <c r="M60" s="1">
        <f>COUNTIFS(tblAnalysis[Token],tblAnalysis[[#This Row],[Token]])</f>
        <v>0</v>
      </c>
      <c r="N60" s="1">
        <f>COUNTIFS($B$2:B60,tblAnalysis[[#This Row],[Token]])</f>
        <v>0</v>
      </c>
      <c r="O60" s="5">
        <f>IFERROR(SUM($H$2:H60),"")</f>
        <v>0.40399999999999997</v>
      </c>
      <c r="P60" s="6"/>
      <c r="Q60" s="27"/>
      <c r="R60" s="6" t="str">
        <f>IF(Q60="","",SUMIFS(tblAnalysis[P&amp;L SOL],tblAnalysis[Date],Q60))</f>
        <v/>
      </c>
      <c r="S60" s="10" t="str">
        <f>IF(Q60="","",SUMIFS(tblAnalysis[P&amp;L %],tblAnalysis[Date],Q60))</f>
        <v/>
      </c>
      <c r="T60" s="6" t="str">
        <f>IF(Q60="","",IFERROR(SUM($R$2:R60),""))</f>
        <v/>
      </c>
      <c r="U60" t="str">
        <f>IF(Q60="","",COUNTIFS(tblAnalysis[Date],Q60))</f>
        <v/>
      </c>
      <c r="W60" s="27" t="str">
        <f t="shared" si="4"/>
        <v/>
      </c>
      <c r="X60" s="6" t="str">
        <f t="shared" si="5"/>
        <v/>
      </c>
      <c r="Y60" s="6" t="str">
        <f>IF(Q60="","",MAX(X60,_xlfn.MAXIFS(tblAnalysis[Cum P&amp;L SOL],tblAnalysis[Date],Q60)))</f>
        <v/>
      </c>
      <c r="Z60" s="6" t="str">
        <f>IF(Q60="","",MIN(X60,_xlfn.MINIFS(tblAnalysis[Cum P&amp;L SOL],tblAnalysis[Date],Q60)))</f>
        <v/>
      </c>
      <c r="AA60" s="6" t="str">
        <f t="shared" si="6"/>
        <v/>
      </c>
      <c r="AB60"/>
      <c r="AC60" s="27" t="str">
        <f t="shared" si="7"/>
        <v/>
      </c>
      <c r="AD60" s="10" t="str">
        <f t="shared" si="8"/>
        <v/>
      </c>
      <c r="AE60" s="10" t="str">
        <f t="shared" si="9"/>
        <v/>
      </c>
      <c r="AF60" s="10" t="str">
        <f t="shared" si="10"/>
        <v/>
      </c>
      <c r="AG60"/>
      <c r="AH60" t="str">
        <f t="shared" si="11"/>
        <v/>
      </c>
      <c r="AI60" t="str">
        <f t="shared" si="12"/>
        <v/>
      </c>
      <c r="AK60" cm="1">
        <f t="array" ref="AK60">IFERROR(IF(INDEX($A:$A,ROW())="","",INDEX($A:$A,ROW())),"")</f>
        <v>59</v>
      </c>
      <c r="AL60" t="str" cm="1">
        <f t="array" ref="AL60">IFERROR(INDEX(tblTrades[sol_invested],ROW()-1),"")</f>
        <v/>
      </c>
      <c r="AM60" s="6" t="str" cm="1">
        <f t="array" ref="AM60">IFERROR(INDEX(tblAnalysis[P&amp;L SOL],ROW()-1),"")</f>
        <v/>
      </c>
      <c r="AN60" t="str" cm="1">
        <f t="array" ref="AN60">IFERROR(IF(INDEX(tblTrades[sol_invested],ROW()-1)&gt;0.5,INDEX(tblAnalysis[Token],ROW()-1)&amp;" ("&amp;TEXT(INDEX(tblTrades[sol_invested],ROW()-1),"0.0")&amp;" SOL)",""),"")</f>
        <v/>
      </c>
      <c r="AO60" s="7" t="e" cm="1">
        <f t="array" ref="AO60">IF(INDEX(tblTrades[sol_invested],ROW()-1)&gt;0.5,INDEX(tblAnalysis[Cum P&amp;L SOL],ROW()-1),"")</f>
        <v>#REF!</v>
      </c>
      <c r="AP60" s="12" t="str" cm="1">
        <f t="array" ref="AP60">IFERROR(INDEX(tblAnalysis[Entry MC ($)],ROW()-1),"")</f>
        <v/>
      </c>
      <c r="AQ60" s="10" t="str" cm="1">
        <f t="array" ref="AQ60">IFERROR(INDEX(tblAnalysis[P&amp;L %],ROW()-1),"")</f>
        <v/>
      </c>
      <c r="AR60" t="str" cm="1">
        <f t="array" ref="AR60">IFERROR(INDEX(tblAnalysis[Hold Time (s)],ROW()-1),"")</f>
        <v/>
      </c>
      <c r="AS60" s="6" t="str" cm="1">
        <f t="array" ref="AS60">IFERROR(INDEX(tblAnalysis[P&amp;L SOL],ROW()-1),"")</f>
        <v/>
      </c>
      <c r="AT60"/>
      <c r="AY60" s="10"/>
      <c r="AZ60" s="10"/>
      <c r="BA60" s="6"/>
      <c r="BB60"/>
      <c r="BF60" t="str">
        <f t="shared" si="13"/>
        <v/>
      </c>
      <c r="BG60" s="27" t="str">
        <f t="shared" si="14"/>
        <v/>
      </c>
      <c r="BH60" t="str">
        <f t="shared" si="15"/>
        <v/>
      </c>
      <c r="BL60" s="29" t="e">
        <f t="shared" si="16"/>
        <v>#N/A</v>
      </c>
      <c r="BM60" s="29" t="e">
        <f t="shared" si="17"/>
        <v>#N/A</v>
      </c>
    </row>
    <row r="61" spans="1:65" x14ac:dyDescent="0.35">
      <c r="A61">
        <f t="shared" si="22"/>
        <v>60</v>
      </c>
      <c r="B61" t="e" cm="1">
        <f t="array" ref="B61">INDEX(tblTrades[token_name],ROW()-1)</f>
        <v>#REF!</v>
      </c>
      <c r="C61" s="27" t="e" cm="1">
        <f t="array" ref="C61">INDEX(tblTrades[entry_date],ROW()-1)</f>
        <v>#REF!</v>
      </c>
      <c r="D61" s="2" t="e" cm="1">
        <f t="array" ref="D61">INDEX(tblTrades[entry_mc_actual],ROW()-1)</f>
        <v>#REF!</v>
      </c>
      <c r="E61" s="2" t="e" cm="1">
        <f t="array" ref="E61">INDEX(tblTrades[exit_mc_actual],ROW()-1)</f>
        <v>#REF!</v>
      </c>
      <c r="F61" s="3" t="e" cm="1">
        <f t="array" ref="F61">INDEX(tblTrades[time_in_trade_seconds],ROW()-1)</f>
        <v>#REF!</v>
      </c>
      <c r="G61" s="4" t="str" cm="1">
        <f t="array" ref="G61">IFERROR(INDEX(tblTrades[pnl_percentage],ROW()-1)*1,"")</f>
        <v/>
      </c>
      <c r="H61" s="5" t="str" cm="1">
        <f t="array" ref="H61">IFERROR(INDEX(tblTrades[pnl_sol],ROW()-1)*1,"")</f>
        <v/>
      </c>
      <c r="I61" t="str">
        <f t="shared" si="23"/>
        <v/>
      </c>
      <c r="J61" t="str">
        <f t="shared" si="24"/>
        <v/>
      </c>
      <c r="K61" t="str">
        <f t="shared" si="25"/>
        <v/>
      </c>
      <c r="L61" s="20" t="str" cm="1">
        <f t="array" ref="L61">IFERROR(INDEX(tblTrades[sol_invested],ROW()-1),"")</f>
        <v/>
      </c>
      <c r="M61" s="1">
        <f>COUNTIFS(tblAnalysis[Token],tblAnalysis[[#This Row],[Token]])</f>
        <v>0</v>
      </c>
      <c r="N61" s="1">
        <f>COUNTIFS($B$2:B61,tblAnalysis[[#This Row],[Token]])</f>
        <v>0</v>
      </c>
      <c r="O61" s="5">
        <f>IFERROR(SUM($H$2:H61),"")</f>
        <v>0.40399999999999997</v>
      </c>
      <c r="P61" s="6"/>
      <c r="Q61" s="27"/>
      <c r="R61" s="6" t="str">
        <f>IF(Q61="","",SUMIFS(tblAnalysis[P&amp;L SOL],tblAnalysis[Date],Q61))</f>
        <v/>
      </c>
      <c r="S61" s="10" t="str">
        <f>IF(Q61="","",SUMIFS(tblAnalysis[P&amp;L %],tblAnalysis[Date],Q61))</f>
        <v/>
      </c>
      <c r="T61" s="6" t="str">
        <f>IF(Q61="","",IFERROR(SUM($R$2:R61),""))</f>
        <v/>
      </c>
      <c r="U61" t="str">
        <f>IF(Q61="","",COUNTIFS(tblAnalysis[Date],Q61))</f>
        <v/>
      </c>
      <c r="W61" s="27" t="str">
        <f t="shared" si="4"/>
        <v/>
      </c>
      <c r="X61" s="6" t="str">
        <f t="shared" si="5"/>
        <v/>
      </c>
      <c r="Y61" s="6" t="str">
        <f>IF(Q61="","",MAX(X61,_xlfn.MAXIFS(tblAnalysis[Cum P&amp;L SOL],tblAnalysis[Date],Q61)))</f>
        <v/>
      </c>
      <c r="Z61" s="6" t="str">
        <f>IF(Q61="","",MIN(X61,_xlfn.MINIFS(tblAnalysis[Cum P&amp;L SOL],tblAnalysis[Date],Q61)))</f>
        <v/>
      </c>
      <c r="AA61" s="6" t="str">
        <f t="shared" si="6"/>
        <v/>
      </c>
      <c r="AB61"/>
      <c r="AC61" s="27" t="str">
        <f t="shared" si="7"/>
        <v/>
      </c>
      <c r="AD61" s="10" t="str">
        <f t="shared" si="8"/>
        <v/>
      </c>
      <c r="AE61" s="10" t="str">
        <f t="shared" si="9"/>
        <v/>
      </c>
      <c r="AF61" s="10" t="str">
        <f t="shared" si="10"/>
        <v/>
      </c>
      <c r="AG61"/>
      <c r="AH61" t="str">
        <f t="shared" si="11"/>
        <v/>
      </c>
      <c r="AI61" t="str">
        <f t="shared" si="12"/>
        <v/>
      </c>
      <c r="AK61" cm="1">
        <f t="array" ref="AK61">IFERROR(IF(INDEX($A:$A,ROW())="","",INDEX($A:$A,ROW())),"")</f>
        <v>60</v>
      </c>
      <c r="AL61" t="str" cm="1">
        <f t="array" ref="AL61">IFERROR(INDEX(tblTrades[sol_invested],ROW()-1),"")</f>
        <v/>
      </c>
      <c r="AM61" s="6" t="str" cm="1">
        <f t="array" ref="AM61">IFERROR(INDEX(tblAnalysis[P&amp;L SOL],ROW()-1),"")</f>
        <v/>
      </c>
      <c r="AN61" t="str" cm="1">
        <f t="array" ref="AN61">IFERROR(IF(INDEX(tblTrades[sol_invested],ROW()-1)&gt;0.5,INDEX(tblAnalysis[Token],ROW()-1)&amp;" ("&amp;TEXT(INDEX(tblTrades[sol_invested],ROW()-1),"0.0")&amp;" SOL)",""),"")</f>
        <v/>
      </c>
      <c r="AO61" s="7" t="e" cm="1">
        <f t="array" ref="AO61">IF(INDEX(tblTrades[sol_invested],ROW()-1)&gt;0.5,INDEX(tblAnalysis[Cum P&amp;L SOL],ROW()-1),"")</f>
        <v>#REF!</v>
      </c>
      <c r="AP61" s="12" t="str" cm="1">
        <f t="array" ref="AP61">IFERROR(INDEX(tblAnalysis[Entry MC ($)],ROW()-1),"")</f>
        <v/>
      </c>
      <c r="AQ61" s="10" t="str" cm="1">
        <f t="array" ref="AQ61">IFERROR(INDEX(tblAnalysis[P&amp;L %],ROW()-1),"")</f>
        <v/>
      </c>
      <c r="AR61" t="str" cm="1">
        <f t="array" ref="AR61">IFERROR(INDEX(tblAnalysis[Hold Time (s)],ROW()-1),"")</f>
        <v/>
      </c>
      <c r="AS61" s="6" t="str" cm="1">
        <f t="array" ref="AS61">IFERROR(INDEX(tblAnalysis[P&amp;L SOL],ROW()-1),"")</f>
        <v/>
      </c>
      <c r="AT61"/>
      <c r="AY61" s="10"/>
      <c r="AZ61" s="10"/>
      <c r="BA61" s="6"/>
      <c r="BB61"/>
      <c r="BF61" t="str">
        <f t="shared" si="13"/>
        <v/>
      </c>
      <c r="BG61" s="27" t="str">
        <f t="shared" si="14"/>
        <v/>
      </c>
      <c r="BH61" t="str">
        <f t="shared" si="15"/>
        <v/>
      </c>
      <c r="BL61" s="29" t="e">
        <f t="shared" si="16"/>
        <v>#N/A</v>
      </c>
      <c r="BM61" s="29" t="e">
        <f t="shared" si="17"/>
        <v>#N/A</v>
      </c>
    </row>
    <row r="62" spans="1:65" x14ac:dyDescent="0.35">
      <c r="A62">
        <f t="shared" si="22"/>
        <v>61</v>
      </c>
      <c r="B62" t="e" cm="1">
        <f t="array" ref="B62">INDEX(tblTrades[token_name],ROW()-1)</f>
        <v>#REF!</v>
      </c>
      <c r="C62" s="27" t="e" cm="1">
        <f t="array" ref="C62">INDEX(tblTrades[entry_date],ROW()-1)</f>
        <v>#REF!</v>
      </c>
      <c r="D62" s="2" t="e" cm="1">
        <f t="array" ref="D62">INDEX(tblTrades[entry_mc_actual],ROW()-1)</f>
        <v>#REF!</v>
      </c>
      <c r="E62" s="2" t="e" cm="1">
        <f t="array" ref="E62">INDEX(tblTrades[exit_mc_actual],ROW()-1)</f>
        <v>#REF!</v>
      </c>
      <c r="F62" s="3" t="e" cm="1">
        <f t="array" ref="F62">INDEX(tblTrades[time_in_trade_seconds],ROW()-1)</f>
        <v>#REF!</v>
      </c>
      <c r="G62" s="4" t="str" cm="1">
        <f t="array" ref="G62">IFERROR(INDEX(tblTrades[pnl_percentage],ROW()-1)*1,"")</f>
        <v/>
      </c>
      <c r="H62" s="5" t="str" cm="1">
        <f t="array" ref="H62">IFERROR(INDEX(tblTrades[pnl_sol],ROW()-1)*1,"")</f>
        <v/>
      </c>
      <c r="I62" t="str">
        <f t="shared" si="23"/>
        <v/>
      </c>
      <c r="J62" t="str">
        <f t="shared" si="24"/>
        <v/>
      </c>
      <c r="K62" t="str">
        <f t="shared" si="25"/>
        <v/>
      </c>
      <c r="L62" s="20" t="str" cm="1">
        <f t="array" ref="L62">IFERROR(INDEX(tblTrades[sol_invested],ROW()-1),"")</f>
        <v/>
      </c>
      <c r="M62" s="1">
        <f>COUNTIFS(tblAnalysis[Token],tblAnalysis[[#This Row],[Token]])</f>
        <v>0</v>
      </c>
      <c r="N62" s="1">
        <f>COUNTIFS($B$2:B62,tblAnalysis[[#This Row],[Token]])</f>
        <v>0</v>
      </c>
      <c r="O62" s="5">
        <f>IFERROR(SUM($H$2:H62),"")</f>
        <v>0.40399999999999997</v>
      </c>
      <c r="P62" s="6"/>
      <c r="Q62" s="27"/>
      <c r="R62" s="6" t="str">
        <f>IF(Q62="","",SUMIFS(tblAnalysis[P&amp;L SOL],tblAnalysis[Date],Q62))</f>
        <v/>
      </c>
      <c r="S62" s="10" t="str">
        <f>IF(Q62="","",SUMIFS(tblAnalysis[P&amp;L %],tblAnalysis[Date],Q62))</f>
        <v/>
      </c>
      <c r="T62" s="6" t="str">
        <f>IF(Q62="","",IFERROR(SUM($R$2:R62),""))</f>
        <v/>
      </c>
      <c r="U62" t="str">
        <f>IF(Q62="","",COUNTIFS(tblAnalysis[Date],Q62))</f>
        <v/>
      </c>
      <c r="W62" s="27" t="str">
        <f t="shared" si="4"/>
        <v/>
      </c>
      <c r="X62" s="6" t="str">
        <f t="shared" si="5"/>
        <v/>
      </c>
      <c r="Y62" s="6" t="str">
        <f>IF(Q62="","",MAX(X62,_xlfn.MAXIFS(tblAnalysis[Cum P&amp;L SOL],tblAnalysis[Date],Q62)))</f>
        <v/>
      </c>
      <c r="Z62" s="6" t="str">
        <f>IF(Q62="","",MIN(X62,_xlfn.MINIFS(tblAnalysis[Cum P&amp;L SOL],tblAnalysis[Date],Q62)))</f>
        <v/>
      </c>
      <c r="AA62" s="6" t="str">
        <f t="shared" si="6"/>
        <v/>
      </c>
      <c r="AB62"/>
      <c r="AC62" s="27" t="str">
        <f t="shared" si="7"/>
        <v/>
      </c>
      <c r="AD62" s="10" t="str">
        <f t="shared" si="8"/>
        <v/>
      </c>
      <c r="AE62" s="10" t="str">
        <f t="shared" si="9"/>
        <v/>
      </c>
      <c r="AF62" s="10" t="str">
        <f t="shared" si="10"/>
        <v/>
      </c>
      <c r="AG62"/>
      <c r="AH62" t="str">
        <f t="shared" si="11"/>
        <v/>
      </c>
      <c r="AI62" t="str">
        <f t="shared" si="12"/>
        <v/>
      </c>
      <c r="AK62" cm="1">
        <f t="array" ref="AK62">IFERROR(IF(INDEX($A:$A,ROW())="","",INDEX($A:$A,ROW())),"")</f>
        <v>61</v>
      </c>
      <c r="AL62" t="str" cm="1">
        <f t="array" ref="AL62">IFERROR(INDEX(tblTrades[sol_invested],ROW()-1),"")</f>
        <v/>
      </c>
      <c r="AM62" s="6" t="str" cm="1">
        <f t="array" ref="AM62">IFERROR(INDEX(tblAnalysis[P&amp;L SOL],ROW()-1),"")</f>
        <v/>
      </c>
      <c r="AN62" t="str" cm="1">
        <f t="array" ref="AN62">IFERROR(IF(INDEX(tblTrades[sol_invested],ROW()-1)&gt;0.5,INDEX(tblAnalysis[Token],ROW()-1)&amp;" ("&amp;TEXT(INDEX(tblTrades[sol_invested],ROW()-1),"0.0")&amp;" SOL)",""),"")</f>
        <v/>
      </c>
      <c r="AO62" s="7" t="e" cm="1">
        <f t="array" ref="AO62">IF(INDEX(tblTrades[sol_invested],ROW()-1)&gt;0.5,INDEX(tblAnalysis[Cum P&amp;L SOL],ROW()-1),"")</f>
        <v>#REF!</v>
      </c>
      <c r="AP62" s="12" t="str" cm="1">
        <f t="array" ref="AP62">IFERROR(INDEX(tblAnalysis[Entry MC ($)],ROW()-1),"")</f>
        <v/>
      </c>
      <c r="AQ62" s="10" t="str" cm="1">
        <f t="array" ref="AQ62">IFERROR(INDEX(tblAnalysis[P&amp;L %],ROW()-1),"")</f>
        <v/>
      </c>
      <c r="AR62" t="str" cm="1">
        <f t="array" ref="AR62">IFERROR(INDEX(tblAnalysis[Hold Time (s)],ROW()-1),"")</f>
        <v/>
      </c>
      <c r="AS62" s="6" t="str" cm="1">
        <f t="array" ref="AS62">IFERROR(INDEX(tblAnalysis[P&amp;L SOL],ROW()-1),"")</f>
        <v/>
      </c>
      <c r="AT62"/>
      <c r="AY62" s="10"/>
      <c r="AZ62" s="10"/>
      <c r="BA62" s="6"/>
      <c r="BB62"/>
      <c r="BF62" t="str">
        <f t="shared" si="13"/>
        <v/>
      </c>
      <c r="BG62" s="27" t="str">
        <f t="shared" si="14"/>
        <v/>
      </c>
      <c r="BH62" t="str">
        <f t="shared" si="15"/>
        <v/>
      </c>
      <c r="BL62" s="29" t="e">
        <f t="shared" si="16"/>
        <v>#N/A</v>
      </c>
      <c r="BM62" s="29" t="e">
        <f t="shared" si="17"/>
        <v>#N/A</v>
      </c>
    </row>
    <row r="63" spans="1:65" x14ac:dyDescent="0.35">
      <c r="A63">
        <f t="shared" si="22"/>
        <v>62</v>
      </c>
      <c r="B63" t="e" cm="1">
        <f t="array" ref="B63">INDEX(tblTrades[token_name],ROW()-1)</f>
        <v>#REF!</v>
      </c>
      <c r="C63" s="27" t="e" cm="1">
        <f t="array" ref="C63">INDEX(tblTrades[entry_date],ROW()-1)</f>
        <v>#REF!</v>
      </c>
      <c r="D63" s="2" t="e" cm="1">
        <f t="array" ref="D63">INDEX(tblTrades[entry_mc_actual],ROW()-1)</f>
        <v>#REF!</v>
      </c>
      <c r="E63" s="2" t="e" cm="1">
        <f t="array" ref="E63">INDEX(tblTrades[exit_mc_actual],ROW()-1)</f>
        <v>#REF!</v>
      </c>
      <c r="F63" s="3" t="e" cm="1">
        <f t="array" ref="F63">INDEX(tblTrades[time_in_trade_seconds],ROW()-1)</f>
        <v>#REF!</v>
      </c>
      <c r="G63" s="4" t="str" cm="1">
        <f t="array" ref="G63">IFERROR(INDEX(tblTrades[pnl_percentage],ROW()-1)*1,"")</f>
        <v/>
      </c>
      <c r="H63" s="5" t="str" cm="1">
        <f t="array" ref="H63">IFERROR(INDEX(tblTrades[pnl_sol],ROW()-1)*1,"")</f>
        <v/>
      </c>
      <c r="I63" t="str">
        <f t="shared" si="23"/>
        <v/>
      </c>
      <c r="J63" t="str">
        <f t="shared" si="24"/>
        <v/>
      </c>
      <c r="K63" t="str">
        <f t="shared" si="25"/>
        <v/>
      </c>
      <c r="L63" s="20" t="str" cm="1">
        <f t="array" ref="L63">IFERROR(INDEX(tblTrades[sol_invested],ROW()-1),"")</f>
        <v/>
      </c>
      <c r="M63" s="1">
        <f>COUNTIFS(tblAnalysis[Token],tblAnalysis[[#This Row],[Token]])</f>
        <v>0</v>
      </c>
      <c r="N63" s="1">
        <f>COUNTIFS($B$2:B63,tblAnalysis[[#This Row],[Token]])</f>
        <v>0</v>
      </c>
      <c r="O63" s="5">
        <f>IFERROR(SUM($H$2:H63),"")</f>
        <v>0.40399999999999997</v>
      </c>
      <c r="P63" s="6"/>
      <c r="Q63" s="27"/>
      <c r="R63" s="6" t="str">
        <f>IF(Q63="","",SUMIFS(tblAnalysis[P&amp;L SOL],tblAnalysis[Date],Q63))</f>
        <v/>
      </c>
      <c r="S63" s="10" t="str">
        <f>IF(Q63="","",SUMIFS(tblAnalysis[P&amp;L %],tblAnalysis[Date],Q63))</f>
        <v/>
      </c>
      <c r="T63" s="6" t="str">
        <f>IF(Q63="","",IFERROR(SUM($R$2:R63),""))</f>
        <v/>
      </c>
      <c r="U63" t="str">
        <f>IF(Q63="","",COUNTIFS(tblAnalysis[Date],Q63))</f>
        <v/>
      </c>
      <c r="W63" s="27" t="str">
        <f t="shared" si="4"/>
        <v/>
      </c>
      <c r="X63" s="6" t="str">
        <f t="shared" si="5"/>
        <v/>
      </c>
      <c r="Y63" s="6" t="str">
        <f>IF(Q63="","",MAX(X63,_xlfn.MAXIFS(tblAnalysis[Cum P&amp;L SOL],tblAnalysis[Date],Q63)))</f>
        <v/>
      </c>
      <c r="Z63" s="6" t="str">
        <f>IF(Q63="","",MIN(X63,_xlfn.MINIFS(tblAnalysis[Cum P&amp;L SOL],tblAnalysis[Date],Q63)))</f>
        <v/>
      </c>
      <c r="AA63" s="6" t="str">
        <f t="shared" si="6"/>
        <v/>
      </c>
      <c r="AB63"/>
      <c r="AC63" s="27" t="str">
        <f t="shared" si="7"/>
        <v/>
      </c>
      <c r="AD63" s="10" t="str">
        <f t="shared" si="8"/>
        <v/>
      </c>
      <c r="AE63" s="10" t="str">
        <f t="shared" si="9"/>
        <v/>
      </c>
      <c r="AF63" s="10" t="str">
        <f t="shared" si="10"/>
        <v/>
      </c>
      <c r="AG63"/>
      <c r="AH63" t="str">
        <f t="shared" si="11"/>
        <v/>
      </c>
      <c r="AI63" t="str">
        <f t="shared" si="12"/>
        <v/>
      </c>
      <c r="AK63" cm="1">
        <f t="array" ref="AK63">IFERROR(IF(INDEX($A:$A,ROW())="","",INDEX($A:$A,ROW())),"")</f>
        <v>62</v>
      </c>
      <c r="AL63" t="str" cm="1">
        <f t="array" ref="AL63">IFERROR(INDEX(tblTrades[sol_invested],ROW()-1),"")</f>
        <v/>
      </c>
      <c r="AM63" s="6" t="str" cm="1">
        <f t="array" ref="AM63">IFERROR(INDEX(tblAnalysis[P&amp;L SOL],ROW()-1),"")</f>
        <v/>
      </c>
      <c r="AN63" t="str" cm="1">
        <f t="array" ref="AN63">IFERROR(IF(INDEX(tblTrades[sol_invested],ROW()-1)&gt;0.5,INDEX(tblAnalysis[Token],ROW()-1)&amp;" ("&amp;TEXT(INDEX(tblTrades[sol_invested],ROW()-1),"0.0")&amp;" SOL)",""),"")</f>
        <v/>
      </c>
      <c r="AO63" s="7" t="e" cm="1">
        <f t="array" ref="AO63">IF(INDEX(tblTrades[sol_invested],ROW()-1)&gt;0.5,INDEX(tblAnalysis[Cum P&amp;L SOL],ROW()-1),"")</f>
        <v>#REF!</v>
      </c>
      <c r="AP63" s="12" t="str" cm="1">
        <f t="array" ref="AP63">IFERROR(INDEX(tblAnalysis[Entry MC ($)],ROW()-1),"")</f>
        <v/>
      </c>
      <c r="AQ63" s="10" t="str" cm="1">
        <f t="array" ref="AQ63">IFERROR(INDEX(tblAnalysis[P&amp;L %],ROW()-1),"")</f>
        <v/>
      </c>
      <c r="AR63" t="str" cm="1">
        <f t="array" ref="AR63">IFERROR(INDEX(tblAnalysis[Hold Time (s)],ROW()-1),"")</f>
        <v/>
      </c>
      <c r="AS63" s="6" t="str" cm="1">
        <f t="array" ref="AS63">IFERROR(INDEX(tblAnalysis[P&amp;L SOL],ROW()-1),"")</f>
        <v/>
      </c>
      <c r="AT63"/>
      <c r="AY63" s="10"/>
      <c r="AZ63" s="10"/>
      <c r="BA63" s="6"/>
      <c r="BB63"/>
      <c r="BF63" t="str">
        <f t="shared" si="13"/>
        <v/>
      </c>
      <c r="BG63" s="27" t="str">
        <f t="shared" si="14"/>
        <v/>
      </c>
      <c r="BH63" t="str">
        <f t="shared" si="15"/>
        <v/>
      </c>
      <c r="BL63" s="29" t="e">
        <f t="shared" si="16"/>
        <v>#N/A</v>
      </c>
      <c r="BM63" s="29" t="e">
        <f t="shared" si="17"/>
        <v>#N/A</v>
      </c>
    </row>
    <row r="64" spans="1:65" x14ac:dyDescent="0.35">
      <c r="A64">
        <f t="shared" si="22"/>
        <v>63</v>
      </c>
      <c r="B64" t="e" cm="1">
        <f t="array" ref="B64">INDEX(tblTrades[token_name],ROW()-1)</f>
        <v>#REF!</v>
      </c>
      <c r="C64" s="27" t="e" cm="1">
        <f t="array" ref="C64">INDEX(tblTrades[entry_date],ROW()-1)</f>
        <v>#REF!</v>
      </c>
      <c r="D64" s="2" t="e" cm="1">
        <f t="array" ref="D64">INDEX(tblTrades[entry_mc_actual],ROW()-1)</f>
        <v>#REF!</v>
      </c>
      <c r="E64" s="2" t="e" cm="1">
        <f t="array" ref="E64">INDEX(tblTrades[exit_mc_actual],ROW()-1)</f>
        <v>#REF!</v>
      </c>
      <c r="F64" s="3" t="e" cm="1">
        <f t="array" ref="F64">INDEX(tblTrades[time_in_trade_seconds],ROW()-1)</f>
        <v>#REF!</v>
      </c>
      <c r="G64" s="4" t="str" cm="1">
        <f t="array" ref="G64">IFERROR(INDEX(tblTrades[pnl_percentage],ROW()-1)*1,"")</f>
        <v/>
      </c>
      <c r="H64" s="5" t="str" cm="1">
        <f t="array" ref="H64">IFERROR(INDEX(tblTrades[pnl_sol],ROW()-1)*1,"")</f>
        <v/>
      </c>
      <c r="I64" t="str">
        <f t="shared" si="23"/>
        <v/>
      </c>
      <c r="J64" t="str">
        <f t="shared" si="24"/>
        <v/>
      </c>
      <c r="K64" t="str">
        <f t="shared" si="25"/>
        <v/>
      </c>
      <c r="L64" s="20" t="str" cm="1">
        <f t="array" ref="L64">IFERROR(INDEX(tblTrades[sol_invested],ROW()-1),"")</f>
        <v/>
      </c>
      <c r="M64" s="1">
        <f>COUNTIFS(tblAnalysis[Token],tblAnalysis[[#This Row],[Token]])</f>
        <v>0</v>
      </c>
      <c r="N64" s="1">
        <f>COUNTIFS($B$2:B64,tblAnalysis[[#This Row],[Token]])</f>
        <v>0</v>
      </c>
      <c r="O64" s="5">
        <f>IFERROR(SUM($H$2:H64),"")</f>
        <v>0.40399999999999997</v>
      </c>
      <c r="P64" s="6"/>
      <c r="Q64" s="27"/>
      <c r="R64" s="6" t="str">
        <f>IF(Q64="","",SUMIFS(tblAnalysis[P&amp;L SOL],tblAnalysis[Date],Q64))</f>
        <v/>
      </c>
      <c r="S64" s="10" t="str">
        <f>IF(Q64="","",SUMIFS(tblAnalysis[P&amp;L %],tblAnalysis[Date],Q64))</f>
        <v/>
      </c>
      <c r="T64" s="6" t="str">
        <f>IF(Q64="","",IFERROR(SUM($R$2:R64),""))</f>
        <v/>
      </c>
      <c r="U64" t="str">
        <f>IF(Q64="","",COUNTIFS(tblAnalysis[Date],Q64))</f>
        <v/>
      </c>
      <c r="W64" s="27" t="str">
        <f t="shared" si="4"/>
        <v/>
      </c>
      <c r="X64" s="6" t="str">
        <f t="shared" si="5"/>
        <v/>
      </c>
      <c r="Y64" s="6" t="str">
        <f>IF(Q64="","",MAX(X64,_xlfn.MAXIFS(tblAnalysis[Cum P&amp;L SOL],tblAnalysis[Date],Q64)))</f>
        <v/>
      </c>
      <c r="Z64" s="6" t="str">
        <f>IF(Q64="","",MIN(X64,_xlfn.MINIFS(tblAnalysis[Cum P&amp;L SOL],tblAnalysis[Date],Q64)))</f>
        <v/>
      </c>
      <c r="AA64" s="6" t="str">
        <f t="shared" si="6"/>
        <v/>
      </c>
      <c r="AB64"/>
      <c r="AC64" s="27" t="str">
        <f t="shared" si="7"/>
        <v/>
      </c>
      <c r="AD64" s="10" t="str">
        <f t="shared" si="8"/>
        <v/>
      </c>
      <c r="AE64" s="10" t="str">
        <f t="shared" si="9"/>
        <v/>
      </c>
      <c r="AF64" s="10" t="str">
        <f t="shared" si="10"/>
        <v/>
      </c>
      <c r="AG64"/>
      <c r="AH64" t="str">
        <f t="shared" si="11"/>
        <v/>
      </c>
      <c r="AI64" t="str">
        <f t="shared" si="12"/>
        <v/>
      </c>
      <c r="AK64" cm="1">
        <f t="array" ref="AK64">IFERROR(IF(INDEX($A:$A,ROW())="","",INDEX($A:$A,ROW())),"")</f>
        <v>63</v>
      </c>
      <c r="AL64" t="str" cm="1">
        <f t="array" ref="AL64">IFERROR(INDEX(tblTrades[sol_invested],ROW()-1),"")</f>
        <v/>
      </c>
      <c r="AM64" s="6" t="str" cm="1">
        <f t="array" ref="AM64">IFERROR(INDEX(tblAnalysis[P&amp;L SOL],ROW()-1),"")</f>
        <v/>
      </c>
      <c r="AN64" t="str" cm="1">
        <f t="array" ref="AN64">IFERROR(IF(INDEX(tblTrades[sol_invested],ROW()-1)&gt;0.5,INDEX(tblAnalysis[Token],ROW()-1)&amp;" ("&amp;TEXT(INDEX(tblTrades[sol_invested],ROW()-1),"0.0")&amp;" SOL)",""),"")</f>
        <v/>
      </c>
      <c r="AO64" s="7" t="e" cm="1">
        <f t="array" ref="AO64">IF(INDEX(tblTrades[sol_invested],ROW()-1)&gt;0.5,INDEX(tblAnalysis[Cum P&amp;L SOL],ROW()-1),"")</f>
        <v>#REF!</v>
      </c>
      <c r="AP64" s="12" t="str" cm="1">
        <f t="array" ref="AP64">IFERROR(INDEX(tblAnalysis[Entry MC ($)],ROW()-1),"")</f>
        <v/>
      </c>
      <c r="AQ64" s="10" t="str" cm="1">
        <f t="array" ref="AQ64">IFERROR(INDEX(tblAnalysis[P&amp;L %],ROW()-1),"")</f>
        <v/>
      </c>
      <c r="AR64" t="str" cm="1">
        <f t="array" ref="AR64">IFERROR(INDEX(tblAnalysis[Hold Time (s)],ROW()-1),"")</f>
        <v/>
      </c>
      <c r="AS64" s="6" t="str" cm="1">
        <f t="array" ref="AS64">IFERROR(INDEX(tblAnalysis[P&amp;L SOL],ROW()-1),"")</f>
        <v/>
      </c>
      <c r="AT64"/>
      <c r="AY64" s="10"/>
      <c r="AZ64" s="10"/>
      <c r="BA64" s="6"/>
      <c r="BB64"/>
      <c r="BF64" t="str">
        <f t="shared" si="13"/>
        <v/>
      </c>
      <c r="BG64" s="27" t="str">
        <f t="shared" si="14"/>
        <v/>
      </c>
      <c r="BH64" t="str">
        <f t="shared" si="15"/>
        <v/>
      </c>
      <c r="BL64" s="29" t="e">
        <f t="shared" si="16"/>
        <v>#N/A</v>
      </c>
      <c r="BM64" s="29" t="e">
        <f t="shared" si="17"/>
        <v>#N/A</v>
      </c>
    </row>
    <row r="65" spans="1:65" x14ac:dyDescent="0.35">
      <c r="A65">
        <f t="shared" si="22"/>
        <v>64</v>
      </c>
      <c r="B65" t="e" cm="1">
        <f t="array" ref="B65">INDEX(tblTrades[token_name],ROW()-1)</f>
        <v>#REF!</v>
      </c>
      <c r="C65" s="27" t="e" cm="1">
        <f t="array" ref="C65">INDEX(tblTrades[entry_date],ROW()-1)</f>
        <v>#REF!</v>
      </c>
      <c r="D65" s="2" t="e" cm="1">
        <f t="array" ref="D65">INDEX(tblTrades[entry_mc_actual],ROW()-1)</f>
        <v>#REF!</v>
      </c>
      <c r="E65" s="2" t="e" cm="1">
        <f t="array" ref="E65">INDEX(tblTrades[exit_mc_actual],ROW()-1)</f>
        <v>#REF!</v>
      </c>
      <c r="F65" s="3" t="e" cm="1">
        <f t="array" ref="F65">INDEX(tblTrades[time_in_trade_seconds],ROW()-1)</f>
        <v>#REF!</v>
      </c>
      <c r="G65" s="4" t="str" cm="1">
        <f t="array" ref="G65">IFERROR(INDEX(tblTrades[pnl_percentage],ROW()-1)*1,"")</f>
        <v/>
      </c>
      <c r="H65" s="5" t="str" cm="1">
        <f t="array" ref="H65">IFERROR(INDEX(tblTrades[pnl_sol],ROW()-1)*1,"")</f>
        <v/>
      </c>
      <c r="I65" t="str">
        <f t="shared" si="23"/>
        <v/>
      </c>
      <c r="J65" t="str">
        <f t="shared" si="24"/>
        <v/>
      </c>
      <c r="K65" t="str">
        <f t="shared" si="25"/>
        <v/>
      </c>
      <c r="L65" s="20" t="str" cm="1">
        <f t="array" ref="L65">IFERROR(INDEX(tblTrades[sol_invested],ROW()-1),"")</f>
        <v/>
      </c>
      <c r="M65" s="1">
        <f>COUNTIFS(tblAnalysis[Token],tblAnalysis[[#This Row],[Token]])</f>
        <v>0</v>
      </c>
      <c r="N65" s="1">
        <f>COUNTIFS($B$2:B65,tblAnalysis[[#This Row],[Token]])</f>
        <v>0</v>
      </c>
      <c r="O65" s="5">
        <f>IFERROR(SUM($H$2:H65),"")</f>
        <v>0.40399999999999997</v>
      </c>
      <c r="P65" s="6"/>
      <c r="Q65" s="27"/>
      <c r="R65" s="6" t="str">
        <f>IF(Q65="","",SUMIFS(tblAnalysis[P&amp;L SOL],tblAnalysis[Date],Q65))</f>
        <v/>
      </c>
      <c r="S65" s="10" t="str">
        <f>IF(Q65="","",SUMIFS(tblAnalysis[P&amp;L %],tblAnalysis[Date],Q65))</f>
        <v/>
      </c>
      <c r="T65" s="6" t="str">
        <f>IF(Q65="","",IFERROR(SUM($R$2:R65),""))</f>
        <v/>
      </c>
      <c r="U65" t="str">
        <f>IF(Q65="","",COUNTIFS(tblAnalysis[Date],Q65))</f>
        <v/>
      </c>
      <c r="W65" s="27" t="str">
        <f t="shared" si="4"/>
        <v/>
      </c>
      <c r="X65" s="6" t="str">
        <f t="shared" si="5"/>
        <v/>
      </c>
      <c r="Y65" s="6" t="str">
        <f>IF(Q65="","",MAX(X65,_xlfn.MAXIFS(tblAnalysis[Cum P&amp;L SOL],tblAnalysis[Date],Q65)))</f>
        <v/>
      </c>
      <c r="Z65" s="6" t="str">
        <f>IF(Q65="","",MIN(X65,_xlfn.MINIFS(tblAnalysis[Cum P&amp;L SOL],tblAnalysis[Date],Q65)))</f>
        <v/>
      </c>
      <c r="AA65" s="6" t="str">
        <f t="shared" si="6"/>
        <v/>
      </c>
      <c r="AB65"/>
      <c r="AC65" s="27" t="str">
        <f t="shared" si="7"/>
        <v/>
      </c>
      <c r="AD65" s="10" t="str">
        <f t="shared" si="8"/>
        <v/>
      </c>
      <c r="AE65" s="10" t="str">
        <f t="shared" si="9"/>
        <v/>
      </c>
      <c r="AF65" s="10" t="str">
        <f t="shared" si="10"/>
        <v/>
      </c>
      <c r="AG65"/>
      <c r="AH65" t="str">
        <f t="shared" si="11"/>
        <v/>
      </c>
      <c r="AI65" t="str">
        <f t="shared" si="12"/>
        <v/>
      </c>
      <c r="AK65" cm="1">
        <f t="array" ref="AK65">IFERROR(IF(INDEX($A:$A,ROW())="","",INDEX($A:$A,ROW())),"")</f>
        <v>64</v>
      </c>
      <c r="AL65" t="str" cm="1">
        <f t="array" ref="AL65">IFERROR(INDEX(tblTrades[sol_invested],ROW()-1),"")</f>
        <v/>
      </c>
      <c r="AM65" s="6" t="str" cm="1">
        <f t="array" ref="AM65">IFERROR(INDEX(tblAnalysis[P&amp;L SOL],ROW()-1),"")</f>
        <v/>
      </c>
      <c r="AN65" t="str" cm="1">
        <f t="array" ref="AN65">IFERROR(IF(INDEX(tblTrades[sol_invested],ROW()-1)&gt;0.5,INDEX(tblAnalysis[Token],ROW()-1)&amp;" ("&amp;TEXT(INDEX(tblTrades[sol_invested],ROW()-1),"0.0")&amp;" SOL)",""),"")</f>
        <v/>
      </c>
      <c r="AO65" s="7" t="e" cm="1">
        <f t="array" ref="AO65">IF(INDEX(tblTrades[sol_invested],ROW()-1)&gt;0.5,INDEX(tblAnalysis[Cum P&amp;L SOL],ROW()-1),"")</f>
        <v>#REF!</v>
      </c>
      <c r="AP65" s="12" t="str" cm="1">
        <f t="array" ref="AP65">IFERROR(INDEX(tblAnalysis[Entry MC ($)],ROW()-1),"")</f>
        <v/>
      </c>
      <c r="AQ65" s="10" t="str" cm="1">
        <f t="array" ref="AQ65">IFERROR(INDEX(tblAnalysis[P&amp;L %],ROW()-1),"")</f>
        <v/>
      </c>
      <c r="AR65" t="str" cm="1">
        <f t="array" ref="AR65">IFERROR(INDEX(tblAnalysis[Hold Time (s)],ROW()-1),"")</f>
        <v/>
      </c>
      <c r="AS65" s="6" t="str" cm="1">
        <f t="array" ref="AS65">IFERROR(INDEX(tblAnalysis[P&amp;L SOL],ROW()-1),"")</f>
        <v/>
      </c>
      <c r="AT65"/>
      <c r="AY65" s="10"/>
      <c r="AZ65" s="10"/>
      <c r="BA65" s="6"/>
      <c r="BB65"/>
      <c r="BF65" t="str">
        <f t="shared" si="13"/>
        <v/>
      </c>
      <c r="BG65" s="27" t="str">
        <f t="shared" si="14"/>
        <v/>
      </c>
      <c r="BH65" t="str">
        <f t="shared" si="15"/>
        <v/>
      </c>
      <c r="BL65" s="29" t="e">
        <f t="shared" si="16"/>
        <v>#N/A</v>
      </c>
      <c r="BM65" s="29" t="e">
        <f t="shared" si="17"/>
        <v>#N/A</v>
      </c>
    </row>
    <row r="66" spans="1:65" x14ac:dyDescent="0.35">
      <c r="A66">
        <f t="shared" ref="A66:A129" si="28">ROW()-1</f>
        <v>65</v>
      </c>
      <c r="B66" t="e" cm="1">
        <f t="array" ref="B66">INDEX(tblTrades[token_name],ROW()-1)</f>
        <v>#REF!</v>
      </c>
      <c r="C66" s="27" t="e" cm="1">
        <f t="array" ref="C66">INDEX(tblTrades[entry_date],ROW()-1)</f>
        <v>#REF!</v>
      </c>
      <c r="D66" s="2" t="e" cm="1">
        <f t="array" ref="D66">INDEX(tblTrades[entry_mc_actual],ROW()-1)</f>
        <v>#REF!</v>
      </c>
      <c r="E66" s="2" t="e" cm="1">
        <f t="array" ref="E66">INDEX(tblTrades[exit_mc_actual],ROW()-1)</f>
        <v>#REF!</v>
      </c>
      <c r="F66" s="3" t="e" cm="1">
        <f t="array" ref="F66">INDEX(tblTrades[time_in_trade_seconds],ROW()-1)</f>
        <v>#REF!</v>
      </c>
      <c r="G66" s="4" t="str" cm="1">
        <f t="array" ref="G66">IFERROR(INDEX(tblTrades[pnl_percentage],ROW()-1)*1,"")</f>
        <v/>
      </c>
      <c r="H66" s="5" t="str" cm="1">
        <f t="array" ref="H66">IFERROR(INDEX(tblTrades[pnl_sol],ROW()-1)*1,"")</f>
        <v/>
      </c>
      <c r="I66" t="str">
        <f t="shared" ref="I66:I129" si="29">IF(ISNUMBER(G66),IF(G66&gt;0,1,0),"")</f>
        <v/>
      </c>
      <c r="J66" t="str">
        <f t="shared" ref="J66:J129" si="30">IF(ISNUMBER(D66),IF(D66&lt;2000,"Under 2K",IF(D66&lt;5000,"2-5K",IF(D66&lt;10000,"5-10K",IF(D66&lt;20000,"10-20K","20K+")))),"")</f>
        <v/>
      </c>
      <c r="K66" t="str">
        <f t="shared" ref="K66:K129" si="31">IF(ISNUMBER(F66),IF(F66=0,"Unknown (0s)",IF(F66&lt;=15,"1-15s",IF(F66&lt;=45,"15-45s",IF(F66&lt;=90,"45-90s","90s+")))),"")</f>
        <v/>
      </c>
      <c r="L66" s="20" t="str" cm="1">
        <f t="array" ref="L66">IFERROR(INDEX(tblTrades[sol_invested],ROW()-1),"")</f>
        <v/>
      </c>
      <c r="M66" s="1">
        <f>COUNTIFS(tblAnalysis[Token],tblAnalysis[[#This Row],[Token]])</f>
        <v>0</v>
      </c>
      <c r="N66" s="1">
        <f>COUNTIFS($B$2:B66,tblAnalysis[[#This Row],[Token]])</f>
        <v>0</v>
      </c>
      <c r="O66" s="5">
        <f>IFERROR(SUM($H$2:H66),"")</f>
        <v>0.40399999999999997</v>
      </c>
      <c r="P66" s="6"/>
      <c r="Q66" s="27"/>
      <c r="R66" s="6" t="str">
        <f>IF(Q66="","",SUMIFS(tblAnalysis[P&amp;L SOL],tblAnalysis[Date],Q66))</f>
        <v/>
      </c>
      <c r="S66" s="10" t="str">
        <f>IF(Q66="","",SUMIFS(tblAnalysis[P&amp;L %],tblAnalysis[Date],Q66))</f>
        <v/>
      </c>
      <c r="T66" s="6" t="str">
        <f>IF(Q66="","",IFERROR(SUM($R$2:R66),""))</f>
        <v/>
      </c>
      <c r="U66" t="str">
        <f>IF(Q66="","",COUNTIFS(tblAnalysis[Date],Q66))</f>
        <v/>
      </c>
      <c r="W66" s="27" t="str">
        <f t="shared" si="4"/>
        <v/>
      </c>
      <c r="X66" s="6" t="str">
        <f t="shared" si="5"/>
        <v/>
      </c>
      <c r="Y66" s="6" t="str">
        <f>IF(Q66="","",MAX(X66,_xlfn.MAXIFS(tblAnalysis[Cum P&amp;L SOL],tblAnalysis[Date],Q66)))</f>
        <v/>
      </c>
      <c r="Z66" s="6" t="str">
        <f>IF(Q66="","",MIN(X66,_xlfn.MINIFS(tblAnalysis[Cum P&amp;L SOL],tblAnalysis[Date],Q66)))</f>
        <v/>
      </c>
      <c r="AA66" s="6" t="str">
        <f t="shared" si="6"/>
        <v/>
      </c>
      <c r="AB66"/>
      <c r="AC66" s="27" t="str">
        <f t="shared" si="7"/>
        <v/>
      </c>
      <c r="AD66" s="10" t="str">
        <f t="shared" si="8"/>
        <v/>
      </c>
      <c r="AE66" s="10" t="str">
        <f t="shared" si="9"/>
        <v/>
      </c>
      <c r="AF66" s="10" t="str">
        <f t="shared" si="10"/>
        <v/>
      </c>
      <c r="AG66"/>
      <c r="AH66" t="str">
        <f t="shared" si="11"/>
        <v/>
      </c>
      <c r="AI66" t="str">
        <f t="shared" si="12"/>
        <v/>
      </c>
      <c r="AK66" cm="1">
        <f t="array" ref="AK66">IFERROR(IF(INDEX($A:$A,ROW())="","",INDEX($A:$A,ROW())),"")</f>
        <v>65</v>
      </c>
      <c r="AL66" t="str" cm="1">
        <f t="array" ref="AL66">IFERROR(INDEX(tblTrades[sol_invested],ROW()-1),"")</f>
        <v/>
      </c>
      <c r="AM66" s="6" t="str" cm="1">
        <f t="array" ref="AM66">IFERROR(INDEX(tblAnalysis[P&amp;L SOL],ROW()-1),"")</f>
        <v/>
      </c>
      <c r="AN66" t="str" cm="1">
        <f t="array" ref="AN66">IFERROR(IF(INDEX(tblTrades[sol_invested],ROW()-1)&gt;0.5,INDEX(tblAnalysis[Token],ROW()-1)&amp;" ("&amp;TEXT(INDEX(tblTrades[sol_invested],ROW()-1),"0.0")&amp;" SOL)",""),"")</f>
        <v/>
      </c>
      <c r="AO66" s="7" t="e" cm="1">
        <f t="array" ref="AO66">IF(INDEX(tblTrades[sol_invested],ROW()-1)&gt;0.5,INDEX(tblAnalysis[Cum P&amp;L SOL],ROW()-1),"")</f>
        <v>#REF!</v>
      </c>
      <c r="AP66" s="12" t="str" cm="1">
        <f t="array" ref="AP66">IFERROR(INDEX(tblAnalysis[Entry MC ($)],ROW()-1),"")</f>
        <v/>
      </c>
      <c r="AQ66" s="10" t="str" cm="1">
        <f t="array" ref="AQ66">IFERROR(INDEX(tblAnalysis[P&amp;L %],ROW()-1),"")</f>
        <v/>
      </c>
      <c r="AR66" t="str" cm="1">
        <f t="array" ref="AR66">IFERROR(INDEX(tblAnalysis[Hold Time (s)],ROW()-1),"")</f>
        <v/>
      </c>
      <c r="AS66" s="6" t="str" cm="1">
        <f t="array" ref="AS66">IFERROR(INDEX(tblAnalysis[P&amp;L SOL],ROW()-1),"")</f>
        <v/>
      </c>
      <c r="AT66"/>
      <c r="AY66" s="10"/>
      <c r="AZ66" s="10"/>
      <c r="BA66" s="6"/>
      <c r="BB66"/>
      <c r="BF66" t="str">
        <f t="shared" si="13"/>
        <v/>
      </c>
      <c r="BG66" s="27" t="str">
        <f t="shared" si="14"/>
        <v/>
      </c>
      <c r="BH66" t="str">
        <f t="shared" si="15"/>
        <v/>
      </c>
      <c r="BL66" s="29" t="e">
        <f t="shared" si="16"/>
        <v>#N/A</v>
      </c>
      <c r="BM66" s="29" t="e">
        <f t="shared" si="17"/>
        <v>#N/A</v>
      </c>
    </row>
    <row r="67" spans="1:65" x14ac:dyDescent="0.35">
      <c r="A67">
        <f t="shared" si="28"/>
        <v>66</v>
      </c>
      <c r="B67" t="e" cm="1">
        <f t="array" ref="B67">INDEX(tblTrades[token_name],ROW()-1)</f>
        <v>#REF!</v>
      </c>
      <c r="C67" s="27" t="e" cm="1">
        <f t="array" ref="C67">INDEX(tblTrades[entry_date],ROW()-1)</f>
        <v>#REF!</v>
      </c>
      <c r="D67" s="2" t="e" cm="1">
        <f t="array" ref="D67">INDEX(tblTrades[entry_mc_actual],ROW()-1)</f>
        <v>#REF!</v>
      </c>
      <c r="E67" s="2" t="e" cm="1">
        <f t="array" ref="E67">INDEX(tblTrades[exit_mc_actual],ROW()-1)</f>
        <v>#REF!</v>
      </c>
      <c r="F67" s="3" t="e" cm="1">
        <f t="array" ref="F67">INDEX(tblTrades[time_in_trade_seconds],ROW()-1)</f>
        <v>#REF!</v>
      </c>
      <c r="G67" s="4" t="str" cm="1">
        <f t="array" ref="G67">IFERROR(INDEX(tblTrades[pnl_percentage],ROW()-1)*1,"")</f>
        <v/>
      </c>
      <c r="H67" s="5" t="str" cm="1">
        <f t="array" ref="H67">IFERROR(INDEX(tblTrades[pnl_sol],ROW()-1)*1,"")</f>
        <v/>
      </c>
      <c r="I67" t="str">
        <f t="shared" si="29"/>
        <v/>
      </c>
      <c r="J67" t="str">
        <f t="shared" si="30"/>
        <v/>
      </c>
      <c r="K67" t="str">
        <f t="shared" si="31"/>
        <v/>
      </c>
      <c r="L67" s="20" t="str" cm="1">
        <f t="array" ref="L67">IFERROR(INDEX(tblTrades[sol_invested],ROW()-1),"")</f>
        <v/>
      </c>
      <c r="M67" s="1">
        <f>COUNTIFS(tblAnalysis[Token],tblAnalysis[[#This Row],[Token]])</f>
        <v>0</v>
      </c>
      <c r="N67" s="1">
        <f>COUNTIFS($B$2:B67,tblAnalysis[[#This Row],[Token]])</f>
        <v>0</v>
      </c>
      <c r="O67" s="5">
        <f>IFERROR(SUM($H$2:H67),"")</f>
        <v>0.40399999999999997</v>
      </c>
      <c r="P67" s="6"/>
      <c r="Q67" s="27"/>
      <c r="R67" s="6" t="str">
        <f>IF(Q67="","",SUMIFS(tblAnalysis[P&amp;L SOL],tblAnalysis[Date],Q67))</f>
        <v/>
      </c>
      <c r="S67" s="10" t="str">
        <f>IF(Q67="","",SUMIFS(tblAnalysis[P&amp;L %],tblAnalysis[Date],Q67))</f>
        <v/>
      </c>
      <c r="T67" s="6" t="str">
        <f>IF(Q67="","",IFERROR(SUM($R$2:R67),""))</f>
        <v/>
      </c>
      <c r="U67" t="str">
        <f>IF(Q67="","",COUNTIFS(tblAnalysis[Date],Q67))</f>
        <v/>
      </c>
      <c r="W67" s="27" t="str">
        <f t="shared" ref="W67:W130" si="32">IF(Q67="","",Q67)</f>
        <v/>
      </c>
      <c r="X67" s="6" t="str">
        <f t="shared" ref="X67:X130" si="33">IF(Q67="","",IF(ROW()=2,0,AA66))</f>
        <v/>
      </c>
      <c r="Y67" s="6" t="str">
        <f>IF(Q67="","",MAX(X67,_xlfn.MAXIFS(tblAnalysis[Cum P&amp;L SOL],tblAnalysis[Date],Q67)))</f>
        <v/>
      </c>
      <c r="Z67" s="6" t="str">
        <f>IF(Q67="","",MIN(X67,_xlfn.MINIFS(tblAnalysis[Cum P&amp;L SOL],tblAnalysis[Date],Q67)))</f>
        <v/>
      </c>
      <c r="AA67" s="6" t="str">
        <f t="shared" ref="AA67:AA130" si="34">IF(Q67="","",T67)</f>
        <v/>
      </c>
      <c r="AB67"/>
      <c r="AC67" s="27" t="str">
        <f t="shared" ref="AC67:AC130" si="35">IF(Q67="","",Q67)</f>
        <v/>
      </c>
      <c r="AD67" s="10" t="str">
        <f t="shared" ref="AD67:AD130" si="36">IF(Q67="","",(Y67-X67)/$BK$1)</f>
        <v/>
      </c>
      <c r="AE67" s="10" t="str">
        <f t="shared" ref="AE67:AE130" si="37">IF(Q67="","",(Z67-X67)/$BK$1)</f>
        <v/>
      </c>
      <c r="AF67" s="10" t="str">
        <f t="shared" ref="AF67:AF130" si="38">IF(Q67="","",(AA67-X67)/$BK$1)</f>
        <v/>
      </c>
      <c r="AG67"/>
      <c r="AH67" t="str">
        <f t="shared" ref="AH67:AH130" si="39">IF(Q67="","",IF(AA67&gt;=X67,U67,0))</f>
        <v/>
      </c>
      <c r="AI67" t="str">
        <f t="shared" ref="AI67:AI130" si="40">IF(Q67="","",IF(AA67&lt;X67,U67,0))</f>
        <v/>
      </c>
      <c r="AK67" cm="1">
        <f t="array" ref="AK67">IFERROR(IF(INDEX($A:$A,ROW())="","",INDEX($A:$A,ROW())),"")</f>
        <v>66</v>
      </c>
      <c r="AL67" t="str" cm="1">
        <f t="array" ref="AL67">IFERROR(INDEX(tblTrades[sol_invested],ROW()-1),"")</f>
        <v/>
      </c>
      <c r="AM67" s="6" t="str" cm="1">
        <f t="array" ref="AM67">IFERROR(INDEX(tblAnalysis[P&amp;L SOL],ROW()-1),"")</f>
        <v/>
      </c>
      <c r="AN67" t="str" cm="1">
        <f t="array" ref="AN67">IFERROR(IF(INDEX(tblTrades[sol_invested],ROW()-1)&gt;0.5,INDEX(tblAnalysis[Token],ROW()-1)&amp;" ("&amp;TEXT(INDEX(tblTrades[sol_invested],ROW()-1),"0.0")&amp;" SOL)",""),"")</f>
        <v/>
      </c>
      <c r="AO67" s="7" t="e" cm="1">
        <f t="array" ref="AO67">IF(INDEX(tblTrades[sol_invested],ROW()-1)&gt;0.5,INDEX(tblAnalysis[Cum P&amp;L SOL],ROW()-1),"")</f>
        <v>#REF!</v>
      </c>
      <c r="AP67" s="12" t="str" cm="1">
        <f t="array" ref="AP67">IFERROR(INDEX(tblAnalysis[Entry MC ($)],ROW()-1),"")</f>
        <v/>
      </c>
      <c r="AQ67" s="10" t="str" cm="1">
        <f t="array" ref="AQ67">IFERROR(INDEX(tblAnalysis[P&amp;L %],ROW()-1),"")</f>
        <v/>
      </c>
      <c r="AR67" t="str" cm="1">
        <f t="array" ref="AR67">IFERROR(INDEX(tblAnalysis[Hold Time (s)],ROW()-1),"")</f>
        <v/>
      </c>
      <c r="AS67" s="6" t="str" cm="1">
        <f t="array" ref="AS67">IFERROR(INDEX(tblAnalysis[P&amp;L SOL],ROW()-1),"")</f>
        <v/>
      </c>
      <c r="AT67"/>
      <c r="AY67" s="10"/>
      <c r="AZ67" s="10"/>
      <c r="BA67" s="6"/>
      <c r="BB67"/>
      <c r="BF67" t="str">
        <f t="shared" ref="BF67:BF130" si="41">IF(W67="","","("&amp;U67&amp;")")</f>
        <v/>
      </c>
      <c r="BG67" s="27" t="str">
        <f t="shared" ref="BG67:BG130" si="42">IF(W67="","",W67)</f>
        <v/>
      </c>
      <c r="BH67" t="str">
        <f t="shared" ref="BH67:BH130" si="43">IF(W67="","",-2.5)</f>
        <v/>
      </c>
      <c r="BL67" s="29" t="e">
        <f t="shared" ref="BL67:BL130" si="44">IF(ISNUMBER(G67),IF(G67&gt;0,G67,NA()),NA())</f>
        <v>#N/A</v>
      </c>
      <c r="BM67" s="29" t="e">
        <f t="shared" ref="BM67:BM130" si="45">IF(ISNUMBER(G67),IF(G67&lt;=0,G67,NA()),NA())</f>
        <v>#N/A</v>
      </c>
    </row>
    <row r="68" spans="1:65" x14ac:dyDescent="0.35">
      <c r="A68">
        <f t="shared" si="28"/>
        <v>67</v>
      </c>
      <c r="B68" t="e" cm="1">
        <f t="array" ref="B68">INDEX(tblTrades[token_name],ROW()-1)</f>
        <v>#REF!</v>
      </c>
      <c r="C68" s="27" t="e" cm="1">
        <f t="array" ref="C68">INDEX(tblTrades[entry_date],ROW()-1)</f>
        <v>#REF!</v>
      </c>
      <c r="D68" s="2" t="e" cm="1">
        <f t="array" ref="D68">INDEX(tblTrades[entry_mc_actual],ROW()-1)</f>
        <v>#REF!</v>
      </c>
      <c r="E68" s="2" t="e" cm="1">
        <f t="array" ref="E68">INDEX(tblTrades[exit_mc_actual],ROW()-1)</f>
        <v>#REF!</v>
      </c>
      <c r="F68" s="3" t="e" cm="1">
        <f t="array" ref="F68">INDEX(tblTrades[time_in_trade_seconds],ROW()-1)</f>
        <v>#REF!</v>
      </c>
      <c r="G68" s="4" t="str" cm="1">
        <f t="array" ref="G68">IFERROR(INDEX(tblTrades[pnl_percentage],ROW()-1)*1,"")</f>
        <v/>
      </c>
      <c r="H68" s="5" t="str" cm="1">
        <f t="array" ref="H68">IFERROR(INDEX(tblTrades[pnl_sol],ROW()-1)*1,"")</f>
        <v/>
      </c>
      <c r="I68" t="str">
        <f t="shared" si="29"/>
        <v/>
      </c>
      <c r="J68" t="str">
        <f t="shared" si="30"/>
        <v/>
      </c>
      <c r="K68" t="str">
        <f t="shared" si="31"/>
        <v/>
      </c>
      <c r="L68" s="20" t="str" cm="1">
        <f t="array" ref="L68">IFERROR(INDEX(tblTrades[sol_invested],ROW()-1),"")</f>
        <v/>
      </c>
      <c r="M68" s="1">
        <f>COUNTIFS(tblAnalysis[Token],tblAnalysis[[#This Row],[Token]])</f>
        <v>0</v>
      </c>
      <c r="N68" s="1">
        <f>COUNTIFS($B$2:B68,tblAnalysis[[#This Row],[Token]])</f>
        <v>0</v>
      </c>
      <c r="O68" s="5">
        <f>IFERROR(SUM($H$2:H68),"")</f>
        <v>0.40399999999999997</v>
      </c>
      <c r="P68" s="6"/>
      <c r="Q68" s="27"/>
      <c r="R68" s="6" t="str">
        <f>IF(Q68="","",SUMIFS(tblAnalysis[P&amp;L SOL],tblAnalysis[Date],Q68))</f>
        <v/>
      </c>
      <c r="S68" s="10" t="str">
        <f>IF(Q68="","",SUMIFS(tblAnalysis[P&amp;L %],tblAnalysis[Date],Q68))</f>
        <v/>
      </c>
      <c r="T68" s="6" t="str">
        <f>IF(Q68="","",IFERROR(SUM($R$2:R68),""))</f>
        <v/>
      </c>
      <c r="U68" t="str">
        <f>IF(Q68="","",COUNTIFS(tblAnalysis[Date],Q68))</f>
        <v/>
      </c>
      <c r="W68" s="27" t="str">
        <f t="shared" si="32"/>
        <v/>
      </c>
      <c r="X68" s="6" t="str">
        <f t="shared" si="33"/>
        <v/>
      </c>
      <c r="Y68" s="6" t="str">
        <f>IF(Q68="","",MAX(X68,_xlfn.MAXIFS(tblAnalysis[Cum P&amp;L SOL],tblAnalysis[Date],Q68)))</f>
        <v/>
      </c>
      <c r="Z68" s="6" t="str">
        <f>IF(Q68="","",MIN(X68,_xlfn.MINIFS(tblAnalysis[Cum P&amp;L SOL],tblAnalysis[Date],Q68)))</f>
        <v/>
      </c>
      <c r="AA68" s="6" t="str">
        <f t="shared" si="34"/>
        <v/>
      </c>
      <c r="AB68"/>
      <c r="AC68" s="27" t="str">
        <f t="shared" si="35"/>
        <v/>
      </c>
      <c r="AD68" s="10" t="str">
        <f t="shared" si="36"/>
        <v/>
      </c>
      <c r="AE68" s="10" t="str">
        <f t="shared" si="37"/>
        <v/>
      </c>
      <c r="AF68" s="10" t="str">
        <f t="shared" si="38"/>
        <v/>
      </c>
      <c r="AG68"/>
      <c r="AH68" t="str">
        <f t="shared" si="39"/>
        <v/>
      </c>
      <c r="AI68" t="str">
        <f t="shared" si="40"/>
        <v/>
      </c>
      <c r="AK68" cm="1">
        <f t="array" ref="AK68">IFERROR(IF(INDEX($A:$A,ROW())="","",INDEX($A:$A,ROW())),"")</f>
        <v>67</v>
      </c>
      <c r="AL68" t="str" cm="1">
        <f t="array" ref="AL68">IFERROR(INDEX(tblTrades[sol_invested],ROW()-1),"")</f>
        <v/>
      </c>
      <c r="AM68" s="6" t="str" cm="1">
        <f t="array" ref="AM68">IFERROR(INDEX(tblAnalysis[P&amp;L SOL],ROW()-1),"")</f>
        <v/>
      </c>
      <c r="AN68" t="str" cm="1">
        <f t="array" ref="AN68">IFERROR(IF(INDEX(tblTrades[sol_invested],ROW()-1)&gt;0.5,INDEX(tblAnalysis[Token],ROW()-1)&amp;" ("&amp;TEXT(INDEX(tblTrades[sol_invested],ROW()-1),"0.0")&amp;" SOL)",""),"")</f>
        <v/>
      </c>
      <c r="AO68" s="7" t="e" cm="1">
        <f t="array" ref="AO68">IF(INDEX(tblTrades[sol_invested],ROW()-1)&gt;0.5,INDEX(tblAnalysis[Cum P&amp;L SOL],ROW()-1),"")</f>
        <v>#REF!</v>
      </c>
      <c r="AP68" s="12" t="str" cm="1">
        <f t="array" ref="AP68">IFERROR(INDEX(tblAnalysis[Entry MC ($)],ROW()-1),"")</f>
        <v/>
      </c>
      <c r="AQ68" s="10" t="str" cm="1">
        <f t="array" ref="AQ68">IFERROR(INDEX(tblAnalysis[P&amp;L %],ROW()-1),"")</f>
        <v/>
      </c>
      <c r="AR68" t="str" cm="1">
        <f t="array" ref="AR68">IFERROR(INDEX(tblAnalysis[Hold Time (s)],ROW()-1),"")</f>
        <v/>
      </c>
      <c r="AS68" s="6" t="str" cm="1">
        <f t="array" ref="AS68">IFERROR(INDEX(tblAnalysis[P&amp;L SOL],ROW()-1),"")</f>
        <v/>
      </c>
      <c r="AT68"/>
      <c r="AY68" s="10"/>
      <c r="AZ68" s="10"/>
      <c r="BA68" s="6"/>
      <c r="BB68"/>
      <c r="BF68" t="str">
        <f t="shared" si="41"/>
        <v/>
      </c>
      <c r="BG68" s="27" t="str">
        <f t="shared" si="42"/>
        <v/>
      </c>
      <c r="BH68" t="str">
        <f t="shared" si="43"/>
        <v/>
      </c>
      <c r="BL68" s="29" t="e">
        <f t="shared" si="44"/>
        <v>#N/A</v>
      </c>
      <c r="BM68" s="29" t="e">
        <f t="shared" si="45"/>
        <v>#N/A</v>
      </c>
    </row>
    <row r="69" spans="1:65" x14ac:dyDescent="0.35">
      <c r="A69">
        <f t="shared" si="28"/>
        <v>68</v>
      </c>
      <c r="B69" t="e" cm="1">
        <f t="array" ref="B69">INDEX(tblTrades[token_name],ROW()-1)</f>
        <v>#REF!</v>
      </c>
      <c r="C69" s="27" t="e" cm="1">
        <f t="array" ref="C69">INDEX(tblTrades[entry_date],ROW()-1)</f>
        <v>#REF!</v>
      </c>
      <c r="D69" s="2" t="e" cm="1">
        <f t="array" ref="D69">INDEX(tblTrades[entry_mc_actual],ROW()-1)</f>
        <v>#REF!</v>
      </c>
      <c r="E69" s="2" t="e" cm="1">
        <f t="array" ref="E69">INDEX(tblTrades[exit_mc_actual],ROW()-1)</f>
        <v>#REF!</v>
      </c>
      <c r="F69" s="3" t="e" cm="1">
        <f t="array" ref="F69">INDEX(tblTrades[time_in_trade_seconds],ROW()-1)</f>
        <v>#REF!</v>
      </c>
      <c r="G69" s="4" t="str" cm="1">
        <f t="array" ref="G69">IFERROR(INDEX(tblTrades[pnl_percentage],ROW()-1)*1,"")</f>
        <v/>
      </c>
      <c r="H69" s="5" t="str" cm="1">
        <f t="array" ref="H69">IFERROR(INDEX(tblTrades[pnl_sol],ROW()-1)*1,"")</f>
        <v/>
      </c>
      <c r="I69" t="str">
        <f t="shared" si="29"/>
        <v/>
      </c>
      <c r="J69" t="str">
        <f t="shared" si="30"/>
        <v/>
      </c>
      <c r="K69" t="str">
        <f t="shared" si="31"/>
        <v/>
      </c>
      <c r="L69" s="20" t="str" cm="1">
        <f t="array" ref="L69">IFERROR(INDEX(tblTrades[sol_invested],ROW()-1),"")</f>
        <v/>
      </c>
      <c r="M69" s="1">
        <f>COUNTIFS(tblAnalysis[Token],tblAnalysis[[#This Row],[Token]])</f>
        <v>0</v>
      </c>
      <c r="N69" s="1">
        <f>COUNTIFS($B$2:B69,tblAnalysis[[#This Row],[Token]])</f>
        <v>0</v>
      </c>
      <c r="O69" s="5">
        <f>IFERROR(SUM($H$2:H69),"")</f>
        <v>0.40399999999999997</v>
      </c>
      <c r="P69" s="6"/>
      <c r="Q69" s="27"/>
      <c r="R69" s="6" t="str">
        <f>IF(Q69="","",SUMIFS(tblAnalysis[P&amp;L SOL],tblAnalysis[Date],Q69))</f>
        <v/>
      </c>
      <c r="S69" s="10" t="str">
        <f>IF(Q69="","",SUMIFS(tblAnalysis[P&amp;L %],tblAnalysis[Date],Q69))</f>
        <v/>
      </c>
      <c r="T69" s="6" t="str">
        <f>IF(Q69="","",IFERROR(SUM($R$2:R69),""))</f>
        <v/>
      </c>
      <c r="U69" t="str">
        <f>IF(Q69="","",COUNTIFS(tblAnalysis[Date],Q69))</f>
        <v/>
      </c>
      <c r="W69" s="27" t="str">
        <f t="shared" si="32"/>
        <v/>
      </c>
      <c r="X69" s="6" t="str">
        <f t="shared" si="33"/>
        <v/>
      </c>
      <c r="Y69" s="6" t="str">
        <f>IF(Q69="","",MAX(X69,_xlfn.MAXIFS(tblAnalysis[Cum P&amp;L SOL],tblAnalysis[Date],Q69)))</f>
        <v/>
      </c>
      <c r="Z69" s="6" t="str">
        <f>IF(Q69="","",MIN(X69,_xlfn.MINIFS(tblAnalysis[Cum P&amp;L SOL],tblAnalysis[Date],Q69)))</f>
        <v/>
      </c>
      <c r="AA69" s="6" t="str">
        <f t="shared" si="34"/>
        <v/>
      </c>
      <c r="AB69"/>
      <c r="AC69" s="27" t="str">
        <f t="shared" si="35"/>
        <v/>
      </c>
      <c r="AD69" s="10" t="str">
        <f t="shared" si="36"/>
        <v/>
      </c>
      <c r="AE69" s="10" t="str">
        <f t="shared" si="37"/>
        <v/>
      </c>
      <c r="AF69" s="10" t="str">
        <f t="shared" si="38"/>
        <v/>
      </c>
      <c r="AG69"/>
      <c r="AH69" t="str">
        <f t="shared" si="39"/>
        <v/>
      </c>
      <c r="AI69" t="str">
        <f t="shared" si="40"/>
        <v/>
      </c>
      <c r="AK69" cm="1">
        <f t="array" ref="AK69">IFERROR(IF(INDEX($A:$A,ROW())="","",INDEX($A:$A,ROW())),"")</f>
        <v>68</v>
      </c>
      <c r="AL69" t="str" cm="1">
        <f t="array" ref="AL69">IFERROR(INDEX(tblTrades[sol_invested],ROW()-1),"")</f>
        <v/>
      </c>
      <c r="AM69" s="6" t="str" cm="1">
        <f t="array" ref="AM69">IFERROR(INDEX(tblAnalysis[P&amp;L SOL],ROW()-1),"")</f>
        <v/>
      </c>
      <c r="AN69" t="str" cm="1">
        <f t="array" ref="AN69">IFERROR(IF(INDEX(tblTrades[sol_invested],ROW()-1)&gt;0.5,INDEX(tblAnalysis[Token],ROW()-1)&amp;" ("&amp;TEXT(INDEX(tblTrades[sol_invested],ROW()-1),"0.0")&amp;" SOL)",""),"")</f>
        <v/>
      </c>
      <c r="AO69" s="7" t="e" cm="1">
        <f t="array" ref="AO69">IF(INDEX(tblTrades[sol_invested],ROW()-1)&gt;0.5,INDEX(tblAnalysis[Cum P&amp;L SOL],ROW()-1),"")</f>
        <v>#REF!</v>
      </c>
      <c r="AP69" s="12" t="str" cm="1">
        <f t="array" ref="AP69">IFERROR(INDEX(tblAnalysis[Entry MC ($)],ROW()-1),"")</f>
        <v/>
      </c>
      <c r="AQ69" s="10" t="str" cm="1">
        <f t="array" ref="AQ69">IFERROR(INDEX(tblAnalysis[P&amp;L %],ROW()-1),"")</f>
        <v/>
      </c>
      <c r="AR69" t="str" cm="1">
        <f t="array" ref="AR69">IFERROR(INDEX(tblAnalysis[Hold Time (s)],ROW()-1),"")</f>
        <v/>
      </c>
      <c r="AS69" s="6" t="str" cm="1">
        <f t="array" ref="AS69">IFERROR(INDEX(tblAnalysis[P&amp;L SOL],ROW()-1),"")</f>
        <v/>
      </c>
      <c r="AT69"/>
      <c r="AY69" s="10"/>
      <c r="AZ69" s="10"/>
      <c r="BA69" s="6"/>
      <c r="BB69"/>
      <c r="BF69" t="str">
        <f t="shared" si="41"/>
        <v/>
      </c>
      <c r="BG69" s="27" t="str">
        <f t="shared" si="42"/>
        <v/>
      </c>
      <c r="BH69" t="str">
        <f t="shared" si="43"/>
        <v/>
      </c>
      <c r="BL69" s="29" t="e">
        <f t="shared" si="44"/>
        <v>#N/A</v>
      </c>
      <c r="BM69" s="29" t="e">
        <f t="shared" si="45"/>
        <v>#N/A</v>
      </c>
    </row>
    <row r="70" spans="1:65" x14ac:dyDescent="0.35">
      <c r="A70">
        <f t="shared" si="28"/>
        <v>69</v>
      </c>
      <c r="B70" t="e" cm="1">
        <f t="array" ref="B70">INDEX(tblTrades[token_name],ROW()-1)</f>
        <v>#REF!</v>
      </c>
      <c r="C70" s="27" t="e" cm="1">
        <f t="array" ref="C70">INDEX(tblTrades[entry_date],ROW()-1)</f>
        <v>#REF!</v>
      </c>
      <c r="D70" s="2" t="e" cm="1">
        <f t="array" ref="D70">INDEX(tblTrades[entry_mc_actual],ROW()-1)</f>
        <v>#REF!</v>
      </c>
      <c r="E70" s="2" t="e" cm="1">
        <f t="array" ref="E70">INDEX(tblTrades[exit_mc_actual],ROW()-1)</f>
        <v>#REF!</v>
      </c>
      <c r="F70" s="3" t="e" cm="1">
        <f t="array" ref="F70">INDEX(tblTrades[time_in_trade_seconds],ROW()-1)</f>
        <v>#REF!</v>
      </c>
      <c r="G70" s="4" t="str" cm="1">
        <f t="array" ref="G70">IFERROR(INDEX(tblTrades[pnl_percentage],ROW()-1)*1,"")</f>
        <v/>
      </c>
      <c r="H70" s="5" t="str" cm="1">
        <f t="array" ref="H70">IFERROR(INDEX(tblTrades[pnl_sol],ROW()-1)*1,"")</f>
        <v/>
      </c>
      <c r="I70" t="str">
        <f t="shared" si="29"/>
        <v/>
      </c>
      <c r="J70" t="str">
        <f t="shared" si="30"/>
        <v/>
      </c>
      <c r="K70" t="str">
        <f t="shared" si="31"/>
        <v/>
      </c>
      <c r="L70" s="20" t="str" cm="1">
        <f t="array" ref="L70">IFERROR(INDEX(tblTrades[sol_invested],ROW()-1),"")</f>
        <v/>
      </c>
      <c r="M70" s="1">
        <f>COUNTIFS(tblAnalysis[Token],tblAnalysis[[#This Row],[Token]])</f>
        <v>0</v>
      </c>
      <c r="N70" s="1">
        <f>COUNTIFS($B$2:B70,tblAnalysis[[#This Row],[Token]])</f>
        <v>0</v>
      </c>
      <c r="O70" s="5">
        <f>IFERROR(SUM($H$2:H70),"")</f>
        <v>0.40399999999999997</v>
      </c>
      <c r="P70" s="6"/>
      <c r="Q70" s="27"/>
      <c r="R70" s="6" t="str">
        <f>IF(Q70="","",SUMIFS(tblAnalysis[P&amp;L SOL],tblAnalysis[Date],Q70))</f>
        <v/>
      </c>
      <c r="S70" s="10" t="str">
        <f>IF(Q70="","",SUMIFS(tblAnalysis[P&amp;L %],tblAnalysis[Date],Q70))</f>
        <v/>
      </c>
      <c r="T70" s="6" t="str">
        <f>IF(Q70="","",IFERROR(SUM($R$2:R70),""))</f>
        <v/>
      </c>
      <c r="U70" t="str">
        <f>IF(Q70="","",COUNTIFS(tblAnalysis[Date],Q70))</f>
        <v/>
      </c>
      <c r="W70" s="27" t="str">
        <f t="shared" si="32"/>
        <v/>
      </c>
      <c r="X70" s="6" t="str">
        <f t="shared" si="33"/>
        <v/>
      </c>
      <c r="Y70" s="6" t="str">
        <f>IF(Q70="","",MAX(X70,_xlfn.MAXIFS(tblAnalysis[Cum P&amp;L SOL],tblAnalysis[Date],Q70)))</f>
        <v/>
      </c>
      <c r="Z70" s="6" t="str">
        <f>IF(Q70="","",MIN(X70,_xlfn.MINIFS(tblAnalysis[Cum P&amp;L SOL],tblAnalysis[Date],Q70)))</f>
        <v/>
      </c>
      <c r="AA70" s="6" t="str">
        <f t="shared" si="34"/>
        <v/>
      </c>
      <c r="AB70"/>
      <c r="AC70" s="27" t="str">
        <f t="shared" si="35"/>
        <v/>
      </c>
      <c r="AD70" s="10" t="str">
        <f t="shared" si="36"/>
        <v/>
      </c>
      <c r="AE70" s="10" t="str">
        <f t="shared" si="37"/>
        <v/>
      </c>
      <c r="AF70" s="10" t="str">
        <f t="shared" si="38"/>
        <v/>
      </c>
      <c r="AG70"/>
      <c r="AH70" t="str">
        <f t="shared" si="39"/>
        <v/>
      </c>
      <c r="AI70" t="str">
        <f t="shared" si="40"/>
        <v/>
      </c>
      <c r="AK70" cm="1">
        <f t="array" ref="AK70">IFERROR(IF(INDEX($A:$A,ROW())="","",INDEX($A:$A,ROW())),"")</f>
        <v>69</v>
      </c>
      <c r="AL70" t="str" cm="1">
        <f t="array" ref="AL70">IFERROR(INDEX(tblTrades[sol_invested],ROW()-1),"")</f>
        <v/>
      </c>
      <c r="AM70" s="6" t="str" cm="1">
        <f t="array" ref="AM70">IFERROR(INDEX(tblAnalysis[P&amp;L SOL],ROW()-1),"")</f>
        <v/>
      </c>
      <c r="AN70" t="str" cm="1">
        <f t="array" ref="AN70">IFERROR(IF(INDEX(tblTrades[sol_invested],ROW()-1)&gt;0.5,INDEX(tblAnalysis[Token],ROW()-1)&amp;" ("&amp;TEXT(INDEX(tblTrades[sol_invested],ROW()-1),"0.0")&amp;" SOL)",""),"")</f>
        <v/>
      </c>
      <c r="AO70" s="7" t="e" cm="1">
        <f t="array" ref="AO70">IF(INDEX(tblTrades[sol_invested],ROW()-1)&gt;0.5,INDEX(tblAnalysis[Cum P&amp;L SOL],ROW()-1),"")</f>
        <v>#REF!</v>
      </c>
      <c r="AP70" s="12" t="str" cm="1">
        <f t="array" ref="AP70">IFERROR(INDEX(tblAnalysis[Entry MC ($)],ROW()-1),"")</f>
        <v/>
      </c>
      <c r="AQ70" s="10" t="str" cm="1">
        <f t="array" ref="AQ70">IFERROR(INDEX(tblAnalysis[P&amp;L %],ROW()-1),"")</f>
        <v/>
      </c>
      <c r="AR70" t="str" cm="1">
        <f t="array" ref="AR70">IFERROR(INDEX(tblAnalysis[Hold Time (s)],ROW()-1),"")</f>
        <v/>
      </c>
      <c r="AS70" s="6" t="str" cm="1">
        <f t="array" ref="AS70">IFERROR(INDEX(tblAnalysis[P&amp;L SOL],ROW()-1),"")</f>
        <v/>
      </c>
      <c r="AT70"/>
      <c r="AY70" s="10"/>
      <c r="AZ70" s="10"/>
      <c r="BA70" s="6"/>
      <c r="BB70"/>
      <c r="BF70" t="str">
        <f t="shared" si="41"/>
        <v/>
      </c>
      <c r="BG70" s="27" t="str">
        <f t="shared" si="42"/>
        <v/>
      </c>
      <c r="BH70" t="str">
        <f t="shared" si="43"/>
        <v/>
      </c>
      <c r="BL70" s="29" t="e">
        <f t="shared" si="44"/>
        <v>#N/A</v>
      </c>
      <c r="BM70" s="29" t="e">
        <f t="shared" si="45"/>
        <v>#N/A</v>
      </c>
    </row>
    <row r="71" spans="1:65" x14ac:dyDescent="0.35">
      <c r="A71">
        <f t="shared" si="28"/>
        <v>70</v>
      </c>
      <c r="B71" t="e" cm="1">
        <f t="array" ref="B71">INDEX(tblTrades[token_name],ROW()-1)</f>
        <v>#REF!</v>
      </c>
      <c r="C71" s="27" t="e" cm="1">
        <f t="array" ref="C71">INDEX(tblTrades[entry_date],ROW()-1)</f>
        <v>#REF!</v>
      </c>
      <c r="D71" s="2" t="e" cm="1">
        <f t="array" ref="D71">INDEX(tblTrades[entry_mc_actual],ROW()-1)</f>
        <v>#REF!</v>
      </c>
      <c r="E71" s="2" t="e" cm="1">
        <f t="array" ref="E71">INDEX(tblTrades[exit_mc_actual],ROW()-1)</f>
        <v>#REF!</v>
      </c>
      <c r="F71" s="3" t="e" cm="1">
        <f t="array" ref="F71">INDEX(tblTrades[time_in_trade_seconds],ROW()-1)</f>
        <v>#REF!</v>
      </c>
      <c r="G71" s="4" t="str" cm="1">
        <f t="array" ref="G71">IFERROR(INDEX(tblTrades[pnl_percentage],ROW()-1)*1,"")</f>
        <v/>
      </c>
      <c r="H71" s="5" t="str" cm="1">
        <f t="array" ref="H71">IFERROR(INDEX(tblTrades[pnl_sol],ROW()-1)*1,"")</f>
        <v/>
      </c>
      <c r="I71" t="str">
        <f t="shared" si="29"/>
        <v/>
      </c>
      <c r="J71" t="str">
        <f t="shared" si="30"/>
        <v/>
      </c>
      <c r="K71" t="str">
        <f t="shared" si="31"/>
        <v/>
      </c>
      <c r="L71" s="20" t="str" cm="1">
        <f t="array" ref="L71">IFERROR(INDEX(tblTrades[sol_invested],ROW()-1),"")</f>
        <v/>
      </c>
      <c r="M71" s="1">
        <f>COUNTIFS(tblAnalysis[Token],tblAnalysis[[#This Row],[Token]])</f>
        <v>0</v>
      </c>
      <c r="N71" s="1">
        <f>COUNTIFS($B$2:B71,tblAnalysis[[#This Row],[Token]])</f>
        <v>0</v>
      </c>
      <c r="O71" s="5">
        <f>IFERROR(SUM($H$2:H71),"")</f>
        <v>0.40399999999999997</v>
      </c>
      <c r="P71" s="6"/>
      <c r="Q71" s="27"/>
      <c r="R71" s="6" t="str">
        <f>IF(Q71="","",SUMIFS(tblAnalysis[P&amp;L SOL],tblAnalysis[Date],Q71))</f>
        <v/>
      </c>
      <c r="S71" s="10" t="str">
        <f>IF(Q71="","",SUMIFS(tblAnalysis[P&amp;L %],tblAnalysis[Date],Q71))</f>
        <v/>
      </c>
      <c r="T71" s="6" t="str">
        <f>IF(Q71="","",IFERROR(SUM($R$2:R71),""))</f>
        <v/>
      </c>
      <c r="U71" t="str">
        <f>IF(Q71="","",COUNTIFS(tblAnalysis[Date],Q71))</f>
        <v/>
      </c>
      <c r="W71" s="27" t="str">
        <f t="shared" si="32"/>
        <v/>
      </c>
      <c r="X71" s="6" t="str">
        <f t="shared" si="33"/>
        <v/>
      </c>
      <c r="Y71" s="6" t="str">
        <f>IF(Q71="","",MAX(X71,_xlfn.MAXIFS(tblAnalysis[Cum P&amp;L SOL],tblAnalysis[Date],Q71)))</f>
        <v/>
      </c>
      <c r="Z71" s="6" t="str">
        <f>IF(Q71="","",MIN(X71,_xlfn.MINIFS(tblAnalysis[Cum P&amp;L SOL],tblAnalysis[Date],Q71)))</f>
        <v/>
      </c>
      <c r="AA71" s="6" t="str">
        <f t="shared" si="34"/>
        <v/>
      </c>
      <c r="AB71"/>
      <c r="AC71" s="27" t="str">
        <f t="shared" si="35"/>
        <v/>
      </c>
      <c r="AD71" s="10" t="str">
        <f t="shared" si="36"/>
        <v/>
      </c>
      <c r="AE71" s="10" t="str">
        <f t="shared" si="37"/>
        <v/>
      </c>
      <c r="AF71" s="10" t="str">
        <f t="shared" si="38"/>
        <v/>
      </c>
      <c r="AG71"/>
      <c r="AH71" t="str">
        <f t="shared" si="39"/>
        <v/>
      </c>
      <c r="AI71" t="str">
        <f t="shared" si="40"/>
        <v/>
      </c>
      <c r="AK71" cm="1">
        <f t="array" ref="AK71">IFERROR(IF(INDEX($A:$A,ROW())="","",INDEX($A:$A,ROW())),"")</f>
        <v>70</v>
      </c>
      <c r="AL71" t="str" cm="1">
        <f t="array" ref="AL71">IFERROR(INDEX(tblTrades[sol_invested],ROW()-1),"")</f>
        <v/>
      </c>
      <c r="AM71" s="6" t="str" cm="1">
        <f t="array" ref="AM71">IFERROR(INDEX(tblAnalysis[P&amp;L SOL],ROW()-1),"")</f>
        <v/>
      </c>
      <c r="AN71" t="str" cm="1">
        <f t="array" ref="AN71">IFERROR(IF(INDEX(tblTrades[sol_invested],ROW()-1)&gt;0.5,INDEX(tblAnalysis[Token],ROW()-1)&amp;" ("&amp;TEXT(INDEX(tblTrades[sol_invested],ROW()-1),"0.0")&amp;" SOL)",""),"")</f>
        <v/>
      </c>
      <c r="AO71" s="7" t="e" cm="1">
        <f t="array" ref="AO71">IF(INDEX(tblTrades[sol_invested],ROW()-1)&gt;0.5,INDEX(tblAnalysis[Cum P&amp;L SOL],ROW()-1),"")</f>
        <v>#REF!</v>
      </c>
      <c r="AP71" s="12" t="str" cm="1">
        <f t="array" ref="AP71">IFERROR(INDEX(tblAnalysis[Entry MC ($)],ROW()-1),"")</f>
        <v/>
      </c>
      <c r="AQ71" s="10" t="str" cm="1">
        <f t="array" ref="AQ71">IFERROR(INDEX(tblAnalysis[P&amp;L %],ROW()-1),"")</f>
        <v/>
      </c>
      <c r="AR71" t="str" cm="1">
        <f t="array" ref="AR71">IFERROR(INDEX(tblAnalysis[Hold Time (s)],ROW()-1),"")</f>
        <v/>
      </c>
      <c r="AS71" s="6" t="str" cm="1">
        <f t="array" ref="AS71">IFERROR(INDEX(tblAnalysis[P&amp;L SOL],ROW()-1),"")</f>
        <v/>
      </c>
      <c r="AT71"/>
      <c r="AY71" s="10"/>
      <c r="AZ71" s="10"/>
      <c r="BA71" s="6"/>
      <c r="BB71"/>
      <c r="BF71" t="str">
        <f t="shared" si="41"/>
        <v/>
      </c>
      <c r="BG71" s="27" t="str">
        <f t="shared" si="42"/>
        <v/>
      </c>
      <c r="BH71" t="str">
        <f t="shared" si="43"/>
        <v/>
      </c>
      <c r="BL71" s="29" t="e">
        <f t="shared" si="44"/>
        <v>#N/A</v>
      </c>
      <c r="BM71" s="29" t="e">
        <f t="shared" si="45"/>
        <v>#N/A</v>
      </c>
    </row>
    <row r="72" spans="1:65" x14ac:dyDescent="0.35">
      <c r="A72">
        <f t="shared" si="28"/>
        <v>71</v>
      </c>
      <c r="B72" t="e" cm="1">
        <f t="array" ref="B72">INDEX(tblTrades[token_name],ROW()-1)</f>
        <v>#REF!</v>
      </c>
      <c r="C72" s="27" t="e" cm="1">
        <f t="array" ref="C72">INDEX(tblTrades[entry_date],ROW()-1)</f>
        <v>#REF!</v>
      </c>
      <c r="D72" s="2" t="e" cm="1">
        <f t="array" ref="D72">INDEX(tblTrades[entry_mc_actual],ROW()-1)</f>
        <v>#REF!</v>
      </c>
      <c r="E72" s="2" t="e" cm="1">
        <f t="array" ref="E72">INDEX(tblTrades[exit_mc_actual],ROW()-1)</f>
        <v>#REF!</v>
      </c>
      <c r="F72" s="3" t="e" cm="1">
        <f t="array" ref="F72">INDEX(tblTrades[time_in_trade_seconds],ROW()-1)</f>
        <v>#REF!</v>
      </c>
      <c r="G72" s="4" t="str" cm="1">
        <f t="array" ref="G72">IFERROR(INDEX(tblTrades[pnl_percentage],ROW()-1)*1,"")</f>
        <v/>
      </c>
      <c r="H72" s="5" t="str" cm="1">
        <f t="array" ref="H72">IFERROR(INDEX(tblTrades[pnl_sol],ROW()-1)*1,"")</f>
        <v/>
      </c>
      <c r="I72" t="str">
        <f t="shared" si="29"/>
        <v/>
      </c>
      <c r="J72" t="str">
        <f t="shared" si="30"/>
        <v/>
      </c>
      <c r="K72" t="str">
        <f t="shared" si="31"/>
        <v/>
      </c>
      <c r="L72" s="20" t="str" cm="1">
        <f t="array" ref="L72">IFERROR(INDEX(tblTrades[sol_invested],ROW()-1),"")</f>
        <v/>
      </c>
      <c r="M72" s="1">
        <f>COUNTIFS(tblAnalysis[Token],tblAnalysis[[#This Row],[Token]])</f>
        <v>0</v>
      </c>
      <c r="N72" s="1">
        <f>COUNTIFS($B$2:B72,tblAnalysis[[#This Row],[Token]])</f>
        <v>0</v>
      </c>
      <c r="O72" s="5">
        <f>IFERROR(SUM($H$2:H72),"")</f>
        <v>0.40399999999999997</v>
      </c>
      <c r="P72" s="6"/>
      <c r="Q72" s="27"/>
      <c r="R72" s="6" t="str">
        <f>IF(Q72="","",SUMIFS(tblAnalysis[P&amp;L SOL],tblAnalysis[Date],Q72))</f>
        <v/>
      </c>
      <c r="S72" s="10" t="str">
        <f>IF(Q72="","",SUMIFS(tblAnalysis[P&amp;L %],tblAnalysis[Date],Q72))</f>
        <v/>
      </c>
      <c r="T72" s="6" t="str">
        <f>IF(Q72="","",IFERROR(SUM($R$2:R72),""))</f>
        <v/>
      </c>
      <c r="U72" t="str">
        <f>IF(Q72="","",COUNTIFS(tblAnalysis[Date],Q72))</f>
        <v/>
      </c>
      <c r="W72" s="27" t="str">
        <f t="shared" si="32"/>
        <v/>
      </c>
      <c r="X72" s="6" t="str">
        <f t="shared" si="33"/>
        <v/>
      </c>
      <c r="Y72" s="6" t="str">
        <f>IF(Q72="","",MAX(X72,_xlfn.MAXIFS(tblAnalysis[Cum P&amp;L SOL],tblAnalysis[Date],Q72)))</f>
        <v/>
      </c>
      <c r="Z72" s="6" t="str">
        <f>IF(Q72="","",MIN(X72,_xlfn.MINIFS(tblAnalysis[Cum P&amp;L SOL],tblAnalysis[Date],Q72)))</f>
        <v/>
      </c>
      <c r="AA72" s="6" t="str">
        <f t="shared" si="34"/>
        <v/>
      </c>
      <c r="AB72"/>
      <c r="AC72" s="27" t="str">
        <f t="shared" si="35"/>
        <v/>
      </c>
      <c r="AD72" s="10" t="str">
        <f t="shared" si="36"/>
        <v/>
      </c>
      <c r="AE72" s="10" t="str">
        <f t="shared" si="37"/>
        <v/>
      </c>
      <c r="AF72" s="10" t="str">
        <f t="shared" si="38"/>
        <v/>
      </c>
      <c r="AG72"/>
      <c r="AH72" t="str">
        <f t="shared" si="39"/>
        <v/>
      </c>
      <c r="AI72" t="str">
        <f t="shared" si="40"/>
        <v/>
      </c>
      <c r="AK72" cm="1">
        <f t="array" ref="AK72">IFERROR(IF(INDEX($A:$A,ROW())="","",INDEX($A:$A,ROW())),"")</f>
        <v>71</v>
      </c>
      <c r="AL72" t="str" cm="1">
        <f t="array" ref="AL72">IFERROR(INDEX(tblTrades[sol_invested],ROW()-1),"")</f>
        <v/>
      </c>
      <c r="AM72" s="6" t="str" cm="1">
        <f t="array" ref="AM72">IFERROR(INDEX(tblAnalysis[P&amp;L SOL],ROW()-1),"")</f>
        <v/>
      </c>
      <c r="AN72" t="str" cm="1">
        <f t="array" ref="AN72">IFERROR(IF(INDEX(tblTrades[sol_invested],ROW()-1)&gt;0.5,INDEX(tblAnalysis[Token],ROW()-1)&amp;" ("&amp;TEXT(INDEX(tblTrades[sol_invested],ROW()-1),"0.0")&amp;" SOL)",""),"")</f>
        <v/>
      </c>
      <c r="AO72" s="7" t="e" cm="1">
        <f t="array" ref="AO72">IF(INDEX(tblTrades[sol_invested],ROW()-1)&gt;0.5,INDEX(tblAnalysis[Cum P&amp;L SOL],ROW()-1),"")</f>
        <v>#REF!</v>
      </c>
      <c r="AP72" s="12" t="str" cm="1">
        <f t="array" ref="AP72">IFERROR(INDEX(tblAnalysis[Entry MC ($)],ROW()-1),"")</f>
        <v/>
      </c>
      <c r="AQ72" s="10" t="str" cm="1">
        <f t="array" ref="AQ72">IFERROR(INDEX(tblAnalysis[P&amp;L %],ROW()-1),"")</f>
        <v/>
      </c>
      <c r="AR72" t="str" cm="1">
        <f t="array" ref="AR72">IFERROR(INDEX(tblAnalysis[Hold Time (s)],ROW()-1),"")</f>
        <v/>
      </c>
      <c r="AS72" s="6" t="str" cm="1">
        <f t="array" ref="AS72">IFERROR(INDEX(tblAnalysis[P&amp;L SOL],ROW()-1),"")</f>
        <v/>
      </c>
      <c r="AT72"/>
      <c r="AY72" s="10"/>
      <c r="AZ72" s="10"/>
      <c r="BA72" s="6"/>
      <c r="BB72"/>
      <c r="BF72" t="str">
        <f t="shared" si="41"/>
        <v/>
      </c>
      <c r="BG72" s="27" t="str">
        <f t="shared" si="42"/>
        <v/>
      </c>
      <c r="BH72" t="str">
        <f t="shared" si="43"/>
        <v/>
      </c>
      <c r="BL72" s="29" t="e">
        <f t="shared" si="44"/>
        <v>#N/A</v>
      </c>
      <c r="BM72" s="29" t="e">
        <f t="shared" si="45"/>
        <v>#N/A</v>
      </c>
    </row>
    <row r="73" spans="1:65" x14ac:dyDescent="0.35">
      <c r="A73">
        <f t="shared" si="28"/>
        <v>72</v>
      </c>
      <c r="B73" t="e" cm="1">
        <f t="array" ref="B73">INDEX(tblTrades[token_name],ROW()-1)</f>
        <v>#REF!</v>
      </c>
      <c r="C73" s="27" t="e" cm="1">
        <f t="array" ref="C73">INDEX(tblTrades[entry_date],ROW()-1)</f>
        <v>#REF!</v>
      </c>
      <c r="D73" s="2" t="e" cm="1">
        <f t="array" ref="D73">INDEX(tblTrades[entry_mc_actual],ROW()-1)</f>
        <v>#REF!</v>
      </c>
      <c r="E73" s="2" t="e" cm="1">
        <f t="array" ref="E73">INDEX(tblTrades[exit_mc_actual],ROW()-1)</f>
        <v>#REF!</v>
      </c>
      <c r="F73" s="3" t="e" cm="1">
        <f t="array" ref="F73">INDEX(tblTrades[time_in_trade_seconds],ROW()-1)</f>
        <v>#REF!</v>
      </c>
      <c r="G73" s="4" t="str" cm="1">
        <f t="array" ref="G73">IFERROR(INDEX(tblTrades[pnl_percentage],ROW()-1)*1,"")</f>
        <v/>
      </c>
      <c r="H73" s="5" t="str" cm="1">
        <f t="array" ref="H73">IFERROR(INDEX(tblTrades[pnl_sol],ROW()-1)*1,"")</f>
        <v/>
      </c>
      <c r="I73" t="str">
        <f t="shared" si="29"/>
        <v/>
      </c>
      <c r="J73" t="str">
        <f t="shared" si="30"/>
        <v/>
      </c>
      <c r="K73" t="str">
        <f t="shared" si="31"/>
        <v/>
      </c>
      <c r="L73" s="20" t="str" cm="1">
        <f t="array" ref="L73">IFERROR(INDEX(tblTrades[sol_invested],ROW()-1),"")</f>
        <v/>
      </c>
      <c r="M73" s="1">
        <f>COUNTIFS(tblAnalysis[Token],tblAnalysis[[#This Row],[Token]])</f>
        <v>0</v>
      </c>
      <c r="N73" s="1">
        <f>COUNTIFS($B$2:B73,tblAnalysis[[#This Row],[Token]])</f>
        <v>0</v>
      </c>
      <c r="O73" s="5">
        <f>IFERROR(SUM($H$2:H73),"")</f>
        <v>0.40399999999999997</v>
      </c>
      <c r="P73" s="6"/>
      <c r="Q73" s="27"/>
      <c r="R73" s="6" t="str">
        <f>IF(Q73="","",SUMIFS(tblAnalysis[P&amp;L SOL],tblAnalysis[Date],Q73))</f>
        <v/>
      </c>
      <c r="S73" s="10" t="str">
        <f>IF(Q73="","",SUMIFS(tblAnalysis[P&amp;L %],tblAnalysis[Date],Q73))</f>
        <v/>
      </c>
      <c r="T73" s="6" t="str">
        <f>IF(Q73="","",IFERROR(SUM($R$2:R73),""))</f>
        <v/>
      </c>
      <c r="U73" t="str">
        <f>IF(Q73="","",COUNTIFS(tblAnalysis[Date],Q73))</f>
        <v/>
      </c>
      <c r="W73" s="27" t="str">
        <f t="shared" si="32"/>
        <v/>
      </c>
      <c r="X73" s="6" t="str">
        <f t="shared" si="33"/>
        <v/>
      </c>
      <c r="Y73" s="6" t="str">
        <f>IF(Q73="","",MAX(X73,_xlfn.MAXIFS(tblAnalysis[Cum P&amp;L SOL],tblAnalysis[Date],Q73)))</f>
        <v/>
      </c>
      <c r="Z73" s="6" t="str">
        <f>IF(Q73="","",MIN(X73,_xlfn.MINIFS(tblAnalysis[Cum P&amp;L SOL],tblAnalysis[Date],Q73)))</f>
        <v/>
      </c>
      <c r="AA73" s="6" t="str">
        <f t="shared" si="34"/>
        <v/>
      </c>
      <c r="AB73"/>
      <c r="AC73" s="27" t="str">
        <f t="shared" si="35"/>
        <v/>
      </c>
      <c r="AD73" s="10" t="str">
        <f t="shared" si="36"/>
        <v/>
      </c>
      <c r="AE73" s="10" t="str">
        <f t="shared" si="37"/>
        <v/>
      </c>
      <c r="AF73" s="10" t="str">
        <f t="shared" si="38"/>
        <v/>
      </c>
      <c r="AG73"/>
      <c r="AH73" t="str">
        <f t="shared" si="39"/>
        <v/>
      </c>
      <c r="AI73" t="str">
        <f t="shared" si="40"/>
        <v/>
      </c>
      <c r="AK73" cm="1">
        <f t="array" ref="AK73">IFERROR(IF(INDEX($A:$A,ROW())="","",INDEX($A:$A,ROW())),"")</f>
        <v>72</v>
      </c>
      <c r="AL73" t="str" cm="1">
        <f t="array" ref="AL73">IFERROR(INDEX(tblTrades[sol_invested],ROW()-1),"")</f>
        <v/>
      </c>
      <c r="AM73" s="6" t="str" cm="1">
        <f t="array" ref="AM73">IFERROR(INDEX(tblAnalysis[P&amp;L SOL],ROW()-1),"")</f>
        <v/>
      </c>
      <c r="AN73" t="str" cm="1">
        <f t="array" ref="AN73">IFERROR(IF(INDEX(tblTrades[sol_invested],ROW()-1)&gt;0.5,INDEX(tblAnalysis[Token],ROW()-1)&amp;" ("&amp;TEXT(INDEX(tblTrades[sol_invested],ROW()-1),"0.0")&amp;" SOL)",""),"")</f>
        <v/>
      </c>
      <c r="AO73" s="7" t="e" cm="1">
        <f t="array" ref="AO73">IF(INDEX(tblTrades[sol_invested],ROW()-1)&gt;0.5,INDEX(tblAnalysis[Cum P&amp;L SOL],ROW()-1),"")</f>
        <v>#REF!</v>
      </c>
      <c r="AP73" s="12" t="str" cm="1">
        <f t="array" ref="AP73">IFERROR(INDEX(tblAnalysis[Entry MC ($)],ROW()-1),"")</f>
        <v/>
      </c>
      <c r="AQ73" s="10" t="str" cm="1">
        <f t="array" ref="AQ73">IFERROR(INDEX(tblAnalysis[P&amp;L %],ROW()-1),"")</f>
        <v/>
      </c>
      <c r="AR73" t="str" cm="1">
        <f t="array" ref="AR73">IFERROR(INDEX(tblAnalysis[Hold Time (s)],ROW()-1),"")</f>
        <v/>
      </c>
      <c r="AS73" s="6" t="str" cm="1">
        <f t="array" ref="AS73">IFERROR(INDEX(tblAnalysis[P&amp;L SOL],ROW()-1),"")</f>
        <v/>
      </c>
      <c r="AT73"/>
      <c r="AY73" s="10"/>
      <c r="AZ73" s="10"/>
      <c r="BA73" s="6"/>
      <c r="BB73"/>
      <c r="BF73" t="str">
        <f t="shared" si="41"/>
        <v/>
      </c>
      <c r="BG73" s="27" t="str">
        <f t="shared" si="42"/>
        <v/>
      </c>
      <c r="BH73" t="str">
        <f t="shared" si="43"/>
        <v/>
      </c>
      <c r="BL73" s="29" t="e">
        <f t="shared" si="44"/>
        <v>#N/A</v>
      </c>
      <c r="BM73" s="29" t="e">
        <f t="shared" si="45"/>
        <v>#N/A</v>
      </c>
    </row>
    <row r="74" spans="1:65" x14ac:dyDescent="0.35">
      <c r="A74">
        <f t="shared" si="28"/>
        <v>73</v>
      </c>
      <c r="B74" t="e" cm="1">
        <f t="array" ref="B74">INDEX(tblTrades[token_name],ROW()-1)</f>
        <v>#REF!</v>
      </c>
      <c r="C74" s="27" t="e" cm="1">
        <f t="array" ref="C74">INDEX(tblTrades[entry_date],ROW()-1)</f>
        <v>#REF!</v>
      </c>
      <c r="D74" s="2" t="e" cm="1">
        <f t="array" ref="D74">INDEX(tblTrades[entry_mc_actual],ROW()-1)</f>
        <v>#REF!</v>
      </c>
      <c r="E74" s="2" t="e" cm="1">
        <f t="array" ref="E74">INDEX(tblTrades[exit_mc_actual],ROW()-1)</f>
        <v>#REF!</v>
      </c>
      <c r="F74" s="3" t="e" cm="1">
        <f t="array" ref="F74">INDEX(tblTrades[time_in_trade_seconds],ROW()-1)</f>
        <v>#REF!</v>
      </c>
      <c r="G74" s="4" t="str" cm="1">
        <f t="array" ref="G74">IFERROR(INDEX(tblTrades[pnl_percentage],ROW()-1)*1,"")</f>
        <v/>
      </c>
      <c r="H74" s="5" t="str" cm="1">
        <f t="array" ref="H74">IFERROR(INDEX(tblTrades[pnl_sol],ROW()-1)*1,"")</f>
        <v/>
      </c>
      <c r="I74" t="str">
        <f t="shared" si="29"/>
        <v/>
      </c>
      <c r="J74" t="str">
        <f t="shared" si="30"/>
        <v/>
      </c>
      <c r="K74" t="str">
        <f t="shared" si="31"/>
        <v/>
      </c>
      <c r="L74" s="20" t="str" cm="1">
        <f t="array" ref="L74">IFERROR(INDEX(tblTrades[sol_invested],ROW()-1),"")</f>
        <v/>
      </c>
      <c r="M74" s="1">
        <f>COUNTIFS(tblAnalysis[Token],tblAnalysis[[#This Row],[Token]])</f>
        <v>0</v>
      </c>
      <c r="N74" s="1">
        <f>COUNTIFS($B$2:B74,tblAnalysis[[#This Row],[Token]])</f>
        <v>0</v>
      </c>
      <c r="O74" s="5">
        <f>IFERROR(SUM($H$2:H74),"")</f>
        <v>0.40399999999999997</v>
      </c>
      <c r="P74" s="6"/>
      <c r="Q74" s="27"/>
      <c r="R74" s="6" t="str">
        <f>IF(Q74="","",SUMIFS(tblAnalysis[P&amp;L SOL],tblAnalysis[Date],Q74))</f>
        <v/>
      </c>
      <c r="S74" s="10" t="str">
        <f>IF(Q74="","",SUMIFS(tblAnalysis[P&amp;L %],tblAnalysis[Date],Q74))</f>
        <v/>
      </c>
      <c r="T74" s="6" t="str">
        <f>IF(Q74="","",IFERROR(SUM($R$2:R74),""))</f>
        <v/>
      </c>
      <c r="U74" t="str">
        <f>IF(Q74="","",COUNTIFS(tblAnalysis[Date],Q74))</f>
        <v/>
      </c>
      <c r="W74" s="27" t="str">
        <f t="shared" si="32"/>
        <v/>
      </c>
      <c r="X74" s="6" t="str">
        <f t="shared" si="33"/>
        <v/>
      </c>
      <c r="Y74" s="6" t="str">
        <f>IF(Q74="","",MAX(X74,_xlfn.MAXIFS(tblAnalysis[Cum P&amp;L SOL],tblAnalysis[Date],Q74)))</f>
        <v/>
      </c>
      <c r="Z74" s="6" t="str">
        <f>IF(Q74="","",MIN(X74,_xlfn.MINIFS(tblAnalysis[Cum P&amp;L SOL],tblAnalysis[Date],Q74)))</f>
        <v/>
      </c>
      <c r="AA74" s="6" t="str">
        <f t="shared" si="34"/>
        <v/>
      </c>
      <c r="AB74"/>
      <c r="AC74" s="27" t="str">
        <f t="shared" si="35"/>
        <v/>
      </c>
      <c r="AD74" s="10" t="str">
        <f t="shared" si="36"/>
        <v/>
      </c>
      <c r="AE74" s="10" t="str">
        <f t="shared" si="37"/>
        <v/>
      </c>
      <c r="AF74" s="10" t="str">
        <f t="shared" si="38"/>
        <v/>
      </c>
      <c r="AG74"/>
      <c r="AH74" t="str">
        <f t="shared" si="39"/>
        <v/>
      </c>
      <c r="AI74" t="str">
        <f t="shared" si="40"/>
        <v/>
      </c>
      <c r="AK74" cm="1">
        <f t="array" ref="AK74">IFERROR(IF(INDEX($A:$A,ROW())="","",INDEX($A:$A,ROW())),"")</f>
        <v>73</v>
      </c>
      <c r="AL74" t="str" cm="1">
        <f t="array" ref="AL74">IFERROR(INDEX(tblTrades[sol_invested],ROW()-1),"")</f>
        <v/>
      </c>
      <c r="AM74" s="6" t="str" cm="1">
        <f t="array" ref="AM74">IFERROR(INDEX(tblAnalysis[P&amp;L SOL],ROW()-1),"")</f>
        <v/>
      </c>
      <c r="AN74" t="str" cm="1">
        <f t="array" ref="AN74">IFERROR(IF(INDEX(tblTrades[sol_invested],ROW()-1)&gt;0.5,INDEX(tblAnalysis[Token],ROW()-1)&amp;" ("&amp;TEXT(INDEX(tblTrades[sol_invested],ROW()-1),"0.0")&amp;" SOL)",""),"")</f>
        <v/>
      </c>
      <c r="AO74" s="7" t="e" cm="1">
        <f t="array" ref="AO74">IF(INDEX(tblTrades[sol_invested],ROW()-1)&gt;0.5,INDEX(tblAnalysis[Cum P&amp;L SOL],ROW()-1),"")</f>
        <v>#REF!</v>
      </c>
      <c r="AP74" s="12" t="str" cm="1">
        <f t="array" ref="AP74">IFERROR(INDEX(tblAnalysis[Entry MC ($)],ROW()-1),"")</f>
        <v/>
      </c>
      <c r="AQ74" s="10" t="str" cm="1">
        <f t="array" ref="AQ74">IFERROR(INDEX(tblAnalysis[P&amp;L %],ROW()-1),"")</f>
        <v/>
      </c>
      <c r="AR74" t="str" cm="1">
        <f t="array" ref="AR74">IFERROR(INDEX(tblAnalysis[Hold Time (s)],ROW()-1),"")</f>
        <v/>
      </c>
      <c r="AS74" s="6" t="str" cm="1">
        <f t="array" ref="AS74">IFERROR(INDEX(tblAnalysis[P&amp;L SOL],ROW()-1),"")</f>
        <v/>
      </c>
      <c r="AT74"/>
      <c r="AY74" s="10"/>
      <c r="AZ74" s="10"/>
      <c r="BA74" s="6"/>
      <c r="BB74"/>
      <c r="BF74" t="str">
        <f t="shared" si="41"/>
        <v/>
      </c>
      <c r="BG74" s="27" t="str">
        <f t="shared" si="42"/>
        <v/>
      </c>
      <c r="BH74" t="str">
        <f t="shared" si="43"/>
        <v/>
      </c>
      <c r="BL74" s="29" t="e">
        <f t="shared" si="44"/>
        <v>#N/A</v>
      </c>
      <c r="BM74" s="29" t="e">
        <f t="shared" si="45"/>
        <v>#N/A</v>
      </c>
    </row>
    <row r="75" spans="1:65" x14ac:dyDescent="0.35">
      <c r="A75">
        <f t="shared" si="28"/>
        <v>74</v>
      </c>
      <c r="B75" t="e" cm="1">
        <f t="array" ref="B75">INDEX(tblTrades[token_name],ROW()-1)</f>
        <v>#REF!</v>
      </c>
      <c r="C75" s="27" t="e" cm="1">
        <f t="array" ref="C75">INDEX(tblTrades[entry_date],ROW()-1)</f>
        <v>#REF!</v>
      </c>
      <c r="D75" s="2" t="e" cm="1">
        <f t="array" ref="D75">INDEX(tblTrades[entry_mc_actual],ROW()-1)</f>
        <v>#REF!</v>
      </c>
      <c r="E75" s="2" t="e" cm="1">
        <f t="array" ref="E75">INDEX(tblTrades[exit_mc_actual],ROW()-1)</f>
        <v>#REF!</v>
      </c>
      <c r="F75" s="3" t="e" cm="1">
        <f t="array" ref="F75">INDEX(tblTrades[time_in_trade_seconds],ROW()-1)</f>
        <v>#REF!</v>
      </c>
      <c r="G75" s="4" t="str" cm="1">
        <f t="array" ref="G75">IFERROR(INDEX(tblTrades[pnl_percentage],ROW()-1)*1,"")</f>
        <v/>
      </c>
      <c r="H75" s="5" t="str" cm="1">
        <f t="array" ref="H75">IFERROR(INDEX(tblTrades[pnl_sol],ROW()-1)*1,"")</f>
        <v/>
      </c>
      <c r="I75" t="str">
        <f t="shared" si="29"/>
        <v/>
      </c>
      <c r="J75" t="str">
        <f t="shared" si="30"/>
        <v/>
      </c>
      <c r="K75" t="str">
        <f t="shared" si="31"/>
        <v/>
      </c>
      <c r="L75" s="20" t="str" cm="1">
        <f t="array" ref="L75">IFERROR(INDEX(tblTrades[sol_invested],ROW()-1),"")</f>
        <v/>
      </c>
      <c r="M75" s="1">
        <f>COUNTIFS(tblAnalysis[Token],tblAnalysis[[#This Row],[Token]])</f>
        <v>0</v>
      </c>
      <c r="N75" s="1">
        <f>COUNTIFS($B$2:B75,tblAnalysis[[#This Row],[Token]])</f>
        <v>0</v>
      </c>
      <c r="O75" s="5">
        <f>IFERROR(SUM($H$2:H75),"")</f>
        <v>0.40399999999999997</v>
      </c>
      <c r="P75" s="6"/>
      <c r="Q75" s="27"/>
      <c r="R75" s="6" t="str">
        <f>IF(Q75="","",SUMIFS(tblAnalysis[P&amp;L SOL],tblAnalysis[Date],Q75))</f>
        <v/>
      </c>
      <c r="S75" s="10" t="str">
        <f>IF(Q75="","",SUMIFS(tblAnalysis[P&amp;L %],tblAnalysis[Date],Q75))</f>
        <v/>
      </c>
      <c r="T75" s="6" t="str">
        <f>IF(Q75="","",IFERROR(SUM($R$2:R75),""))</f>
        <v/>
      </c>
      <c r="U75" t="str">
        <f>IF(Q75="","",COUNTIFS(tblAnalysis[Date],Q75))</f>
        <v/>
      </c>
      <c r="W75" s="27" t="str">
        <f t="shared" si="32"/>
        <v/>
      </c>
      <c r="X75" s="6" t="str">
        <f t="shared" si="33"/>
        <v/>
      </c>
      <c r="Y75" s="6" t="str">
        <f>IF(Q75="","",MAX(X75,_xlfn.MAXIFS(tblAnalysis[Cum P&amp;L SOL],tblAnalysis[Date],Q75)))</f>
        <v/>
      </c>
      <c r="Z75" s="6" t="str">
        <f>IF(Q75="","",MIN(X75,_xlfn.MINIFS(tblAnalysis[Cum P&amp;L SOL],tblAnalysis[Date],Q75)))</f>
        <v/>
      </c>
      <c r="AA75" s="6" t="str">
        <f t="shared" si="34"/>
        <v/>
      </c>
      <c r="AB75"/>
      <c r="AC75" s="27" t="str">
        <f t="shared" si="35"/>
        <v/>
      </c>
      <c r="AD75" s="10" t="str">
        <f t="shared" si="36"/>
        <v/>
      </c>
      <c r="AE75" s="10" t="str">
        <f t="shared" si="37"/>
        <v/>
      </c>
      <c r="AF75" s="10" t="str">
        <f t="shared" si="38"/>
        <v/>
      </c>
      <c r="AG75"/>
      <c r="AH75" t="str">
        <f t="shared" si="39"/>
        <v/>
      </c>
      <c r="AI75" t="str">
        <f t="shared" si="40"/>
        <v/>
      </c>
      <c r="AK75" cm="1">
        <f t="array" ref="AK75">IFERROR(IF(INDEX($A:$A,ROW())="","",INDEX($A:$A,ROW())),"")</f>
        <v>74</v>
      </c>
      <c r="AL75" t="str" cm="1">
        <f t="array" ref="AL75">IFERROR(INDEX(tblTrades[sol_invested],ROW()-1),"")</f>
        <v/>
      </c>
      <c r="AM75" s="6" t="str" cm="1">
        <f t="array" ref="AM75">IFERROR(INDEX(tblAnalysis[P&amp;L SOL],ROW()-1),"")</f>
        <v/>
      </c>
      <c r="AN75" t="str" cm="1">
        <f t="array" ref="AN75">IFERROR(IF(INDEX(tblTrades[sol_invested],ROW()-1)&gt;0.5,INDEX(tblAnalysis[Token],ROW()-1)&amp;" ("&amp;TEXT(INDEX(tblTrades[sol_invested],ROW()-1),"0.0")&amp;" SOL)",""),"")</f>
        <v/>
      </c>
      <c r="AO75" s="7" t="e" cm="1">
        <f t="array" ref="AO75">IF(INDEX(tblTrades[sol_invested],ROW()-1)&gt;0.5,INDEX(tblAnalysis[Cum P&amp;L SOL],ROW()-1),"")</f>
        <v>#REF!</v>
      </c>
      <c r="AP75" s="12" t="str" cm="1">
        <f t="array" ref="AP75">IFERROR(INDEX(tblAnalysis[Entry MC ($)],ROW()-1),"")</f>
        <v/>
      </c>
      <c r="AQ75" s="10" t="str" cm="1">
        <f t="array" ref="AQ75">IFERROR(INDEX(tblAnalysis[P&amp;L %],ROW()-1),"")</f>
        <v/>
      </c>
      <c r="AR75" t="str" cm="1">
        <f t="array" ref="AR75">IFERROR(INDEX(tblAnalysis[Hold Time (s)],ROW()-1),"")</f>
        <v/>
      </c>
      <c r="AS75" s="6" t="str" cm="1">
        <f t="array" ref="AS75">IFERROR(INDEX(tblAnalysis[P&amp;L SOL],ROW()-1),"")</f>
        <v/>
      </c>
      <c r="AT75"/>
      <c r="AY75" s="10"/>
      <c r="AZ75" s="10"/>
      <c r="BA75" s="6"/>
      <c r="BB75"/>
      <c r="BF75" t="str">
        <f t="shared" si="41"/>
        <v/>
      </c>
      <c r="BG75" s="27" t="str">
        <f t="shared" si="42"/>
        <v/>
      </c>
      <c r="BH75" t="str">
        <f t="shared" si="43"/>
        <v/>
      </c>
      <c r="BL75" s="29" t="e">
        <f t="shared" si="44"/>
        <v>#N/A</v>
      </c>
      <c r="BM75" s="29" t="e">
        <f t="shared" si="45"/>
        <v>#N/A</v>
      </c>
    </row>
    <row r="76" spans="1:65" x14ac:dyDescent="0.35">
      <c r="A76">
        <f t="shared" si="28"/>
        <v>75</v>
      </c>
      <c r="B76" t="e" cm="1">
        <f t="array" ref="B76">INDEX(tblTrades[token_name],ROW()-1)</f>
        <v>#REF!</v>
      </c>
      <c r="C76" s="27" t="e" cm="1">
        <f t="array" ref="C76">INDEX(tblTrades[entry_date],ROW()-1)</f>
        <v>#REF!</v>
      </c>
      <c r="D76" s="2" t="e" cm="1">
        <f t="array" ref="D76">INDEX(tblTrades[entry_mc_actual],ROW()-1)</f>
        <v>#REF!</v>
      </c>
      <c r="E76" s="2" t="e" cm="1">
        <f t="array" ref="E76">INDEX(tblTrades[exit_mc_actual],ROW()-1)</f>
        <v>#REF!</v>
      </c>
      <c r="F76" s="3" t="e" cm="1">
        <f t="array" ref="F76">INDEX(tblTrades[time_in_trade_seconds],ROW()-1)</f>
        <v>#REF!</v>
      </c>
      <c r="G76" s="4" t="str" cm="1">
        <f t="array" ref="G76">IFERROR(INDEX(tblTrades[pnl_percentage],ROW()-1)*1,"")</f>
        <v/>
      </c>
      <c r="H76" s="5" t="str" cm="1">
        <f t="array" ref="H76">IFERROR(INDEX(tblTrades[pnl_sol],ROW()-1)*1,"")</f>
        <v/>
      </c>
      <c r="I76" t="str">
        <f t="shared" si="29"/>
        <v/>
      </c>
      <c r="J76" t="str">
        <f t="shared" si="30"/>
        <v/>
      </c>
      <c r="K76" t="str">
        <f t="shared" si="31"/>
        <v/>
      </c>
      <c r="L76" s="20" t="str" cm="1">
        <f t="array" ref="L76">IFERROR(INDEX(tblTrades[sol_invested],ROW()-1),"")</f>
        <v/>
      </c>
      <c r="M76" s="1">
        <f>COUNTIFS(tblAnalysis[Token],tblAnalysis[[#This Row],[Token]])</f>
        <v>0</v>
      </c>
      <c r="N76" s="1">
        <f>COUNTIFS($B$2:B76,tblAnalysis[[#This Row],[Token]])</f>
        <v>0</v>
      </c>
      <c r="O76" s="5">
        <f>IFERROR(SUM($H$2:H76),"")</f>
        <v>0.40399999999999997</v>
      </c>
      <c r="P76" s="6"/>
      <c r="Q76" s="27"/>
      <c r="R76" s="6" t="str">
        <f>IF(Q76="","",SUMIFS(tblAnalysis[P&amp;L SOL],tblAnalysis[Date],Q76))</f>
        <v/>
      </c>
      <c r="S76" s="10" t="str">
        <f>IF(Q76="","",SUMIFS(tblAnalysis[P&amp;L %],tblAnalysis[Date],Q76))</f>
        <v/>
      </c>
      <c r="T76" s="6" t="str">
        <f>IF(Q76="","",IFERROR(SUM($R$2:R76),""))</f>
        <v/>
      </c>
      <c r="U76" t="str">
        <f>IF(Q76="","",COUNTIFS(tblAnalysis[Date],Q76))</f>
        <v/>
      </c>
      <c r="W76" s="27" t="str">
        <f t="shared" si="32"/>
        <v/>
      </c>
      <c r="X76" s="6" t="str">
        <f t="shared" si="33"/>
        <v/>
      </c>
      <c r="Y76" s="6" t="str">
        <f>IF(Q76="","",MAX(X76,_xlfn.MAXIFS(tblAnalysis[Cum P&amp;L SOL],tblAnalysis[Date],Q76)))</f>
        <v/>
      </c>
      <c r="Z76" s="6" t="str">
        <f>IF(Q76="","",MIN(X76,_xlfn.MINIFS(tblAnalysis[Cum P&amp;L SOL],tblAnalysis[Date],Q76)))</f>
        <v/>
      </c>
      <c r="AA76" s="6" t="str">
        <f t="shared" si="34"/>
        <v/>
      </c>
      <c r="AB76"/>
      <c r="AC76" s="27" t="str">
        <f t="shared" si="35"/>
        <v/>
      </c>
      <c r="AD76" s="10" t="str">
        <f t="shared" si="36"/>
        <v/>
      </c>
      <c r="AE76" s="10" t="str">
        <f t="shared" si="37"/>
        <v/>
      </c>
      <c r="AF76" s="10" t="str">
        <f t="shared" si="38"/>
        <v/>
      </c>
      <c r="AG76"/>
      <c r="AH76" t="str">
        <f t="shared" si="39"/>
        <v/>
      </c>
      <c r="AI76" t="str">
        <f t="shared" si="40"/>
        <v/>
      </c>
      <c r="AK76" cm="1">
        <f t="array" ref="AK76">IFERROR(IF(INDEX($A:$A,ROW())="","",INDEX($A:$A,ROW())),"")</f>
        <v>75</v>
      </c>
      <c r="AL76" t="str" cm="1">
        <f t="array" ref="AL76">IFERROR(INDEX(tblTrades[sol_invested],ROW()-1),"")</f>
        <v/>
      </c>
      <c r="AM76" s="6" t="str" cm="1">
        <f t="array" ref="AM76">IFERROR(INDEX(tblAnalysis[P&amp;L SOL],ROW()-1),"")</f>
        <v/>
      </c>
      <c r="AN76" t="str" cm="1">
        <f t="array" ref="AN76">IFERROR(IF(INDEX(tblTrades[sol_invested],ROW()-1)&gt;0.5,INDEX(tblAnalysis[Token],ROW()-1)&amp;" ("&amp;TEXT(INDEX(tblTrades[sol_invested],ROW()-1),"0.0")&amp;" SOL)",""),"")</f>
        <v/>
      </c>
      <c r="AO76" s="7" t="e" cm="1">
        <f t="array" ref="AO76">IF(INDEX(tblTrades[sol_invested],ROW()-1)&gt;0.5,INDEX(tblAnalysis[Cum P&amp;L SOL],ROW()-1),"")</f>
        <v>#REF!</v>
      </c>
      <c r="AP76" s="12" t="str" cm="1">
        <f t="array" ref="AP76">IFERROR(INDEX(tblAnalysis[Entry MC ($)],ROW()-1),"")</f>
        <v/>
      </c>
      <c r="AQ76" s="10" t="str" cm="1">
        <f t="array" ref="AQ76">IFERROR(INDEX(tblAnalysis[P&amp;L %],ROW()-1),"")</f>
        <v/>
      </c>
      <c r="AR76" t="str" cm="1">
        <f t="array" ref="AR76">IFERROR(INDEX(tblAnalysis[Hold Time (s)],ROW()-1),"")</f>
        <v/>
      </c>
      <c r="AS76" s="6" t="str" cm="1">
        <f t="array" ref="AS76">IFERROR(INDEX(tblAnalysis[P&amp;L SOL],ROW()-1),"")</f>
        <v/>
      </c>
      <c r="AT76"/>
      <c r="AY76" s="10"/>
      <c r="AZ76" s="10"/>
      <c r="BA76" s="6"/>
      <c r="BB76"/>
      <c r="BF76" t="str">
        <f t="shared" si="41"/>
        <v/>
      </c>
      <c r="BG76" s="27" t="str">
        <f t="shared" si="42"/>
        <v/>
      </c>
      <c r="BH76" t="str">
        <f t="shared" si="43"/>
        <v/>
      </c>
      <c r="BL76" s="29" t="e">
        <f t="shared" si="44"/>
        <v>#N/A</v>
      </c>
      <c r="BM76" s="29" t="e">
        <f t="shared" si="45"/>
        <v>#N/A</v>
      </c>
    </row>
    <row r="77" spans="1:65" x14ac:dyDescent="0.35">
      <c r="A77">
        <f t="shared" si="28"/>
        <v>76</v>
      </c>
      <c r="B77" t="e" cm="1">
        <f t="array" ref="B77">INDEX(tblTrades[token_name],ROW()-1)</f>
        <v>#REF!</v>
      </c>
      <c r="C77" s="27" t="e" cm="1">
        <f t="array" ref="C77">INDEX(tblTrades[entry_date],ROW()-1)</f>
        <v>#REF!</v>
      </c>
      <c r="D77" s="2" t="e" cm="1">
        <f t="array" ref="D77">INDEX(tblTrades[entry_mc_actual],ROW()-1)</f>
        <v>#REF!</v>
      </c>
      <c r="E77" s="2" t="e" cm="1">
        <f t="array" ref="E77">INDEX(tblTrades[exit_mc_actual],ROW()-1)</f>
        <v>#REF!</v>
      </c>
      <c r="F77" s="3" t="e" cm="1">
        <f t="array" ref="F77">INDEX(tblTrades[time_in_trade_seconds],ROW()-1)</f>
        <v>#REF!</v>
      </c>
      <c r="G77" s="4" t="str" cm="1">
        <f t="array" ref="G77">IFERROR(INDEX(tblTrades[pnl_percentage],ROW()-1)*1,"")</f>
        <v/>
      </c>
      <c r="H77" s="5" t="str" cm="1">
        <f t="array" ref="H77">IFERROR(INDEX(tblTrades[pnl_sol],ROW()-1)*1,"")</f>
        <v/>
      </c>
      <c r="I77" t="str">
        <f t="shared" si="29"/>
        <v/>
      </c>
      <c r="J77" t="str">
        <f t="shared" si="30"/>
        <v/>
      </c>
      <c r="K77" t="str">
        <f t="shared" si="31"/>
        <v/>
      </c>
      <c r="L77" s="20" t="str" cm="1">
        <f t="array" ref="L77">IFERROR(INDEX(tblTrades[sol_invested],ROW()-1),"")</f>
        <v/>
      </c>
      <c r="M77" s="1">
        <f>COUNTIFS(tblAnalysis[Token],tblAnalysis[[#This Row],[Token]])</f>
        <v>0</v>
      </c>
      <c r="N77" s="1">
        <f>COUNTIFS($B$2:B77,tblAnalysis[[#This Row],[Token]])</f>
        <v>0</v>
      </c>
      <c r="O77" s="5">
        <f>IFERROR(SUM($H$2:H77),"")</f>
        <v>0.40399999999999997</v>
      </c>
      <c r="P77" s="6"/>
      <c r="Q77" s="27"/>
      <c r="R77" s="6" t="str">
        <f>IF(Q77="","",SUMIFS(tblAnalysis[P&amp;L SOL],tblAnalysis[Date],Q77))</f>
        <v/>
      </c>
      <c r="S77" s="10" t="str">
        <f>IF(Q77="","",SUMIFS(tblAnalysis[P&amp;L %],tblAnalysis[Date],Q77))</f>
        <v/>
      </c>
      <c r="T77" s="6" t="str">
        <f>IF(Q77="","",IFERROR(SUM($R$2:R77),""))</f>
        <v/>
      </c>
      <c r="U77" t="str">
        <f>IF(Q77="","",COUNTIFS(tblAnalysis[Date],Q77))</f>
        <v/>
      </c>
      <c r="W77" s="27" t="str">
        <f t="shared" si="32"/>
        <v/>
      </c>
      <c r="X77" s="6" t="str">
        <f t="shared" si="33"/>
        <v/>
      </c>
      <c r="Y77" s="6" t="str">
        <f>IF(Q77="","",MAX(X77,_xlfn.MAXIFS(tblAnalysis[Cum P&amp;L SOL],tblAnalysis[Date],Q77)))</f>
        <v/>
      </c>
      <c r="Z77" s="6" t="str">
        <f>IF(Q77="","",MIN(X77,_xlfn.MINIFS(tblAnalysis[Cum P&amp;L SOL],tblAnalysis[Date],Q77)))</f>
        <v/>
      </c>
      <c r="AA77" s="6" t="str">
        <f t="shared" si="34"/>
        <v/>
      </c>
      <c r="AB77"/>
      <c r="AC77" s="27" t="str">
        <f t="shared" si="35"/>
        <v/>
      </c>
      <c r="AD77" s="10" t="str">
        <f t="shared" si="36"/>
        <v/>
      </c>
      <c r="AE77" s="10" t="str">
        <f t="shared" si="37"/>
        <v/>
      </c>
      <c r="AF77" s="10" t="str">
        <f t="shared" si="38"/>
        <v/>
      </c>
      <c r="AG77"/>
      <c r="AH77" t="str">
        <f t="shared" si="39"/>
        <v/>
      </c>
      <c r="AI77" t="str">
        <f t="shared" si="40"/>
        <v/>
      </c>
      <c r="AK77" cm="1">
        <f t="array" ref="AK77">IFERROR(IF(INDEX($A:$A,ROW())="","",INDEX($A:$A,ROW())),"")</f>
        <v>76</v>
      </c>
      <c r="AL77" t="str" cm="1">
        <f t="array" ref="AL77">IFERROR(INDEX(tblTrades[sol_invested],ROW()-1),"")</f>
        <v/>
      </c>
      <c r="AM77" s="6" t="str" cm="1">
        <f t="array" ref="AM77">IFERROR(INDEX(tblAnalysis[P&amp;L SOL],ROW()-1),"")</f>
        <v/>
      </c>
      <c r="AN77" t="str" cm="1">
        <f t="array" ref="AN77">IFERROR(IF(INDEX(tblTrades[sol_invested],ROW()-1)&gt;0.5,INDEX(tblAnalysis[Token],ROW()-1)&amp;" ("&amp;TEXT(INDEX(tblTrades[sol_invested],ROW()-1),"0.0")&amp;" SOL)",""),"")</f>
        <v/>
      </c>
      <c r="AO77" s="7" t="e" cm="1">
        <f t="array" ref="AO77">IF(INDEX(tblTrades[sol_invested],ROW()-1)&gt;0.5,INDEX(tblAnalysis[Cum P&amp;L SOL],ROW()-1),"")</f>
        <v>#REF!</v>
      </c>
      <c r="AP77" s="12" t="str" cm="1">
        <f t="array" ref="AP77">IFERROR(INDEX(tblAnalysis[Entry MC ($)],ROW()-1),"")</f>
        <v/>
      </c>
      <c r="AQ77" s="10" t="str" cm="1">
        <f t="array" ref="AQ77">IFERROR(INDEX(tblAnalysis[P&amp;L %],ROW()-1),"")</f>
        <v/>
      </c>
      <c r="AR77" t="str" cm="1">
        <f t="array" ref="AR77">IFERROR(INDEX(tblAnalysis[Hold Time (s)],ROW()-1),"")</f>
        <v/>
      </c>
      <c r="AS77" s="6" t="str" cm="1">
        <f t="array" ref="AS77">IFERROR(INDEX(tblAnalysis[P&amp;L SOL],ROW()-1),"")</f>
        <v/>
      </c>
      <c r="AT77"/>
      <c r="AY77" s="10"/>
      <c r="AZ77" s="10"/>
      <c r="BA77" s="6"/>
      <c r="BB77"/>
      <c r="BF77" t="str">
        <f t="shared" si="41"/>
        <v/>
      </c>
      <c r="BG77" s="27" t="str">
        <f t="shared" si="42"/>
        <v/>
      </c>
      <c r="BH77" t="str">
        <f t="shared" si="43"/>
        <v/>
      </c>
      <c r="BL77" s="29" t="e">
        <f t="shared" si="44"/>
        <v>#N/A</v>
      </c>
      <c r="BM77" s="29" t="e">
        <f t="shared" si="45"/>
        <v>#N/A</v>
      </c>
    </row>
    <row r="78" spans="1:65" x14ac:dyDescent="0.35">
      <c r="A78">
        <f t="shared" si="28"/>
        <v>77</v>
      </c>
      <c r="B78" t="e" cm="1">
        <f t="array" ref="B78">INDEX(tblTrades[token_name],ROW()-1)</f>
        <v>#REF!</v>
      </c>
      <c r="C78" s="27" t="e" cm="1">
        <f t="array" ref="C78">INDEX(tblTrades[entry_date],ROW()-1)</f>
        <v>#REF!</v>
      </c>
      <c r="D78" s="2" t="e" cm="1">
        <f t="array" ref="D78">INDEX(tblTrades[entry_mc_actual],ROW()-1)</f>
        <v>#REF!</v>
      </c>
      <c r="E78" s="2" t="e" cm="1">
        <f t="array" ref="E78">INDEX(tblTrades[exit_mc_actual],ROW()-1)</f>
        <v>#REF!</v>
      </c>
      <c r="F78" s="3" t="e" cm="1">
        <f t="array" ref="F78">INDEX(tblTrades[time_in_trade_seconds],ROW()-1)</f>
        <v>#REF!</v>
      </c>
      <c r="G78" s="4" t="str" cm="1">
        <f t="array" ref="G78">IFERROR(INDEX(tblTrades[pnl_percentage],ROW()-1)*1,"")</f>
        <v/>
      </c>
      <c r="H78" s="5" t="str" cm="1">
        <f t="array" ref="H78">IFERROR(INDEX(tblTrades[pnl_sol],ROW()-1)*1,"")</f>
        <v/>
      </c>
      <c r="I78" t="str">
        <f t="shared" si="29"/>
        <v/>
      </c>
      <c r="J78" t="str">
        <f t="shared" si="30"/>
        <v/>
      </c>
      <c r="K78" t="str">
        <f t="shared" si="31"/>
        <v/>
      </c>
      <c r="L78" s="20" t="str" cm="1">
        <f t="array" ref="L78">IFERROR(INDEX(tblTrades[sol_invested],ROW()-1),"")</f>
        <v/>
      </c>
      <c r="M78" s="1">
        <f>COUNTIFS(tblAnalysis[Token],tblAnalysis[[#This Row],[Token]])</f>
        <v>0</v>
      </c>
      <c r="N78" s="1">
        <f>COUNTIFS($B$2:B78,tblAnalysis[[#This Row],[Token]])</f>
        <v>0</v>
      </c>
      <c r="O78" s="5">
        <f>IFERROR(SUM($H$2:H78),"")</f>
        <v>0.40399999999999997</v>
      </c>
      <c r="P78" s="6"/>
      <c r="Q78" s="27"/>
      <c r="R78" s="6" t="str">
        <f>IF(Q78="","",SUMIFS(tblAnalysis[P&amp;L SOL],tblAnalysis[Date],Q78))</f>
        <v/>
      </c>
      <c r="S78" s="10" t="str">
        <f>IF(Q78="","",SUMIFS(tblAnalysis[P&amp;L %],tblAnalysis[Date],Q78))</f>
        <v/>
      </c>
      <c r="T78" s="6" t="str">
        <f>IF(Q78="","",IFERROR(SUM($R$2:R78),""))</f>
        <v/>
      </c>
      <c r="U78" t="str">
        <f>IF(Q78="","",COUNTIFS(tblAnalysis[Date],Q78))</f>
        <v/>
      </c>
      <c r="W78" s="27" t="str">
        <f t="shared" si="32"/>
        <v/>
      </c>
      <c r="X78" s="6" t="str">
        <f t="shared" si="33"/>
        <v/>
      </c>
      <c r="Y78" s="6" t="str">
        <f>IF(Q78="","",MAX(X78,_xlfn.MAXIFS(tblAnalysis[Cum P&amp;L SOL],tblAnalysis[Date],Q78)))</f>
        <v/>
      </c>
      <c r="Z78" s="6" t="str">
        <f>IF(Q78="","",MIN(X78,_xlfn.MINIFS(tblAnalysis[Cum P&amp;L SOL],tblAnalysis[Date],Q78)))</f>
        <v/>
      </c>
      <c r="AA78" s="6" t="str">
        <f t="shared" si="34"/>
        <v/>
      </c>
      <c r="AB78"/>
      <c r="AC78" s="27" t="str">
        <f t="shared" si="35"/>
        <v/>
      </c>
      <c r="AD78" s="10" t="str">
        <f t="shared" si="36"/>
        <v/>
      </c>
      <c r="AE78" s="10" t="str">
        <f t="shared" si="37"/>
        <v/>
      </c>
      <c r="AF78" s="10" t="str">
        <f t="shared" si="38"/>
        <v/>
      </c>
      <c r="AG78"/>
      <c r="AH78" t="str">
        <f t="shared" si="39"/>
        <v/>
      </c>
      <c r="AI78" t="str">
        <f t="shared" si="40"/>
        <v/>
      </c>
      <c r="AK78" cm="1">
        <f t="array" ref="AK78">IFERROR(IF(INDEX($A:$A,ROW())="","",INDEX($A:$A,ROW())),"")</f>
        <v>77</v>
      </c>
      <c r="AL78" t="str" cm="1">
        <f t="array" ref="AL78">IFERROR(INDEX(tblTrades[sol_invested],ROW()-1),"")</f>
        <v/>
      </c>
      <c r="AM78" s="6" t="str" cm="1">
        <f t="array" ref="AM78">IFERROR(INDEX(tblAnalysis[P&amp;L SOL],ROW()-1),"")</f>
        <v/>
      </c>
      <c r="AN78" t="str" cm="1">
        <f t="array" ref="AN78">IFERROR(IF(INDEX(tblTrades[sol_invested],ROW()-1)&gt;0.5,INDEX(tblAnalysis[Token],ROW()-1)&amp;" ("&amp;TEXT(INDEX(tblTrades[sol_invested],ROW()-1),"0.0")&amp;" SOL)",""),"")</f>
        <v/>
      </c>
      <c r="AO78" s="7" t="e" cm="1">
        <f t="array" ref="AO78">IF(INDEX(tblTrades[sol_invested],ROW()-1)&gt;0.5,INDEX(tblAnalysis[Cum P&amp;L SOL],ROW()-1),"")</f>
        <v>#REF!</v>
      </c>
      <c r="AP78" s="12" t="str" cm="1">
        <f t="array" ref="AP78">IFERROR(INDEX(tblAnalysis[Entry MC ($)],ROW()-1),"")</f>
        <v/>
      </c>
      <c r="AQ78" s="10" t="str" cm="1">
        <f t="array" ref="AQ78">IFERROR(INDEX(tblAnalysis[P&amp;L %],ROW()-1),"")</f>
        <v/>
      </c>
      <c r="AR78" t="str" cm="1">
        <f t="array" ref="AR78">IFERROR(INDEX(tblAnalysis[Hold Time (s)],ROW()-1),"")</f>
        <v/>
      </c>
      <c r="AS78" s="6" t="str" cm="1">
        <f t="array" ref="AS78">IFERROR(INDEX(tblAnalysis[P&amp;L SOL],ROW()-1),"")</f>
        <v/>
      </c>
      <c r="AT78"/>
      <c r="AY78" s="10"/>
      <c r="AZ78" s="10"/>
      <c r="BA78" s="6"/>
      <c r="BB78"/>
      <c r="BF78" t="str">
        <f t="shared" si="41"/>
        <v/>
      </c>
      <c r="BG78" s="27" t="str">
        <f t="shared" si="42"/>
        <v/>
      </c>
      <c r="BH78" t="str">
        <f t="shared" si="43"/>
        <v/>
      </c>
      <c r="BL78" s="29" t="e">
        <f t="shared" si="44"/>
        <v>#N/A</v>
      </c>
      <c r="BM78" s="29" t="e">
        <f t="shared" si="45"/>
        <v>#N/A</v>
      </c>
    </row>
    <row r="79" spans="1:65" x14ac:dyDescent="0.35">
      <c r="A79">
        <f t="shared" si="28"/>
        <v>78</v>
      </c>
      <c r="B79" t="e" cm="1">
        <f t="array" ref="B79">INDEX(tblTrades[token_name],ROW()-1)</f>
        <v>#REF!</v>
      </c>
      <c r="C79" s="27" t="e" cm="1">
        <f t="array" ref="C79">INDEX(tblTrades[entry_date],ROW()-1)</f>
        <v>#REF!</v>
      </c>
      <c r="D79" s="2" t="e" cm="1">
        <f t="array" ref="D79">INDEX(tblTrades[entry_mc_actual],ROW()-1)</f>
        <v>#REF!</v>
      </c>
      <c r="E79" s="2" t="e" cm="1">
        <f t="array" ref="E79">INDEX(tblTrades[exit_mc_actual],ROW()-1)</f>
        <v>#REF!</v>
      </c>
      <c r="F79" s="3" t="e" cm="1">
        <f t="array" ref="F79">INDEX(tblTrades[time_in_trade_seconds],ROW()-1)</f>
        <v>#REF!</v>
      </c>
      <c r="G79" s="4" t="str" cm="1">
        <f t="array" ref="G79">IFERROR(INDEX(tblTrades[pnl_percentage],ROW()-1)*1,"")</f>
        <v/>
      </c>
      <c r="H79" s="5" t="str" cm="1">
        <f t="array" ref="H79">IFERROR(INDEX(tblTrades[pnl_sol],ROW()-1)*1,"")</f>
        <v/>
      </c>
      <c r="I79" t="str">
        <f t="shared" si="29"/>
        <v/>
      </c>
      <c r="J79" t="str">
        <f t="shared" si="30"/>
        <v/>
      </c>
      <c r="K79" t="str">
        <f t="shared" si="31"/>
        <v/>
      </c>
      <c r="L79" s="20" t="str" cm="1">
        <f t="array" ref="L79">IFERROR(INDEX(tblTrades[sol_invested],ROW()-1),"")</f>
        <v/>
      </c>
      <c r="M79" s="1">
        <f>COUNTIFS(tblAnalysis[Token],tblAnalysis[[#This Row],[Token]])</f>
        <v>0</v>
      </c>
      <c r="N79" s="1">
        <f>COUNTIFS($B$2:B79,tblAnalysis[[#This Row],[Token]])</f>
        <v>0</v>
      </c>
      <c r="O79" s="5">
        <f>IFERROR(SUM($H$2:H79),"")</f>
        <v>0.40399999999999997</v>
      </c>
      <c r="P79" s="6"/>
      <c r="Q79" s="27"/>
      <c r="R79" s="6" t="str">
        <f>IF(Q79="","",SUMIFS(tblAnalysis[P&amp;L SOL],tblAnalysis[Date],Q79))</f>
        <v/>
      </c>
      <c r="S79" s="10" t="str">
        <f>IF(Q79="","",SUMIFS(tblAnalysis[P&amp;L %],tblAnalysis[Date],Q79))</f>
        <v/>
      </c>
      <c r="T79" s="6" t="str">
        <f>IF(Q79="","",IFERROR(SUM($R$2:R79),""))</f>
        <v/>
      </c>
      <c r="U79" t="str">
        <f>IF(Q79="","",COUNTIFS(tblAnalysis[Date],Q79))</f>
        <v/>
      </c>
      <c r="W79" s="27" t="str">
        <f t="shared" si="32"/>
        <v/>
      </c>
      <c r="X79" s="6" t="str">
        <f t="shared" si="33"/>
        <v/>
      </c>
      <c r="Y79" s="6" t="str">
        <f>IF(Q79="","",MAX(X79,_xlfn.MAXIFS(tblAnalysis[Cum P&amp;L SOL],tblAnalysis[Date],Q79)))</f>
        <v/>
      </c>
      <c r="Z79" s="6" t="str">
        <f>IF(Q79="","",MIN(X79,_xlfn.MINIFS(tblAnalysis[Cum P&amp;L SOL],tblAnalysis[Date],Q79)))</f>
        <v/>
      </c>
      <c r="AA79" s="6" t="str">
        <f t="shared" si="34"/>
        <v/>
      </c>
      <c r="AB79"/>
      <c r="AC79" s="27" t="str">
        <f t="shared" si="35"/>
        <v/>
      </c>
      <c r="AD79" s="10" t="str">
        <f t="shared" si="36"/>
        <v/>
      </c>
      <c r="AE79" s="10" t="str">
        <f t="shared" si="37"/>
        <v/>
      </c>
      <c r="AF79" s="10" t="str">
        <f t="shared" si="38"/>
        <v/>
      </c>
      <c r="AG79"/>
      <c r="AH79" t="str">
        <f t="shared" si="39"/>
        <v/>
      </c>
      <c r="AI79" t="str">
        <f t="shared" si="40"/>
        <v/>
      </c>
      <c r="AK79" cm="1">
        <f t="array" ref="AK79">IFERROR(IF(INDEX($A:$A,ROW())="","",INDEX($A:$A,ROW())),"")</f>
        <v>78</v>
      </c>
      <c r="AL79" t="str" cm="1">
        <f t="array" ref="AL79">IFERROR(INDEX(tblTrades[sol_invested],ROW()-1),"")</f>
        <v/>
      </c>
      <c r="AM79" s="6" t="str" cm="1">
        <f t="array" ref="AM79">IFERROR(INDEX(tblAnalysis[P&amp;L SOL],ROW()-1),"")</f>
        <v/>
      </c>
      <c r="AN79" t="str" cm="1">
        <f t="array" ref="AN79">IFERROR(IF(INDEX(tblTrades[sol_invested],ROW()-1)&gt;0.5,INDEX(tblAnalysis[Token],ROW()-1)&amp;" ("&amp;TEXT(INDEX(tblTrades[sol_invested],ROW()-1),"0.0")&amp;" SOL)",""),"")</f>
        <v/>
      </c>
      <c r="AO79" s="7" t="e" cm="1">
        <f t="array" ref="AO79">IF(INDEX(tblTrades[sol_invested],ROW()-1)&gt;0.5,INDEX(tblAnalysis[Cum P&amp;L SOL],ROW()-1),"")</f>
        <v>#REF!</v>
      </c>
      <c r="AP79" s="12" t="str" cm="1">
        <f t="array" ref="AP79">IFERROR(INDEX(tblAnalysis[Entry MC ($)],ROW()-1),"")</f>
        <v/>
      </c>
      <c r="AQ79" s="10" t="str" cm="1">
        <f t="array" ref="AQ79">IFERROR(INDEX(tblAnalysis[P&amp;L %],ROW()-1),"")</f>
        <v/>
      </c>
      <c r="AR79" t="str" cm="1">
        <f t="array" ref="AR79">IFERROR(INDEX(tblAnalysis[Hold Time (s)],ROW()-1),"")</f>
        <v/>
      </c>
      <c r="AS79" s="6" t="str" cm="1">
        <f t="array" ref="AS79">IFERROR(INDEX(tblAnalysis[P&amp;L SOL],ROW()-1),"")</f>
        <v/>
      </c>
      <c r="AT79"/>
      <c r="AY79" s="10"/>
      <c r="AZ79" s="10"/>
      <c r="BA79" s="6"/>
      <c r="BB79"/>
      <c r="BF79" t="str">
        <f t="shared" si="41"/>
        <v/>
      </c>
      <c r="BG79" s="27" t="str">
        <f t="shared" si="42"/>
        <v/>
      </c>
      <c r="BH79" t="str">
        <f t="shared" si="43"/>
        <v/>
      </c>
      <c r="BL79" s="29" t="e">
        <f t="shared" si="44"/>
        <v>#N/A</v>
      </c>
      <c r="BM79" s="29" t="e">
        <f t="shared" si="45"/>
        <v>#N/A</v>
      </c>
    </row>
    <row r="80" spans="1:65" x14ac:dyDescent="0.35">
      <c r="A80">
        <f t="shared" si="28"/>
        <v>79</v>
      </c>
      <c r="B80" t="e" cm="1">
        <f t="array" ref="B80">INDEX(tblTrades[token_name],ROW()-1)</f>
        <v>#REF!</v>
      </c>
      <c r="C80" s="27" t="e" cm="1">
        <f t="array" ref="C80">INDEX(tblTrades[entry_date],ROW()-1)</f>
        <v>#REF!</v>
      </c>
      <c r="D80" s="2" t="e" cm="1">
        <f t="array" ref="D80">INDEX(tblTrades[entry_mc_actual],ROW()-1)</f>
        <v>#REF!</v>
      </c>
      <c r="E80" s="2" t="e" cm="1">
        <f t="array" ref="E80">INDEX(tblTrades[exit_mc_actual],ROW()-1)</f>
        <v>#REF!</v>
      </c>
      <c r="F80" s="3" t="e" cm="1">
        <f t="array" ref="F80">INDEX(tblTrades[time_in_trade_seconds],ROW()-1)</f>
        <v>#REF!</v>
      </c>
      <c r="G80" s="4" t="str" cm="1">
        <f t="array" ref="G80">IFERROR(INDEX(tblTrades[pnl_percentage],ROW()-1)*1,"")</f>
        <v/>
      </c>
      <c r="H80" s="5" t="str" cm="1">
        <f t="array" ref="H80">IFERROR(INDEX(tblTrades[pnl_sol],ROW()-1)*1,"")</f>
        <v/>
      </c>
      <c r="I80" t="str">
        <f t="shared" si="29"/>
        <v/>
      </c>
      <c r="J80" t="str">
        <f t="shared" si="30"/>
        <v/>
      </c>
      <c r="K80" t="str">
        <f t="shared" si="31"/>
        <v/>
      </c>
      <c r="L80" s="20" t="str" cm="1">
        <f t="array" ref="L80">IFERROR(INDEX(tblTrades[sol_invested],ROW()-1),"")</f>
        <v/>
      </c>
      <c r="M80" s="1">
        <f>COUNTIFS(tblAnalysis[Token],tblAnalysis[[#This Row],[Token]])</f>
        <v>0</v>
      </c>
      <c r="N80" s="1">
        <f>COUNTIFS($B$2:B80,tblAnalysis[[#This Row],[Token]])</f>
        <v>0</v>
      </c>
      <c r="O80" s="5">
        <f>IFERROR(SUM($H$2:H80),"")</f>
        <v>0.40399999999999997</v>
      </c>
      <c r="P80" s="6"/>
      <c r="Q80" s="27"/>
      <c r="R80" s="6" t="str">
        <f>IF(Q80="","",SUMIFS(tblAnalysis[P&amp;L SOL],tblAnalysis[Date],Q80))</f>
        <v/>
      </c>
      <c r="S80" s="10" t="str">
        <f>IF(Q80="","",SUMIFS(tblAnalysis[P&amp;L %],tblAnalysis[Date],Q80))</f>
        <v/>
      </c>
      <c r="T80" s="6" t="str">
        <f>IF(Q80="","",IFERROR(SUM($R$2:R80),""))</f>
        <v/>
      </c>
      <c r="U80" t="str">
        <f>IF(Q80="","",COUNTIFS(tblAnalysis[Date],Q80))</f>
        <v/>
      </c>
      <c r="W80" s="27" t="str">
        <f t="shared" si="32"/>
        <v/>
      </c>
      <c r="X80" s="6" t="str">
        <f t="shared" si="33"/>
        <v/>
      </c>
      <c r="Y80" s="6" t="str">
        <f>IF(Q80="","",MAX(X80,_xlfn.MAXIFS(tblAnalysis[Cum P&amp;L SOL],tblAnalysis[Date],Q80)))</f>
        <v/>
      </c>
      <c r="Z80" s="6" t="str">
        <f>IF(Q80="","",MIN(X80,_xlfn.MINIFS(tblAnalysis[Cum P&amp;L SOL],tblAnalysis[Date],Q80)))</f>
        <v/>
      </c>
      <c r="AA80" s="6" t="str">
        <f t="shared" si="34"/>
        <v/>
      </c>
      <c r="AB80"/>
      <c r="AC80" s="27" t="str">
        <f t="shared" si="35"/>
        <v/>
      </c>
      <c r="AD80" s="10" t="str">
        <f t="shared" si="36"/>
        <v/>
      </c>
      <c r="AE80" s="10" t="str">
        <f t="shared" si="37"/>
        <v/>
      </c>
      <c r="AF80" s="10" t="str">
        <f t="shared" si="38"/>
        <v/>
      </c>
      <c r="AG80"/>
      <c r="AH80" t="str">
        <f t="shared" si="39"/>
        <v/>
      </c>
      <c r="AI80" t="str">
        <f t="shared" si="40"/>
        <v/>
      </c>
      <c r="AK80" cm="1">
        <f t="array" ref="AK80">IFERROR(IF(INDEX($A:$A,ROW())="","",INDEX($A:$A,ROW())),"")</f>
        <v>79</v>
      </c>
      <c r="AL80" t="str" cm="1">
        <f t="array" ref="AL80">IFERROR(INDEX(tblTrades[sol_invested],ROW()-1),"")</f>
        <v/>
      </c>
      <c r="AM80" s="6" t="str" cm="1">
        <f t="array" ref="AM80">IFERROR(INDEX(tblAnalysis[P&amp;L SOL],ROW()-1),"")</f>
        <v/>
      </c>
      <c r="AN80" t="str" cm="1">
        <f t="array" ref="AN80">IFERROR(IF(INDEX(tblTrades[sol_invested],ROW()-1)&gt;0.5,INDEX(tblAnalysis[Token],ROW()-1)&amp;" ("&amp;TEXT(INDEX(tblTrades[sol_invested],ROW()-1),"0.0")&amp;" SOL)",""),"")</f>
        <v/>
      </c>
      <c r="AO80" s="7" t="e" cm="1">
        <f t="array" ref="AO80">IF(INDEX(tblTrades[sol_invested],ROW()-1)&gt;0.5,INDEX(tblAnalysis[Cum P&amp;L SOL],ROW()-1),"")</f>
        <v>#REF!</v>
      </c>
      <c r="AP80" s="12" t="str" cm="1">
        <f t="array" ref="AP80">IFERROR(INDEX(tblAnalysis[Entry MC ($)],ROW()-1),"")</f>
        <v/>
      </c>
      <c r="AQ80" s="10" t="str" cm="1">
        <f t="array" ref="AQ80">IFERROR(INDEX(tblAnalysis[P&amp;L %],ROW()-1),"")</f>
        <v/>
      </c>
      <c r="AR80" t="str" cm="1">
        <f t="array" ref="AR80">IFERROR(INDEX(tblAnalysis[Hold Time (s)],ROW()-1),"")</f>
        <v/>
      </c>
      <c r="AS80" s="6" t="str" cm="1">
        <f t="array" ref="AS80">IFERROR(INDEX(tblAnalysis[P&amp;L SOL],ROW()-1),"")</f>
        <v/>
      </c>
      <c r="AT80"/>
      <c r="AY80" s="10"/>
      <c r="AZ80" s="10"/>
      <c r="BA80" s="6"/>
      <c r="BB80"/>
      <c r="BF80" t="str">
        <f t="shared" si="41"/>
        <v/>
      </c>
      <c r="BG80" s="27" t="str">
        <f t="shared" si="42"/>
        <v/>
      </c>
      <c r="BH80" t="str">
        <f t="shared" si="43"/>
        <v/>
      </c>
      <c r="BL80" s="29" t="e">
        <f t="shared" si="44"/>
        <v>#N/A</v>
      </c>
      <c r="BM80" s="29" t="e">
        <f t="shared" si="45"/>
        <v>#N/A</v>
      </c>
    </row>
    <row r="81" spans="1:65" x14ac:dyDescent="0.35">
      <c r="A81">
        <f t="shared" si="28"/>
        <v>80</v>
      </c>
      <c r="B81" t="e" cm="1">
        <f t="array" ref="B81">INDEX(tblTrades[token_name],ROW()-1)</f>
        <v>#REF!</v>
      </c>
      <c r="C81" s="27" t="e" cm="1">
        <f t="array" ref="C81">INDEX(tblTrades[entry_date],ROW()-1)</f>
        <v>#REF!</v>
      </c>
      <c r="D81" s="2" t="e" cm="1">
        <f t="array" ref="D81">INDEX(tblTrades[entry_mc_actual],ROW()-1)</f>
        <v>#REF!</v>
      </c>
      <c r="E81" s="2" t="e" cm="1">
        <f t="array" ref="E81">INDEX(tblTrades[exit_mc_actual],ROW()-1)</f>
        <v>#REF!</v>
      </c>
      <c r="F81" s="3" t="e" cm="1">
        <f t="array" ref="F81">INDEX(tblTrades[time_in_trade_seconds],ROW()-1)</f>
        <v>#REF!</v>
      </c>
      <c r="G81" s="4" t="str" cm="1">
        <f t="array" ref="G81">IFERROR(INDEX(tblTrades[pnl_percentage],ROW()-1)*1,"")</f>
        <v/>
      </c>
      <c r="H81" s="5" t="str" cm="1">
        <f t="array" ref="H81">IFERROR(INDEX(tblTrades[pnl_sol],ROW()-1)*1,"")</f>
        <v/>
      </c>
      <c r="I81" t="str">
        <f t="shared" si="29"/>
        <v/>
      </c>
      <c r="J81" t="str">
        <f t="shared" si="30"/>
        <v/>
      </c>
      <c r="K81" t="str">
        <f t="shared" si="31"/>
        <v/>
      </c>
      <c r="L81" s="20" t="str" cm="1">
        <f t="array" ref="L81">IFERROR(INDEX(tblTrades[sol_invested],ROW()-1),"")</f>
        <v/>
      </c>
      <c r="M81" s="1">
        <f>COUNTIFS(tblAnalysis[Token],tblAnalysis[[#This Row],[Token]])</f>
        <v>0</v>
      </c>
      <c r="N81" s="1">
        <f>COUNTIFS($B$2:B81,tblAnalysis[[#This Row],[Token]])</f>
        <v>0</v>
      </c>
      <c r="O81" s="5">
        <f>IFERROR(SUM($H$2:H81),"")</f>
        <v>0.40399999999999997</v>
      </c>
      <c r="P81" s="6"/>
      <c r="Q81" s="27"/>
      <c r="R81" s="6" t="str">
        <f>IF(Q81="","",SUMIFS(tblAnalysis[P&amp;L SOL],tblAnalysis[Date],Q81))</f>
        <v/>
      </c>
      <c r="S81" s="10" t="str">
        <f>IF(Q81="","",SUMIFS(tblAnalysis[P&amp;L %],tblAnalysis[Date],Q81))</f>
        <v/>
      </c>
      <c r="T81" s="6" t="str">
        <f>IF(Q81="","",IFERROR(SUM($R$2:R81),""))</f>
        <v/>
      </c>
      <c r="U81" t="str">
        <f>IF(Q81="","",COUNTIFS(tblAnalysis[Date],Q81))</f>
        <v/>
      </c>
      <c r="W81" s="27" t="str">
        <f t="shared" si="32"/>
        <v/>
      </c>
      <c r="X81" s="6" t="str">
        <f t="shared" si="33"/>
        <v/>
      </c>
      <c r="Y81" s="6" t="str">
        <f>IF(Q81="","",MAX(X81,_xlfn.MAXIFS(tblAnalysis[Cum P&amp;L SOL],tblAnalysis[Date],Q81)))</f>
        <v/>
      </c>
      <c r="Z81" s="6" t="str">
        <f>IF(Q81="","",MIN(X81,_xlfn.MINIFS(tblAnalysis[Cum P&amp;L SOL],tblAnalysis[Date],Q81)))</f>
        <v/>
      </c>
      <c r="AA81" s="6" t="str">
        <f t="shared" si="34"/>
        <v/>
      </c>
      <c r="AB81"/>
      <c r="AC81" s="27" t="str">
        <f t="shared" si="35"/>
        <v/>
      </c>
      <c r="AD81" s="10" t="str">
        <f t="shared" si="36"/>
        <v/>
      </c>
      <c r="AE81" s="10" t="str">
        <f t="shared" si="37"/>
        <v/>
      </c>
      <c r="AF81" s="10" t="str">
        <f t="shared" si="38"/>
        <v/>
      </c>
      <c r="AG81"/>
      <c r="AH81" t="str">
        <f t="shared" si="39"/>
        <v/>
      </c>
      <c r="AI81" t="str">
        <f t="shared" si="40"/>
        <v/>
      </c>
      <c r="AK81" cm="1">
        <f t="array" ref="AK81">IFERROR(IF(INDEX($A:$A,ROW())="","",INDEX($A:$A,ROW())),"")</f>
        <v>80</v>
      </c>
      <c r="AL81" t="str" cm="1">
        <f t="array" ref="AL81">IFERROR(INDEX(tblTrades[sol_invested],ROW()-1),"")</f>
        <v/>
      </c>
      <c r="AM81" s="6" t="str" cm="1">
        <f t="array" ref="AM81">IFERROR(INDEX(tblAnalysis[P&amp;L SOL],ROW()-1),"")</f>
        <v/>
      </c>
      <c r="AN81" t="str" cm="1">
        <f t="array" ref="AN81">IFERROR(IF(INDEX(tblTrades[sol_invested],ROW()-1)&gt;0.5,INDEX(tblAnalysis[Token],ROW()-1)&amp;" ("&amp;TEXT(INDEX(tblTrades[sol_invested],ROW()-1),"0.0")&amp;" SOL)",""),"")</f>
        <v/>
      </c>
      <c r="AO81" s="7" t="e" cm="1">
        <f t="array" ref="AO81">IF(INDEX(tblTrades[sol_invested],ROW()-1)&gt;0.5,INDEX(tblAnalysis[Cum P&amp;L SOL],ROW()-1),"")</f>
        <v>#REF!</v>
      </c>
      <c r="AP81" s="12" t="str" cm="1">
        <f t="array" ref="AP81">IFERROR(INDEX(tblAnalysis[Entry MC ($)],ROW()-1),"")</f>
        <v/>
      </c>
      <c r="AQ81" s="10" t="str" cm="1">
        <f t="array" ref="AQ81">IFERROR(INDEX(tblAnalysis[P&amp;L %],ROW()-1),"")</f>
        <v/>
      </c>
      <c r="AR81" t="str" cm="1">
        <f t="array" ref="AR81">IFERROR(INDEX(tblAnalysis[Hold Time (s)],ROW()-1),"")</f>
        <v/>
      </c>
      <c r="AS81" s="6" t="str" cm="1">
        <f t="array" ref="AS81">IFERROR(INDEX(tblAnalysis[P&amp;L SOL],ROW()-1),"")</f>
        <v/>
      </c>
      <c r="AT81"/>
      <c r="AY81" s="10"/>
      <c r="AZ81" s="10"/>
      <c r="BA81" s="6"/>
      <c r="BB81"/>
      <c r="BF81" t="str">
        <f t="shared" si="41"/>
        <v/>
      </c>
      <c r="BG81" s="27" t="str">
        <f t="shared" si="42"/>
        <v/>
      </c>
      <c r="BH81" t="str">
        <f t="shared" si="43"/>
        <v/>
      </c>
      <c r="BL81" s="29" t="e">
        <f t="shared" si="44"/>
        <v>#N/A</v>
      </c>
      <c r="BM81" s="29" t="e">
        <f t="shared" si="45"/>
        <v>#N/A</v>
      </c>
    </row>
    <row r="82" spans="1:65" x14ac:dyDescent="0.35">
      <c r="A82">
        <f t="shared" si="28"/>
        <v>81</v>
      </c>
      <c r="B82" t="e" cm="1">
        <f t="array" ref="B82">INDEX(tblTrades[token_name],ROW()-1)</f>
        <v>#REF!</v>
      </c>
      <c r="C82" s="27" t="e" cm="1">
        <f t="array" ref="C82">INDEX(tblTrades[entry_date],ROW()-1)</f>
        <v>#REF!</v>
      </c>
      <c r="D82" s="2" t="e" cm="1">
        <f t="array" ref="D82">INDEX(tblTrades[entry_mc_actual],ROW()-1)</f>
        <v>#REF!</v>
      </c>
      <c r="E82" s="2" t="e" cm="1">
        <f t="array" ref="E82">INDEX(tblTrades[exit_mc_actual],ROW()-1)</f>
        <v>#REF!</v>
      </c>
      <c r="F82" s="3" t="e" cm="1">
        <f t="array" ref="F82">INDEX(tblTrades[time_in_trade_seconds],ROW()-1)</f>
        <v>#REF!</v>
      </c>
      <c r="G82" s="4" t="str" cm="1">
        <f t="array" ref="G82">IFERROR(INDEX(tblTrades[pnl_percentage],ROW()-1)*1,"")</f>
        <v/>
      </c>
      <c r="H82" s="5" t="str" cm="1">
        <f t="array" ref="H82">IFERROR(INDEX(tblTrades[pnl_sol],ROW()-1)*1,"")</f>
        <v/>
      </c>
      <c r="I82" t="str">
        <f t="shared" si="29"/>
        <v/>
      </c>
      <c r="J82" t="str">
        <f t="shared" si="30"/>
        <v/>
      </c>
      <c r="K82" t="str">
        <f t="shared" si="31"/>
        <v/>
      </c>
      <c r="L82" s="20" t="str" cm="1">
        <f t="array" ref="L82">IFERROR(INDEX(tblTrades[sol_invested],ROW()-1),"")</f>
        <v/>
      </c>
      <c r="M82" s="1">
        <f>COUNTIFS(tblAnalysis[Token],tblAnalysis[[#This Row],[Token]])</f>
        <v>0</v>
      </c>
      <c r="N82" s="1">
        <f>COUNTIFS($B$2:B82,tblAnalysis[[#This Row],[Token]])</f>
        <v>0</v>
      </c>
      <c r="O82" s="5">
        <f>IFERROR(SUM($H$2:H82),"")</f>
        <v>0.40399999999999997</v>
      </c>
      <c r="P82" s="6"/>
      <c r="Q82" s="27"/>
      <c r="R82" s="6" t="str">
        <f>IF(Q82="","",SUMIFS(tblAnalysis[P&amp;L SOL],tblAnalysis[Date],Q82))</f>
        <v/>
      </c>
      <c r="S82" s="10" t="str">
        <f>IF(Q82="","",SUMIFS(tblAnalysis[P&amp;L %],tblAnalysis[Date],Q82))</f>
        <v/>
      </c>
      <c r="T82" s="6" t="str">
        <f>IF(Q82="","",IFERROR(SUM($R$2:R82),""))</f>
        <v/>
      </c>
      <c r="U82" t="str">
        <f>IF(Q82="","",COUNTIFS(tblAnalysis[Date],Q82))</f>
        <v/>
      </c>
      <c r="W82" s="27" t="str">
        <f t="shared" si="32"/>
        <v/>
      </c>
      <c r="X82" s="6" t="str">
        <f t="shared" si="33"/>
        <v/>
      </c>
      <c r="Y82" s="6" t="str">
        <f>IF(Q82="","",MAX(X82,_xlfn.MAXIFS(tblAnalysis[Cum P&amp;L SOL],tblAnalysis[Date],Q82)))</f>
        <v/>
      </c>
      <c r="Z82" s="6" t="str">
        <f>IF(Q82="","",MIN(X82,_xlfn.MINIFS(tblAnalysis[Cum P&amp;L SOL],tblAnalysis[Date],Q82)))</f>
        <v/>
      </c>
      <c r="AA82" s="6" t="str">
        <f t="shared" si="34"/>
        <v/>
      </c>
      <c r="AB82"/>
      <c r="AC82" s="27" t="str">
        <f t="shared" si="35"/>
        <v/>
      </c>
      <c r="AD82" s="10" t="str">
        <f t="shared" si="36"/>
        <v/>
      </c>
      <c r="AE82" s="10" t="str">
        <f t="shared" si="37"/>
        <v/>
      </c>
      <c r="AF82" s="10" t="str">
        <f t="shared" si="38"/>
        <v/>
      </c>
      <c r="AG82"/>
      <c r="AH82" t="str">
        <f t="shared" si="39"/>
        <v/>
      </c>
      <c r="AI82" t="str">
        <f t="shared" si="40"/>
        <v/>
      </c>
      <c r="AK82" cm="1">
        <f t="array" ref="AK82">IFERROR(IF(INDEX($A:$A,ROW())="","",INDEX($A:$A,ROW())),"")</f>
        <v>81</v>
      </c>
      <c r="AL82" t="str" cm="1">
        <f t="array" ref="AL82">IFERROR(INDEX(tblTrades[sol_invested],ROW()-1),"")</f>
        <v/>
      </c>
      <c r="AM82" s="6" t="str" cm="1">
        <f t="array" ref="AM82">IFERROR(INDEX(tblAnalysis[P&amp;L SOL],ROW()-1),"")</f>
        <v/>
      </c>
      <c r="AN82" t="str" cm="1">
        <f t="array" ref="AN82">IFERROR(IF(INDEX(tblTrades[sol_invested],ROW()-1)&gt;0.5,INDEX(tblAnalysis[Token],ROW()-1)&amp;" ("&amp;TEXT(INDEX(tblTrades[sol_invested],ROW()-1),"0.0")&amp;" SOL)",""),"")</f>
        <v/>
      </c>
      <c r="AO82" s="7" t="e" cm="1">
        <f t="array" ref="AO82">IF(INDEX(tblTrades[sol_invested],ROW()-1)&gt;0.5,INDEX(tblAnalysis[Cum P&amp;L SOL],ROW()-1),"")</f>
        <v>#REF!</v>
      </c>
      <c r="AP82" s="12" t="str" cm="1">
        <f t="array" ref="AP82">IFERROR(INDEX(tblAnalysis[Entry MC ($)],ROW()-1),"")</f>
        <v/>
      </c>
      <c r="AQ82" s="10" t="str" cm="1">
        <f t="array" ref="AQ82">IFERROR(INDEX(tblAnalysis[P&amp;L %],ROW()-1),"")</f>
        <v/>
      </c>
      <c r="AR82" t="str" cm="1">
        <f t="array" ref="AR82">IFERROR(INDEX(tblAnalysis[Hold Time (s)],ROW()-1),"")</f>
        <v/>
      </c>
      <c r="AS82" s="6" t="str" cm="1">
        <f t="array" ref="AS82">IFERROR(INDEX(tblAnalysis[P&amp;L SOL],ROW()-1),"")</f>
        <v/>
      </c>
      <c r="AT82"/>
      <c r="AY82" s="10"/>
      <c r="AZ82" s="10"/>
      <c r="BA82" s="6"/>
      <c r="BB82"/>
      <c r="BF82" t="str">
        <f t="shared" si="41"/>
        <v/>
      </c>
      <c r="BG82" s="27" t="str">
        <f t="shared" si="42"/>
        <v/>
      </c>
      <c r="BH82" t="str">
        <f t="shared" si="43"/>
        <v/>
      </c>
      <c r="BL82" s="29" t="e">
        <f t="shared" si="44"/>
        <v>#N/A</v>
      </c>
      <c r="BM82" s="29" t="e">
        <f t="shared" si="45"/>
        <v>#N/A</v>
      </c>
    </row>
    <row r="83" spans="1:65" x14ac:dyDescent="0.35">
      <c r="A83">
        <f t="shared" si="28"/>
        <v>82</v>
      </c>
      <c r="B83" t="e" cm="1">
        <f t="array" ref="B83">INDEX(tblTrades[token_name],ROW()-1)</f>
        <v>#REF!</v>
      </c>
      <c r="C83" s="27" t="e" cm="1">
        <f t="array" ref="C83">INDEX(tblTrades[entry_date],ROW()-1)</f>
        <v>#REF!</v>
      </c>
      <c r="D83" s="2" t="e" cm="1">
        <f t="array" ref="D83">INDEX(tblTrades[entry_mc_actual],ROW()-1)</f>
        <v>#REF!</v>
      </c>
      <c r="E83" s="2" t="e" cm="1">
        <f t="array" ref="E83">INDEX(tblTrades[exit_mc_actual],ROW()-1)</f>
        <v>#REF!</v>
      </c>
      <c r="F83" s="3" t="e" cm="1">
        <f t="array" ref="F83">INDEX(tblTrades[time_in_trade_seconds],ROW()-1)</f>
        <v>#REF!</v>
      </c>
      <c r="G83" s="4" t="str" cm="1">
        <f t="array" ref="G83">IFERROR(INDEX(tblTrades[pnl_percentage],ROW()-1)*1,"")</f>
        <v/>
      </c>
      <c r="H83" s="5" t="str" cm="1">
        <f t="array" ref="H83">IFERROR(INDEX(tblTrades[pnl_sol],ROW()-1)*1,"")</f>
        <v/>
      </c>
      <c r="I83" t="str">
        <f t="shared" si="29"/>
        <v/>
      </c>
      <c r="J83" t="str">
        <f t="shared" si="30"/>
        <v/>
      </c>
      <c r="K83" t="str">
        <f t="shared" si="31"/>
        <v/>
      </c>
      <c r="L83" s="20" t="str" cm="1">
        <f t="array" ref="L83">IFERROR(INDEX(tblTrades[sol_invested],ROW()-1),"")</f>
        <v/>
      </c>
      <c r="M83" s="1">
        <f>COUNTIFS(tblAnalysis[Token],tblAnalysis[[#This Row],[Token]])</f>
        <v>0</v>
      </c>
      <c r="N83" s="1">
        <f>COUNTIFS($B$2:B83,tblAnalysis[[#This Row],[Token]])</f>
        <v>0</v>
      </c>
      <c r="O83" s="5">
        <f>IFERROR(SUM($H$2:H83),"")</f>
        <v>0.40399999999999997</v>
      </c>
      <c r="P83" s="6"/>
      <c r="Q83" s="27"/>
      <c r="R83" s="6" t="str">
        <f>IF(Q83="","",SUMIFS(tblAnalysis[P&amp;L SOL],tblAnalysis[Date],Q83))</f>
        <v/>
      </c>
      <c r="S83" s="10" t="str">
        <f>IF(Q83="","",SUMIFS(tblAnalysis[P&amp;L %],tblAnalysis[Date],Q83))</f>
        <v/>
      </c>
      <c r="T83" s="6" t="str">
        <f>IF(Q83="","",IFERROR(SUM($R$2:R83),""))</f>
        <v/>
      </c>
      <c r="U83" t="str">
        <f>IF(Q83="","",COUNTIFS(tblAnalysis[Date],Q83))</f>
        <v/>
      </c>
      <c r="W83" s="27" t="str">
        <f t="shared" si="32"/>
        <v/>
      </c>
      <c r="X83" s="6" t="str">
        <f t="shared" si="33"/>
        <v/>
      </c>
      <c r="Y83" s="6" t="str">
        <f>IF(Q83="","",MAX(X83,_xlfn.MAXIFS(tblAnalysis[Cum P&amp;L SOL],tblAnalysis[Date],Q83)))</f>
        <v/>
      </c>
      <c r="Z83" s="6" t="str">
        <f>IF(Q83="","",MIN(X83,_xlfn.MINIFS(tblAnalysis[Cum P&amp;L SOL],tblAnalysis[Date],Q83)))</f>
        <v/>
      </c>
      <c r="AA83" s="6" t="str">
        <f t="shared" si="34"/>
        <v/>
      </c>
      <c r="AB83"/>
      <c r="AC83" s="27" t="str">
        <f t="shared" si="35"/>
        <v/>
      </c>
      <c r="AD83" s="10" t="str">
        <f t="shared" si="36"/>
        <v/>
      </c>
      <c r="AE83" s="10" t="str">
        <f t="shared" si="37"/>
        <v/>
      </c>
      <c r="AF83" s="10" t="str">
        <f t="shared" si="38"/>
        <v/>
      </c>
      <c r="AG83"/>
      <c r="AH83" t="str">
        <f t="shared" si="39"/>
        <v/>
      </c>
      <c r="AI83" t="str">
        <f t="shared" si="40"/>
        <v/>
      </c>
      <c r="AK83" cm="1">
        <f t="array" ref="AK83">IFERROR(IF(INDEX($A:$A,ROW())="","",INDEX($A:$A,ROW())),"")</f>
        <v>82</v>
      </c>
      <c r="AL83" t="str" cm="1">
        <f t="array" ref="AL83">IFERROR(INDEX(tblTrades[sol_invested],ROW()-1),"")</f>
        <v/>
      </c>
      <c r="AM83" s="6" t="str" cm="1">
        <f t="array" ref="AM83">IFERROR(INDEX(tblAnalysis[P&amp;L SOL],ROW()-1),"")</f>
        <v/>
      </c>
      <c r="AN83" t="str" cm="1">
        <f t="array" ref="AN83">IFERROR(IF(INDEX(tblTrades[sol_invested],ROW()-1)&gt;0.5,INDEX(tblAnalysis[Token],ROW()-1)&amp;" ("&amp;TEXT(INDEX(tblTrades[sol_invested],ROW()-1),"0.0")&amp;" SOL)",""),"")</f>
        <v/>
      </c>
      <c r="AO83" s="7" t="e" cm="1">
        <f t="array" ref="AO83">IF(INDEX(tblTrades[sol_invested],ROW()-1)&gt;0.5,INDEX(tblAnalysis[Cum P&amp;L SOL],ROW()-1),"")</f>
        <v>#REF!</v>
      </c>
      <c r="AP83" s="12" t="str" cm="1">
        <f t="array" ref="AP83">IFERROR(INDEX(tblAnalysis[Entry MC ($)],ROW()-1),"")</f>
        <v/>
      </c>
      <c r="AQ83" s="10" t="str" cm="1">
        <f t="array" ref="AQ83">IFERROR(INDEX(tblAnalysis[P&amp;L %],ROW()-1),"")</f>
        <v/>
      </c>
      <c r="AR83" t="str" cm="1">
        <f t="array" ref="AR83">IFERROR(INDEX(tblAnalysis[Hold Time (s)],ROW()-1),"")</f>
        <v/>
      </c>
      <c r="AS83" s="6" t="str" cm="1">
        <f t="array" ref="AS83">IFERROR(INDEX(tblAnalysis[P&amp;L SOL],ROW()-1),"")</f>
        <v/>
      </c>
      <c r="AT83"/>
      <c r="AY83" s="10"/>
      <c r="AZ83" s="10"/>
      <c r="BA83" s="6"/>
      <c r="BB83"/>
      <c r="BF83" t="str">
        <f t="shared" si="41"/>
        <v/>
      </c>
      <c r="BG83" s="27" t="str">
        <f t="shared" si="42"/>
        <v/>
      </c>
      <c r="BH83" t="str">
        <f t="shared" si="43"/>
        <v/>
      </c>
      <c r="BL83" s="29" t="e">
        <f t="shared" si="44"/>
        <v>#N/A</v>
      </c>
      <c r="BM83" s="29" t="e">
        <f t="shared" si="45"/>
        <v>#N/A</v>
      </c>
    </row>
    <row r="84" spans="1:65" x14ac:dyDescent="0.35">
      <c r="A84">
        <f t="shared" si="28"/>
        <v>83</v>
      </c>
      <c r="B84" t="e" cm="1">
        <f t="array" ref="B84">INDEX(tblTrades[token_name],ROW()-1)</f>
        <v>#REF!</v>
      </c>
      <c r="C84" s="27" t="e" cm="1">
        <f t="array" ref="C84">INDEX(tblTrades[entry_date],ROW()-1)</f>
        <v>#REF!</v>
      </c>
      <c r="D84" s="2" t="e" cm="1">
        <f t="array" ref="D84">INDEX(tblTrades[entry_mc_actual],ROW()-1)</f>
        <v>#REF!</v>
      </c>
      <c r="E84" s="2" t="e" cm="1">
        <f t="array" ref="E84">INDEX(tblTrades[exit_mc_actual],ROW()-1)</f>
        <v>#REF!</v>
      </c>
      <c r="F84" s="3" t="e" cm="1">
        <f t="array" ref="F84">INDEX(tblTrades[time_in_trade_seconds],ROW()-1)</f>
        <v>#REF!</v>
      </c>
      <c r="G84" s="4" t="str" cm="1">
        <f t="array" ref="G84">IFERROR(INDEX(tblTrades[pnl_percentage],ROW()-1)*1,"")</f>
        <v/>
      </c>
      <c r="H84" s="5" t="str" cm="1">
        <f t="array" ref="H84">IFERROR(INDEX(tblTrades[pnl_sol],ROW()-1)*1,"")</f>
        <v/>
      </c>
      <c r="I84" t="str">
        <f t="shared" si="29"/>
        <v/>
      </c>
      <c r="J84" t="str">
        <f t="shared" si="30"/>
        <v/>
      </c>
      <c r="K84" t="str">
        <f t="shared" si="31"/>
        <v/>
      </c>
      <c r="L84" s="20" t="str" cm="1">
        <f t="array" ref="L84">IFERROR(INDEX(tblTrades[sol_invested],ROW()-1),"")</f>
        <v/>
      </c>
      <c r="M84" s="1">
        <f>COUNTIFS(tblAnalysis[Token],tblAnalysis[[#This Row],[Token]])</f>
        <v>0</v>
      </c>
      <c r="N84" s="1">
        <f>COUNTIFS($B$2:B84,tblAnalysis[[#This Row],[Token]])</f>
        <v>0</v>
      </c>
      <c r="O84" s="5">
        <f>IFERROR(SUM($H$2:H84),"")</f>
        <v>0.40399999999999997</v>
      </c>
      <c r="P84" s="6"/>
      <c r="Q84" s="27"/>
      <c r="R84" s="6" t="str">
        <f>IF(Q84="","",SUMIFS(tblAnalysis[P&amp;L SOL],tblAnalysis[Date],Q84))</f>
        <v/>
      </c>
      <c r="S84" s="10" t="str">
        <f>IF(Q84="","",SUMIFS(tblAnalysis[P&amp;L %],tblAnalysis[Date],Q84))</f>
        <v/>
      </c>
      <c r="T84" s="6" t="str">
        <f>IF(Q84="","",IFERROR(SUM($R$2:R84),""))</f>
        <v/>
      </c>
      <c r="U84" t="str">
        <f>IF(Q84="","",COUNTIFS(tblAnalysis[Date],Q84))</f>
        <v/>
      </c>
      <c r="W84" s="27" t="str">
        <f t="shared" si="32"/>
        <v/>
      </c>
      <c r="X84" s="6" t="str">
        <f t="shared" si="33"/>
        <v/>
      </c>
      <c r="Y84" s="6" t="str">
        <f>IF(Q84="","",MAX(X84,_xlfn.MAXIFS(tblAnalysis[Cum P&amp;L SOL],tblAnalysis[Date],Q84)))</f>
        <v/>
      </c>
      <c r="Z84" s="6" t="str">
        <f>IF(Q84="","",MIN(X84,_xlfn.MINIFS(tblAnalysis[Cum P&amp;L SOL],tblAnalysis[Date],Q84)))</f>
        <v/>
      </c>
      <c r="AA84" s="6" t="str">
        <f t="shared" si="34"/>
        <v/>
      </c>
      <c r="AB84"/>
      <c r="AC84" s="27" t="str">
        <f t="shared" si="35"/>
        <v/>
      </c>
      <c r="AD84" s="10" t="str">
        <f t="shared" si="36"/>
        <v/>
      </c>
      <c r="AE84" s="10" t="str">
        <f t="shared" si="37"/>
        <v/>
      </c>
      <c r="AF84" s="10" t="str">
        <f t="shared" si="38"/>
        <v/>
      </c>
      <c r="AG84"/>
      <c r="AH84" t="str">
        <f t="shared" si="39"/>
        <v/>
      </c>
      <c r="AI84" t="str">
        <f t="shared" si="40"/>
        <v/>
      </c>
      <c r="AK84" cm="1">
        <f t="array" ref="AK84">IFERROR(IF(INDEX($A:$A,ROW())="","",INDEX($A:$A,ROW())),"")</f>
        <v>83</v>
      </c>
      <c r="AL84" t="str" cm="1">
        <f t="array" ref="AL84">IFERROR(INDEX(tblTrades[sol_invested],ROW()-1),"")</f>
        <v/>
      </c>
      <c r="AM84" s="6" t="str" cm="1">
        <f t="array" ref="AM84">IFERROR(INDEX(tblAnalysis[P&amp;L SOL],ROW()-1),"")</f>
        <v/>
      </c>
      <c r="AN84" t="str" cm="1">
        <f t="array" ref="AN84">IFERROR(IF(INDEX(tblTrades[sol_invested],ROW()-1)&gt;0.5,INDEX(tblAnalysis[Token],ROW()-1)&amp;" ("&amp;TEXT(INDEX(tblTrades[sol_invested],ROW()-1),"0.0")&amp;" SOL)",""),"")</f>
        <v/>
      </c>
      <c r="AO84" s="7" t="e" cm="1">
        <f t="array" ref="AO84">IF(INDEX(tblTrades[sol_invested],ROW()-1)&gt;0.5,INDEX(tblAnalysis[Cum P&amp;L SOL],ROW()-1),"")</f>
        <v>#REF!</v>
      </c>
      <c r="AP84" s="12" t="str" cm="1">
        <f t="array" ref="AP84">IFERROR(INDEX(tblAnalysis[Entry MC ($)],ROW()-1),"")</f>
        <v/>
      </c>
      <c r="AQ84" s="10" t="str" cm="1">
        <f t="array" ref="AQ84">IFERROR(INDEX(tblAnalysis[P&amp;L %],ROW()-1),"")</f>
        <v/>
      </c>
      <c r="AR84" t="str" cm="1">
        <f t="array" ref="AR84">IFERROR(INDEX(tblAnalysis[Hold Time (s)],ROW()-1),"")</f>
        <v/>
      </c>
      <c r="AS84" s="6" t="str" cm="1">
        <f t="array" ref="AS84">IFERROR(INDEX(tblAnalysis[P&amp;L SOL],ROW()-1),"")</f>
        <v/>
      </c>
      <c r="AT84"/>
      <c r="AY84" s="10"/>
      <c r="AZ84" s="10"/>
      <c r="BA84" s="6"/>
      <c r="BB84"/>
      <c r="BF84" t="str">
        <f t="shared" si="41"/>
        <v/>
      </c>
      <c r="BG84" s="27" t="str">
        <f t="shared" si="42"/>
        <v/>
      </c>
      <c r="BH84" t="str">
        <f t="shared" si="43"/>
        <v/>
      </c>
      <c r="BL84" s="29" t="e">
        <f t="shared" si="44"/>
        <v>#N/A</v>
      </c>
      <c r="BM84" s="29" t="e">
        <f t="shared" si="45"/>
        <v>#N/A</v>
      </c>
    </row>
    <row r="85" spans="1:65" x14ac:dyDescent="0.35">
      <c r="A85">
        <f t="shared" si="28"/>
        <v>84</v>
      </c>
      <c r="B85" t="e" cm="1">
        <f t="array" ref="B85">INDEX(tblTrades[token_name],ROW()-1)</f>
        <v>#REF!</v>
      </c>
      <c r="C85" s="27" t="e" cm="1">
        <f t="array" ref="C85">INDEX(tblTrades[entry_date],ROW()-1)</f>
        <v>#REF!</v>
      </c>
      <c r="D85" s="2" t="e" cm="1">
        <f t="array" ref="D85">INDEX(tblTrades[entry_mc_actual],ROW()-1)</f>
        <v>#REF!</v>
      </c>
      <c r="E85" s="2" t="e" cm="1">
        <f t="array" ref="E85">INDEX(tblTrades[exit_mc_actual],ROW()-1)</f>
        <v>#REF!</v>
      </c>
      <c r="F85" s="3" t="e" cm="1">
        <f t="array" ref="F85">INDEX(tblTrades[time_in_trade_seconds],ROW()-1)</f>
        <v>#REF!</v>
      </c>
      <c r="G85" s="4" t="str" cm="1">
        <f t="array" ref="G85">IFERROR(INDEX(tblTrades[pnl_percentage],ROW()-1)*1,"")</f>
        <v/>
      </c>
      <c r="H85" s="5" t="str" cm="1">
        <f t="array" ref="H85">IFERROR(INDEX(tblTrades[pnl_sol],ROW()-1)*1,"")</f>
        <v/>
      </c>
      <c r="I85" t="str">
        <f t="shared" si="29"/>
        <v/>
      </c>
      <c r="J85" t="str">
        <f t="shared" si="30"/>
        <v/>
      </c>
      <c r="K85" t="str">
        <f t="shared" si="31"/>
        <v/>
      </c>
      <c r="L85" s="20" t="str" cm="1">
        <f t="array" ref="L85">IFERROR(INDEX(tblTrades[sol_invested],ROW()-1),"")</f>
        <v/>
      </c>
      <c r="M85" s="1">
        <f>COUNTIFS(tblAnalysis[Token],tblAnalysis[[#This Row],[Token]])</f>
        <v>0</v>
      </c>
      <c r="N85" s="1">
        <f>COUNTIFS($B$2:B85,tblAnalysis[[#This Row],[Token]])</f>
        <v>0</v>
      </c>
      <c r="O85" s="5">
        <f>IFERROR(SUM($H$2:H85),"")</f>
        <v>0.40399999999999997</v>
      </c>
      <c r="P85" s="6"/>
      <c r="Q85" s="27"/>
      <c r="R85" s="6" t="str">
        <f>IF(Q85="","",SUMIFS(tblAnalysis[P&amp;L SOL],tblAnalysis[Date],Q85))</f>
        <v/>
      </c>
      <c r="S85" s="10" t="str">
        <f>IF(Q85="","",SUMIFS(tblAnalysis[P&amp;L %],tblAnalysis[Date],Q85))</f>
        <v/>
      </c>
      <c r="T85" s="6" t="str">
        <f>IF(Q85="","",IFERROR(SUM($R$2:R85),""))</f>
        <v/>
      </c>
      <c r="U85" t="str">
        <f>IF(Q85="","",COUNTIFS(tblAnalysis[Date],Q85))</f>
        <v/>
      </c>
      <c r="W85" s="27" t="str">
        <f t="shared" si="32"/>
        <v/>
      </c>
      <c r="X85" s="6" t="str">
        <f t="shared" si="33"/>
        <v/>
      </c>
      <c r="Y85" s="6" t="str">
        <f>IF(Q85="","",MAX(X85,_xlfn.MAXIFS(tblAnalysis[Cum P&amp;L SOL],tblAnalysis[Date],Q85)))</f>
        <v/>
      </c>
      <c r="Z85" s="6" t="str">
        <f>IF(Q85="","",MIN(X85,_xlfn.MINIFS(tblAnalysis[Cum P&amp;L SOL],tblAnalysis[Date],Q85)))</f>
        <v/>
      </c>
      <c r="AA85" s="6" t="str">
        <f t="shared" si="34"/>
        <v/>
      </c>
      <c r="AB85"/>
      <c r="AC85" s="27" t="str">
        <f t="shared" si="35"/>
        <v/>
      </c>
      <c r="AD85" s="10" t="str">
        <f t="shared" si="36"/>
        <v/>
      </c>
      <c r="AE85" s="10" t="str">
        <f t="shared" si="37"/>
        <v/>
      </c>
      <c r="AF85" s="10" t="str">
        <f t="shared" si="38"/>
        <v/>
      </c>
      <c r="AG85"/>
      <c r="AH85" t="str">
        <f t="shared" si="39"/>
        <v/>
      </c>
      <c r="AI85" t="str">
        <f t="shared" si="40"/>
        <v/>
      </c>
      <c r="AK85" cm="1">
        <f t="array" ref="AK85">IFERROR(IF(INDEX($A:$A,ROW())="","",INDEX($A:$A,ROW())),"")</f>
        <v>84</v>
      </c>
      <c r="AL85" t="str" cm="1">
        <f t="array" ref="AL85">IFERROR(INDEX(tblTrades[sol_invested],ROW()-1),"")</f>
        <v/>
      </c>
      <c r="AM85" s="6" t="str" cm="1">
        <f t="array" ref="AM85">IFERROR(INDEX(tblAnalysis[P&amp;L SOL],ROW()-1),"")</f>
        <v/>
      </c>
      <c r="AN85" t="str" cm="1">
        <f t="array" ref="AN85">IFERROR(IF(INDEX(tblTrades[sol_invested],ROW()-1)&gt;0.5,INDEX(tblAnalysis[Token],ROW()-1)&amp;" ("&amp;TEXT(INDEX(tblTrades[sol_invested],ROW()-1),"0.0")&amp;" SOL)",""),"")</f>
        <v/>
      </c>
      <c r="AO85" s="7" t="e" cm="1">
        <f t="array" ref="AO85">IF(INDEX(tblTrades[sol_invested],ROW()-1)&gt;0.5,INDEX(tblAnalysis[Cum P&amp;L SOL],ROW()-1),"")</f>
        <v>#REF!</v>
      </c>
      <c r="AP85" s="12" t="str" cm="1">
        <f t="array" ref="AP85">IFERROR(INDEX(tblAnalysis[Entry MC ($)],ROW()-1),"")</f>
        <v/>
      </c>
      <c r="AQ85" s="10" t="str" cm="1">
        <f t="array" ref="AQ85">IFERROR(INDEX(tblAnalysis[P&amp;L %],ROW()-1),"")</f>
        <v/>
      </c>
      <c r="AR85" t="str" cm="1">
        <f t="array" ref="AR85">IFERROR(INDEX(tblAnalysis[Hold Time (s)],ROW()-1),"")</f>
        <v/>
      </c>
      <c r="AS85" s="6" t="str" cm="1">
        <f t="array" ref="AS85">IFERROR(INDEX(tblAnalysis[P&amp;L SOL],ROW()-1),"")</f>
        <v/>
      </c>
      <c r="AT85"/>
      <c r="AY85" s="10"/>
      <c r="AZ85" s="10"/>
      <c r="BA85" s="6"/>
      <c r="BB85"/>
      <c r="BF85" t="str">
        <f t="shared" si="41"/>
        <v/>
      </c>
      <c r="BG85" s="27" t="str">
        <f t="shared" si="42"/>
        <v/>
      </c>
      <c r="BH85" t="str">
        <f t="shared" si="43"/>
        <v/>
      </c>
      <c r="BL85" s="29" t="e">
        <f t="shared" si="44"/>
        <v>#N/A</v>
      </c>
      <c r="BM85" s="29" t="e">
        <f t="shared" si="45"/>
        <v>#N/A</v>
      </c>
    </row>
    <row r="86" spans="1:65" x14ac:dyDescent="0.35">
      <c r="A86">
        <f t="shared" si="28"/>
        <v>85</v>
      </c>
      <c r="B86" t="e" cm="1">
        <f t="array" ref="B86">INDEX(tblTrades[token_name],ROW()-1)</f>
        <v>#REF!</v>
      </c>
      <c r="C86" s="27" t="e" cm="1">
        <f t="array" ref="C86">INDEX(tblTrades[entry_date],ROW()-1)</f>
        <v>#REF!</v>
      </c>
      <c r="D86" s="2" t="e" cm="1">
        <f t="array" ref="D86">INDEX(tblTrades[entry_mc_actual],ROW()-1)</f>
        <v>#REF!</v>
      </c>
      <c r="E86" s="2" t="e" cm="1">
        <f t="array" ref="E86">INDEX(tblTrades[exit_mc_actual],ROW()-1)</f>
        <v>#REF!</v>
      </c>
      <c r="F86" s="3" t="e" cm="1">
        <f t="array" ref="F86">INDEX(tblTrades[time_in_trade_seconds],ROW()-1)</f>
        <v>#REF!</v>
      </c>
      <c r="G86" s="4" t="str" cm="1">
        <f t="array" ref="G86">IFERROR(INDEX(tblTrades[pnl_percentage],ROW()-1)*1,"")</f>
        <v/>
      </c>
      <c r="H86" s="5" t="str" cm="1">
        <f t="array" ref="H86">IFERROR(INDEX(tblTrades[pnl_sol],ROW()-1)*1,"")</f>
        <v/>
      </c>
      <c r="I86" t="str">
        <f t="shared" si="29"/>
        <v/>
      </c>
      <c r="J86" t="str">
        <f t="shared" si="30"/>
        <v/>
      </c>
      <c r="K86" t="str">
        <f t="shared" si="31"/>
        <v/>
      </c>
      <c r="L86" s="20" t="str" cm="1">
        <f t="array" ref="L86">IFERROR(INDEX(tblTrades[sol_invested],ROW()-1),"")</f>
        <v/>
      </c>
      <c r="M86" s="1">
        <f>COUNTIFS(tblAnalysis[Token],tblAnalysis[[#This Row],[Token]])</f>
        <v>0</v>
      </c>
      <c r="N86" s="1">
        <f>COUNTIFS($B$2:B86,tblAnalysis[[#This Row],[Token]])</f>
        <v>0</v>
      </c>
      <c r="O86" s="5">
        <f>IFERROR(SUM($H$2:H86),"")</f>
        <v>0.40399999999999997</v>
      </c>
      <c r="P86" s="6"/>
      <c r="Q86" s="27"/>
      <c r="R86" s="6" t="str">
        <f>IF(Q86="","",SUMIFS(tblAnalysis[P&amp;L SOL],tblAnalysis[Date],Q86))</f>
        <v/>
      </c>
      <c r="S86" s="10" t="str">
        <f>IF(Q86="","",SUMIFS(tblAnalysis[P&amp;L %],tblAnalysis[Date],Q86))</f>
        <v/>
      </c>
      <c r="T86" s="6" t="str">
        <f>IF(Q86="","",IFERROR(SUM($R$2:R86),""))</f>
        <v/>
      </c>
      <c r="U86" t="str">
        <f>IF(Q86="","",COUNTIFS(tblAnalysis[Date],Q86))</f>
        <v/>
      </c>
      <c r="W86" s="27" t="str">
        <f t="shared" si="32"/>
        <v/>
      </c>
      <c r="X86" s="6" t="str">
        <f t="shared" si="33"/>
        <v/>
      </c>
      <c r="Y86" s="6" t="str">
        <f>IF(Q86="","",MAX(X86,_xlfn.MAXIFS(tblAnalysis[Cum P&amp;L SOL],tblAnalysis[Date],Q86)))</f>
        <v/>
      </c>
      <c r="Z86" s="6" t="str">
        <f>IF(Q86="","",MIN(X86,_xlfn.MINIFS(tblAnalysis[Cum P&amp;L SOL],tblAnalysis[Date],Q86)))</f>
        <v/>
      </c>
      <c r="AA86" s="6" t="str">
        <f t="shared" si="34"/>
        <v/>
      </c>
      <c r="AB86"/>
      <c r="AC86" s="27" t="str">
        <f t="shared" si="35"/>
        <v/>
      </c>
      <c r="AD86" s="10" t="str">
        <f t="shared" si="36"/>
        <v/>
      </c>
      <c r="AE86" s="10" t="str">
        <f t="shared" si="37"/>
        <v/>
      </c>
      <c r="AF86" s="10" t="str">
        <f t="shared" si="38"/>
        <v/>
      </c>
      <c r="AG86"/>
      <c r="AH86" t="str">
        <f t="shared" si="39"/>
        <v/>
      </c>
      <c r="AI86" t="str">
        <f t="shared" si="40"/>
        <v/>
      </c>
      <c r="AK86" cm="1">
        <f t="array" ref="AK86">IFERROR(IF(INDEX($A:$A,ROW())="","",INDEX($A:$A,ROW())),"")</f>
        <v>85</v>
      </c>
      <c r="AL86" t="str" cm="1">
        <f t="array" ref="AL86">IFERROR(INDEX(tblTrades[sol_invested],ROW()-1),"")</f>
        <v/>
      </c>
      <c r="AM86" s="6" t="str" cm="1">
        <f t="array" ref="AM86">IFERROR(INDEX(tblAnalysis[P&amp;L SOL],ROW()-1),"")</f>
        <v/>
      </c>
      <c r="AN86" t="str" cm="1">
        <f t="array" ref="AN86">IFERROR(IF(INDEX(tblTrades[sol_invested],ROW()-1)&gt;0.5,INDEX(tblAnalysis[Token],ROW()-1)&amp;" ("&amp;TEXT(INDEX(tblTrades[sol_invested],ROW()-1),"0.0")&amp;" SOL)",""),"")</f>
        <v/>
      </c>
      <c r="AO86" s="7" t="e" cm="1">
        <f t="array" ref="AO86">IF(INDEX(tblTrades[sol_invested],ROW()-1)&gt;0.5,INDEX(tblAnalysis[Cum P&amp;L SOL],ROW()-1),"")</f>
        <v>#REF!</v>
      </c>
      <c r="AP86" s="12" t="str" cm="1">
        <f t="array" ref="AP86">IFERROR(INDEX(tblAnalysis[Entry MC ($)],ROW()-1),"")</f>
        <v/>
      </c>
      <c r="AQ86" s="10" t="str" cm="1">
        <f t="array" ref="AQ86">IFERROR(INDEX(tblAnalysis[P&amp;L %],ROW()-1),"")</f>
        <v/>
      </c>
      <c r="AR86" t="str" cm="1">
        <f t="array" ref="AR86">IFERROR(INDEX(tblAnalysis[Hold Time (s)],ROW()-1),"")</f>
        <v/>
      </c>
      <c r="AS86" s="6" t="str" cm="1">
        <f t="array" ref="AS86">IFERROR(INDEX(tblAnalysis[P&amp;L SOL],ROW()-1),"")</f>
        <v/>
      </c>
      <c r="AT86"/>
      <c r="AY86" s="10"/>
      <c r="AZ86" s="10"/>
      <c r="BA86" s="6"/>
      <c r="BB86"/>
      <c r="BF86" t="str">
        <f t="shared" si="41"/>
        <v/>
      </c>
      <c r="BG86" s="27" t="str">
        <f t="shared" si="42"/>
        <v/>
      </c>
      <c r="BH86" t="str">
        <f t="shared" si="43"/>
        <v/>
      </c>
      <c r="BL86" s="29" t="e">
        <f t="shared" si="44"/>
        <v>#N/A</v>
      </c>
      <c r="BM86" s="29" t="e">
        <f t="shared" si="45"/>
        <v>#N/A</v>
      </c>
    </row>
    <row r="87" spans="1:65" x14ac:dyDescent="0.35">
      <c r="A87">
        <f t="shared" si="28"/>
        <v>86</v>
      </c>
      <c r="B87" t="e" cm="1">
        <f t="array" ref="B87">INDEX(tblTrades[token_name],ROW()-1)</f>
        <v>#REF!</v>
      </c>
      <c r="C87" s="27" t="e" cm="1">
        <f t="array" ref="C87">INDEX(tblTrades[entry_date],ROW()-1)</f>
        <v>#REF!</v>
      </c>
      <c r="D87" s="2" t="e" cm="1">
        <f t="array" ref="D87">INDEX(tblTrades[entry_mc_actual],ROW()-1)</f>
        <v>#REF!</v>
      </c>
      <c r="E87" s="2" t="e" cm="1">
        <f t="array" ref="E87">INDEX(tblTrades[exit_mc_actual],ROW()-1)</f>
        <v>#REF!</v>
      </c>
      <c r="F87" s="3" t="e" cm="1">
        <f t="array" ref="F87">INDEX(tblTrades[time_in_trade_seconds],ROW()-1)</f>
        <v>#REF!</v>
      </c>
      <c r="G87" s="4" t="str" cm="1">
        <f t="array" ref="G87">IFERROR(INDEX(tblTrades[pnl_percentage],ROW()-1)*1,"")</f>
        <v/>
      </c>
      <c r="H87" s="5" t="str" cm="1">
        <f t="array" ref="H87">IFERROR(INDEX(tblTrades[pnl_sol],ROW()-1)*1,"")</f>
        <v/>
      </c>
      <c r="I87" t="str">
        <f t="shared" si="29"/>
        <v/>
      </c>
      <c r="J87" t="str">
        <f t="shared" si="30"/>
        <v/>
      </c>
      <c r="K87" t="str">
        <f t="shared" si="31"/>
        <v/>
      </c>
      <c r="L87" s="20" t="str" cm="1">
        <f t="array" ref="L87">IFERROR(INDEX(tblTrades[sol_invested],ROW()-1),"")</f>
        <v/>
      </c>
      <c r="M87" s="1">
        <f>COUNTIFS(tblAnalysis[Token],tblAnalysis[[#This Row],[Token]])</f>
        <v>0</v>
      </c>
      <c r="N87" s="1">
        <f>COUNTIFS($B$2:B87,tblAnalysis[[#This Row],[Token]])</f>
        <v>0</v>
      </c>
      <c r="O87" s="5">
        <f>IFERROR(SUM($H$2:H87),"")</f>
        <v>0.40399999999999997</v>
      </c>
      <c r="P87" s="6"/>
      <c r="Q87" s="27"/>
      <c r="R87" s="6" t="str">
        <f>IF(Q87="","",SUMIFS(tblAnalysis[P&amp;L SOL],tblAnalysis[Date],Q87))</f>
        <v/>
      </c>
      <c r="S87" s="10" t="str">
        <f>IF(Q87="","",SUMIFS(tblAnalysis[P&amp;L %],tblAnalysis[Date],Q87))</f>
        <v/>
      </c>
      <c r="T87" s="6" t="str">
        <f>IF(Q87="","",IFERROR(SUM($R$2:R87),""))</f>
        <v/>
      </c>
      <c r="U87" t="str">
        <f>IF(Q87="","",COUNTIFS(tblAnalysis[Date],Q87))</f>
        <v/>
      </c>
      <c r="W87" s="27" t="str">
        <f t="shared" si="32"/>
        <v/>
      </c>
      <c r="X87" s="6" t="str">
        <f t="shared" si="33"/>
        <v/>
      </c>
      <c r="Y87" s="6" t="str">
        <f>IF(Q87="","",MAX(X87,_xlfn.MAXIFS(tblAnalysis[Cum P&amp;L SOL],tblAnalysis[Date],Q87)))</f>
        <v/>
      </c>
      <c r="Z87" s="6" t="str">
        <f>IF(Q87="","",MIN(X87,_xlfn.MINIFS(tblAnalysis[Cum P&amp;L SOL],tblAnalysis[Date],Q87)))</f>
        <v/>
      </c>
      <c r="AA87" s="6" t="str">
        <f t="shared" si="34"/>
        <v/>
      </c>
      <c r="AB87"/>
      <c r="AC87" s="27" t="str">
        <f t="shared" si="35"/>
        <v/>
      </c>
      <c r="AD87" s="10" t="str">
        <f t="shared" si="36"/>
        <v/>
      </c>
      <c r="AE87" s="10" t="str">
        <f t="shared" si="37"/>
        <v/>
      </c>
      <c r="AF87" s="10" t="str">
        <f t="shared" si="38"/>
        <v/>
      </c>
      <c r="AG87"/>
      <c r="AH87" t="str">
        <f t="shared" si="39"/>
        <v/>
      </c>
      <c r="AI87" t="str">
        <f t="shared" si="40"/>
        <v/>
      </c>
      <c r="AK87" cm="1">
        <f t="array" ref="AK87">IFERROR(IF(INDEX($A:$A,ROW())="","",INDEX($A:$A,ROW())),"")</f>
        <v>86</v>
      </c>
      <c r="AL87" t="str" cm="1">
        <f t="array" ref="AL87">IFERROR(INDEX(tblTrades[sol_invested],ROW()-1),"")</f>
        <v/>
      </c>
      <c r="AM87" s="6" t="str" cm="1">
        <f t="array" ref="AM87">IFERROR(INDEX(tblAnalysis[P&amp;L SOL],ROW()-1),"")</f>
        <v/>
      </c>
      <c r="AN87" t="str" cm="1">
        <f t="array" ref="AN87">IFERROR(IF(INDEX(tblTrades[sol_invested],ROW()-1)&gt;0.5,INDEX(tblAnalysis[Token],ROW()-1)&amp;" ("&amp;TEXT(INDEX(tblTrades[sol_invested],ROW()-1),"0.0")&amp;" SOL)",""),"")</f>
        <v/>
      </c>
      <c r="AO87" s="7" t="e" cm="1">
        <f t="array" ref="AO87">IF(INDEX(tblTrades[sol_invested],ROW()-1)&gt;0.5,INDEX(tblAnalysis[Cum P&amp;L SOL],ROW()-1),"")</f>
        <v>#REF!</v>
      </c>
      <c r="AP87" s="12" t="str" cm="1">
        <f t="array" ref="AP87">IFERROR(INDEX(tblAnalysis[Entry MC ($)],ROW()-1),"")</f>
        <v/>
      </c>
      <c r="AQ87" s="10" t="str" cm="1">
        <f t="array" ref="AQ87">IFERROR(INDEX(tblAnalysis[P&amp;L %],ROW()-1),"")</f>
        <v/>
      </c>
      <c r="AR87" t="str" cm="1">
        <f t="array" ref="AR87">IFERROR(INDEX(tblAnalysis[Hold Time (s)],ROW()-1),"")</f>
        <v/>
      </c>
      <c r="AS87" s="6" t="str" cm="1">
        <f t="array" ref="AS87">IFERROR(INDEX(tblAnalysis[P&amp;L SOL],ROW()-1),"")</f>
        <v/>
      </c>
      <c r="AT87"/>
      <c r="AY87" s="10"/>
      <c r="AZ87" s="10"/>
      <c r="BA87" s="6"/>
      <c r="BB87"/>
      <c r="BF87" t="str">
        <f t="shared" si="41"/>
        <v/>
      </c>
      <c r="BG87" s="27" t="str">
        <f t="shared" si="42"/>
        <v/>
      </c>
      <c r="BH87" t="str">
        <f t="shared" si="43"/>
        <v/>
      </c>
      <c r="BL87" s="29" t="e">
        <f t="shared" si="44"/>
        <v>#N/A</v>
      </c>
      <c r="BM87" s="29" t="e">
        <f t="shared" si="45"/>
        <v>#N/A</v>
      </c>
    </row>
    <row r="88" spans="1:65" x14ac:dyDescent="0.35">
      <c r="A88">
        <f t="shared" si="28"/>
        <v>87</v>
      </c>
      <c r="B88" t="e" cm="1">
        <f t="array" ref="B88">INDEX(tblTrades[token_name],ROW()-1)</f>
        <v>#REF!</v>
      </c>
      <c r="C88" s="27" t="e" cm="1">
        <f t="array" ref="C88">INDEX(tblTrades[entry_date],ROW()-1)</f>
        <v>#REF!</v>
      </c>
      <c r="D88" s="2" t="e" cm="1">
        <f t="array" ref="D88">INDEX(tblTrades[entry_mc_actual],ROW()-1)</f>
        <v>#REF!</v>
      </c>
      <c r="E88" s="2" t="e" cm="1">
        <f t="array" ref="E88">INDEX(tblTrades[exit_mc_actual],ROW()-1)</f>
        <v>#REF!</v>
      </c>
      <c r="F88" s="3" t="e" cm="1">
        <f t="array" ref="F88">INDEX(tblTrades[time_in_trade_seconds],ROW()-1)</f>
        <v>#REF!</v>
      </c>
      <c r="G88" s="4" t="str" cm="1">
        <f t="array" ref="G88">IFERROR(INDEX(tblTrades[pnl_percentage],ROW()-1)*1,"")</f>
        <v/>
      </c>
      <c r="H88" s="5" t="str" cm="1">
        <f t="array" ref="H88">IFERROR(INDEX(tblTrades[pnl_sol],ROW()-1)*1,"")</f>
        <v/>
      </c>
      <c r="I88" t="str">
        <f t="shared" si="29"/>
        <v/>
      </c>
      <c r="J88" t="str">
        <f t="shared" si="30"/>
        <v/>
      </c>
      <c r="K88" t="str">
        <f t="shared" si="31"/>
        <v/>
      </c>
      <c r="L88" s="20" t="str" cm="1">
        <f t="array" ref="L88">IFERROR(INDEX(tblTrades[sol_invested],ROW()-1),"")</f>
        <v/>
      </c>
      <c r="M88" s="1">
        <f>COUNTIFS(tblAnalysis[Token],tblAnalysis[[#This Row],[Token]])</f>
        <v>0</v>
      </c>
      <c r="N88" s="1">
        <f>COUNTIFS($B$2:B88,tblAnalysis[[#This Row],[Token]])</f>
        <v>0</v>
      </c>
      <c r="O88" s="5">
        <f>IFERROR(SUM($H$2:H88),"")</f>
        <v>0.40399999999999997</v>
      </c>
      <c r="P88" s="6"/>
      <c r="Q88" s="27"/>
      <c r="R88" s="6" t="str">
        <f>IF(Q88="","",SUMIFS(tblAnalysis[P&amp;L SOL],tblAnalysis[Date],Q88))</f>
        <v/>
      </c>
      <c r="S88" s="10" t="str">
        <f>IF(Q88="","",SUMIFS(tblAnalysis[P&amp;L %],tblAnalysis[Date],Q88))</f>
        <v/>
      </c>
      <c r="T88" s="6" t="str">
        <f>IF(Q88="","",IFERROR(SUM($R$2:R88),""))</f>
        <v/>
      </c>
      <c r="U88" t="str">
        <f>IF(Q88="","",COUNTIFS(tblAnalysis[Date],Q88))</f>
        <v/>
      </c>
      <c r="W88" s="27" t="str">
        <f t="shared" si="32"/>
        <v/>
      </c>
      <c r="X88" s="6" t="str">
        <f t="shared" si="33"/>
        <v/>
      </c>
      <c r="Y88" s="6" t="str">
        <f>IF(Q88="","",MAX(X88,_xlfn.MAXIFS(tblAnalysis[Cum P&amp;L SOL],tblAnalysis[Date],Q88)))</f>
        <v/>
      </c>
      <c r="Z88" s="6" t="str">
        <f>IF(Q88="","",MIN(X88,_xlfn.MINIFS(tblAnalysis[Cum P&amp;L SOL],tblAnalysis[Date],Q88)))</f>
        <v/>
      </c>
      <c r="AA88" s="6" t="str">
        <f t="shared" si="34"/>
        <v/>
      </c>
      <c r="AB88"/>
      <c r="AC88" s="27" t="str">
        <f t="shared" si="35"/>
        <v/>
      </c>
      <c r="AD88" s="10" t="str">
        <f t="shared" si="36"/>
        <v/>
      </c>
      <c r="AE88" s="10" t="str">
        <f t="shared" si="37"/>
        <v/>
      </c>
      <c r="AF88" s="10" t="str">
        <f t="shared" si="38"/>
        <v/>
      </c>
      <c r="AG88"/>
      <c r="AH88" t="str">
        <f t="shared" si="39"/>
        <v/>
      </c>
      <c r="AI88" t="str">
        <f t="shared" si="40"/>
        <v/>
      </c>
      <c r="AK88" cm="1">
        <f t="array" ref="AK88">IFERROR(IF(INDEX($A:$A,ROW())="","",INDEX($A:$A,ROW())),"")</f>
        <v>87</v>
      </c>
      <c r="AL88" t="str" cm="1">
        <f t="array" ref="AL88">IFERROR(INDEX(tblTrades[sol_invested],ROW()-1),"")</f>
        <v/>
      </c>
      <c r="AM88" s="6" t="str" cm="1">
        <f t="array" ref="AM88">IFERROR(INDEX(tblAnalysis[P&amp;L SOL],ROW()-1),"")</f>
        <v/>
      </c>
      <c r="AN88" t="str" cm="1">
        <f t="array" ref="AN88">IFERROR(IF(INDEX(tblTrades[sol_invested],ROW()-1)&gt;0.5,INDEX(tblAnalysis[Token],ROW()-1)&amp;" ("&amp;TEXT(INDEX(tblTrades[sol_invested],ROW()-1),"0.0")&amp;" SOL)",""),"")</f>
        <v/>
      </c>
      <c r="AO88" s="7" t="e" cm="1">
        <f t="array" ref="AO88">IF(INDEX(tblTrades[sol_invested],ROW()-1)&gt;0.5,INDEX(tblAnalysis[Cum P&amp;L SOL],ROW()-1),"")</f>
        <v>#REF!</v>
      </c>
      <c r="AP88" s="12" t="str" cm="1">
        <f t="array" ref="AP88">IFERROR(INDEX(tblAnalysis[Entry MC ($)],ROW()-1),"")</f>
        <v/>
      </c>
      <c r="AQ88" s="10" t="str" cm="1">
        <f t="array" ref="AQ88">IFERROR(INDEX(tblAnalysis[P&amp;L %],ROW()-1),"")</f>
        <v/>
      </c>
      <c r="AR88" t="str" cm="1">
        <f t="array" ref="AR88">IFERROR(INDEX(tblAnalysis[Hold Time (s)],ROW()-1),"")</f>
        <v/>
      </c>
      <c r="AS88" s="6" t="str" cm="1">
        <f t="array" ref="AS88">IFERROR(INDEX(tblAnalysis[P&amp;L SOL],ROW()-1),"")</f>
        <v/>
      </c>
      <c r="AT88"/>
      <c r="AY88" s="10"/>
      <c r="AZ88" s="10"/>
      <c r="BA88" s="6"/>
      <c r="BB88"/>
      <c r="BF88" t="str">
        <f t="shared" si="41"/>
        <v/>
      </c>
      <c r="BG88" s="27" t="str">
        <f t="shared" si="42"/>
        <v/>
      </c>
      <c r="BH88" t="str">
        <f t="shared" si="43"/>
        <v/>
      </c>
      <c r="BL88" s="29" t="e">
        <f t="shared" si="44"/>
        <v>#N/A</v>
      </c>
      <c r="BM88" s="29" t="e">
        <f t="shared" si="45"/>
        <v>#N/A</v>
      </c>
    </row>
    <row r="89" spans="1:65" x14ac:dyDescent="0.35">
      <c r="A89">
        <f t="shared" si="28"/>
        <v>88</v>
      </c>
      <c r="B89" t="e" cm="1">
        <f t="array" ref="B89">INDEX(tblTrades[token_name],ROW()-1)</f>
        <v>#REF!</v>
      </c>
      <c r="C89" s="27" t="e" cm="1">
        <f t="array" ref="C89">INDEX(tblTrades[entry_date],ROW()-1)</f>
        <v>#REF!</v>
      </c>
      <c r="D89" s="2" t="e" cm="1">
        <f t="array" ref="D89">INDEX(tblTrades[entry_mc_actual],ROW()-1)</f>
        <v>#REF!</v>
      </c>
      <c r="E89" s="2" t="e" cm="1">
        <f t="array" ref="E89">INDEX(tblTrades[exit_mc_actual],ROW()-1)</f>
        <v>#REF!</v>
      </c>
      <c r="F89" s="3" t="e" cm="1">
        <f t="array" ref="F89">INDEX(tblTrades[time_in_trade_seconds],ROW()-1)</f>
        <v>#REF!</v>
      </c>
      <c r="G89" s="4" t="str" cm="1">
        <f t="array" ref="G89">IFERROR(INDEX(tblTrades[pnl_percentage],ROW()-1)*1,"")</f>
        <v/>
      </c>
      <c r="H89" s="5" t="str" cm="1">
        <f t="array" ref="H89">IFERROR(INDEX(tblTrades[pnl_sol],ROW()-1)*1,"")</f>
        <v/>
      </c>
      <c r="I89" t="str">
        <f t="shared" si="29"/>
        <v/>
      </c>
      <c r="J89" t="str">
        <f t="shared" si="30"/>
        <v/>
      </c>
      <c r="K89" t="str">
        <f t="shared" si="31"/>
        <v/>
      </c>
      <c r="L89" s="20" t="str" cm="1">
        <f t="array" ref="L89">IFERROR(INDEX(tblTrades[sol_invested],ROW()-1),"")</f>
        <v/>
      </c>
      <c r="M89" s="1">
        <f>COUNTIFS(tblAnalysis[Token],tblAnalysis[[#This Row],[Token]])</f>
        <v>0</v>
      </c>
      <c r="N89" s="1">
        <f>COUNTIFS($B$2:B89,tblAnalysis[[#This Row],[Token]])</f>
        <v>0</v>
      </c>
      <c r="O89" s="5">
        <f>IFERROR(SUM($H$2:H89),"")</f>
        <v>0.40399999999999997</v>
      </c>
      <c r="P89" s="6"/>
      <c r="Q89" s="27"/>
      <c r="R89" s="6" t="str">
        <f>IF(Q89="","",SUMIFS(tblAnalysis[P&amp;L SOL],tblAnalysis[Date],Q89))</f>
        <v/>
      </c>
      <c r="S89" s="10" t="str">
        <f>IF(Q89="","",SUMIFS(tblAnalysis[P&amp;L %],tblAnalysis[Date],Q89))</f>
        <v/>
      </c>
      <c r="T89" s="6" t="str">
        <f>IF(Q89="","",IFERROR(SUM($R$2:R89),""))</f>
        <v/>
      </c>
      <c r="U89" t="str">
        <f>IF(Q89="","",COUNTIFS(tblAnalysis[Date],Q89))</f>
        <v/>
      </c>
      <c r="W89" s="27" t="str">
        <f t="shared" si="32"/>
        <v/>
      </c>
      <c r="X89" s="6" t="str">
        <f t="shared" si="33"/>
        <v/>
      </c>
      <c r="Y89" s="6" t="str">
        <f>IF(Q89="","",MAX(X89,_xlfn.MAXIFS(tblAnalysis[Cum P&amp;L SOL],tblAnalysis[Date],Q89)))</f>
        <v/>
      </c>
      <c r="Z89" s="6" t="str">
        <f>IF(Q89="","",MIN(X89,_xlfn.MINIFS(tblAnalysis[Cum P&amp;L SOL],tblAnalysis[Date],Q89)))</f>
        <v/>
      </c>
      <c r="AA89" s="6" t="str">
        <f t="shared" si="34"/>
        <v/>
      </c>
      <c r="AB89"/>
      <c r="AC89" s="27" t="str">
        <f t="shared" si="35"/>
        <v/>
      </c>
      <c r="AD89" s="10" t="str">
        <f t="shared" si="36"/>
        <v/>
      </c>
      <c r="AE89" s="10" t="str">
        <f t="shared" si="37"/>
        <v/>
      </c>
      <c r="AF89" s="10" t="str">
        <f t="shared" si="38"/>
        <v/>
      </c>
      <c r="AG89"/>
      <c r="AH89" t="str">
        <f t="shared" si="39"/>
        <v/>
      </c>
      <c r="AI89" t="str">
        <f t="shared" si="40"/>
        <v/>
      </c>
      <c r="AK89" cm="1">
        <f t="array" ref="AK89">IFERROR(IF(INDEX($A:$A,ROW())="","",INDEX($A:$A,ROW())),"")</f>
        <v>88</v>
      </c>
      <c r="AL89" t="str" cm="1">
        <f t="array" ref="AL89">IFERROR(INDEX(tblTrades[sol_invested],ROW()-1),"")</f>
        <v/>
      </c>
      <c r="AM89" s="6" t="str" cm="1">
        <f t="array" ref="AM89">IFERROR(INDEX(tblAnalysis[P&amp;L SOL],ROW()-1),"")</f>
        <v/>
      </c>
      <c r="AN89" t="str" cm="1">
        <f t="array" ref="AN89">IFERROR(IF(INDEX(tblTrades[sol_invested],ROW()-1)&gt;0.5,INDEX(tblAnalysis[Token],ROW()-1)&amp;" ("&amp;TEXT(INDEX(tblTrades[sol_invested],ROW()-1),"0.0")&amp;" SOL)",""),"")</f>
        <v/>
      </c>
      <c r="AO89" s="7" t="e" cm="1">
        <f t="array" ref="AO89">IF(INDEX(tblTrades[sol_invested],ROW()-1)&gt;0.5,INDEX(tblAnalysis[Cum P&amp;L SOL],ROW()-1),"")</f>
        <v>#REF!</v>
      </c>
      <c r="AP89" s="12" t="str" cm="1">
        <f t="array" ref="AP89">IFERROR(INDEX(tblAnalysis[Entry MC ($)],ROW()-1),"")</f>
        <v/>
      </c>
      <c r="AQ89" s="10" t="str" cm="1">
        <f t="array" ref="AQ89">IFERROR(INDEX(tblAnalysis[P&amp;L %],ROW()-1),"")</f>
        <v/>
      </c>
      <c r="AR89" t="str" cm="1">
        <f t="array" ref="AR89">IFERROR(INDEX(tblAnalysis[Hold Time (s)],ROW()-1),"")</f>
        <v/>
      </c>
      <c r="AS89" s="6" t="str" cm="1">
        <f t="array" ref="AS89">IFERROR(INDEX(tblAnalysis[P&amp;L SOL],ROW()-1),"")</f>
        <v/>
      </c>
      <c r="AT89"/>
      <c r="AY89" s="10"/>
      <c r="AZ89" s="10"/>
      <c r="BA89" s="6"/>
      <c r="BB89"/>
      <c r="BF89" t="str">
        <f t="shared" si="41"/>
        <v/>
      </c>
      <c r="BG89" s="27" t="str">
        <f t="shared" si="42"/>
        <v/>
      </c>
      <c r="BH89" t="str">
        <f t="shared" si="43"/>
        <v/>
      </c>
      <c r="BL89" s="29" t="e">
        <f t="shared" si="44"/>
        <v>#N/A</v>
      </c>
      <c r="BM89" s="29" t="e">
        <f t="shared" si="45"/>
        <v>#N/A</v>
      </c>
    </row>
    <row r="90" spans="1:65" x14ac:dyDescent="0.35">
      <c r="A90">
        <f t="shared" si="28"/>
        <v>89</v>
      </c>
      <c r="B90" t="e" cm="1">
        <f t="array" ref="B90">INDEX(tblTrades[token_name],ROW()-1)</f>
        <v>#REF!</v>
      </c>
      <c r="C90" s="27" t="e" cm="1">
        <f t="array" ref="C90">INDEX(tblTrades[entry_date],ROW()-1)</f>
        <v>#REF!</v>
      </c>
      <c r="D90" s="2" t="e" cm="1">
        <f t="array" ref="D90">INDEX(tblTrades[entry_mc_actual],ROW()-1)</f>
        <v>#REF!</v>
      </c>
      <c r="E90" s="2" t="e" cm="1">
        <f t="array" ref="E90">INDEX(tblTrades[exit_mc_actual],ROW()-1)</f>
        <v>#REF!</v>
      </c>
      <c r="F90" s="3" t="e" cm="1">
        <f t="array" ref="F90">INDEX(tblTrades[time_in_trade_seconds],ROW()-1)</f>
        <v>#REF!</v>
      </c>
      <c r="G90" s="4" t="str" cm="1">
        <f t="array" ref="G90">IFERROR(INDEX(tblTrades[pnl_percentage],ROW()-1)*1,"")</f>
        <v/>
      </c>
      <c r="H90" s="5" t="str" cm="1">
        <f t="array" ref="H90">IFERROR(INDEX(tblTrades[pnl_sol],ROW()-1)*1,"")</f>
        <v/>
      </c>
      <c r="I90" t="str">
        <f t="shared" si="29"/>
        <v/>
      </c>
      <c r="J90" t="str">
        <f t="shared" si="30"/>
        <v/>
      </c>
      <c r="K90" t="str">
        <f t="shared" si="31"/>
        <v/>
      </c>
      <c r="L90" s="20" t="str" cm="1">
        <f t="array" ref="L90">IFERROR(INDEX(tblTrades[sol_invested],ROW()-1),"")</f>
        <v/>
      </c>
      <c r="M90" s="1">
        <f>COUNTIFS(tblAnalysis[Token],tblAnalysis[[#This Row],[Token]])</f>
        <v>0</v>
      </c>
      <c r="N90" s="1">
        <f>COUNTIFS($B$2:B90,tblAnalysis[[#This Row],[Token]])</f>
        <v>0</v>
      </c>
      <c r="O90" s="5">
        <f>IFERROR(SUM($H$2:H90),"")</f>
        <v>0.40399999999999997</v>
      </c>
      <c r="P90" s="6"/>
      <c r="Q90" s="27"/>
      <c r="R90" s="6" t="str">
        <f>IF(Q90="","",SUMIFS(tblAnalysis[P&amp;L SOL],tblAnalysis[Date],Q90))</f>
        <v/>
      </c>
      <c r="S90" s="10" t="str">
        <f>IF(Q90="","",SUMIFS(tblAnalysis[P&amp;L %],tblAnalysis[Date],Q90))</f>
        <v/>
      </c>
      <c r="T90" s="6" t="str">
        <f>IF(Q90="","",IFERROR(SUM($R$2:R90),""))</f>
        <v/>
      </c>
      <c r="U90" t="str">
        <f>IF(Q90="","",COUNTIFS(tblAnalysis[Date],Q90))</f>
        <v/>
      </c>
      <c r="W90" s="27" t="str">
        <f t="shared" si="32"/>
        <v/>
      </c>
      <c r="X90" s="6" t="str">
        <f t="shared" si="33"/>
        <v/>
      </c>
      <c r="Y90" s="6" t="str">
        <f>IF(Q90="","",MAX(X90,_xlfn.MAXIFS(tblAnalysis[Cum P&amp;L SOL],tblAnalysis[Date],Q90)))</f>
        <v/>
      </c>
      <c r="Z90" s="6" t="str">
        <f>IF(Q90="","",MIN(X90,_xlfn.MINIFS(tblAnalysis[Cum P&amp;L SOL],tblAnalysis[Date],Q90)))</f>
        <v/>
      </c>
      <c r="AA90" s="6" t="str">
        <f t="shared" si="34"/>
        <v/>
      </c>
      <c r="AB90"/>
      <c r="AC90" s="27" t="str">
        <f t="shared" si="35"/>
        <v/>
      </c>
      <c r="AD90" s="10" t="str">
        <f t="shared" si="36"/>
        <v/>
      </c>
      <c r="AE90" s="10" t="str">
        <f t="shared" si="37"/>
        <v/>
      </c>
      <c r="AF90" s="10" t="str">
        <f t="shared" si="38"/>
        <v/>
      </c>
      <c r="AG90"/>
      <c r="AH90" t="str">
        <f t="shared" si="39"/>
        <v/>
      </c>
      <c r="AI90" t="str">
        <f t="shared" si="40"/>
        <v/>
      </c>
      <c r="AK90" cm="1">
        <f t="array" ref="AK90">IFERROR(IF(INDEX($A:$A,ROW())="","",INDEX($A:$A,ROW())),"")</f>
        <v>89</v>
      </c>
      <c r="AL90" t="str" cm="1">
        <f t="array" ref="AL90">IFERROR(INDEX(tblTrades[sol_invested],ROW()-1),"")</f>
        <v/>
      </c>
      <c r="AM90" s="6" t="str" cm="1">
        <f t="array" ref="AM90">IFERROR(INDEX(tblAnalysis[P&amp;L SOL],ROW()-1),"")</f>
        <v/>
      </c>
      <c r="AN90" t="str" cm="1">
        <f t="array" ref="AN90">IFERROR(IF(INDEX(tblTrades[sol_invested],ROW()-1)&gt;0.5,INDEX(tblAnalysis[Token],ROW()-1)&amp;" ("&amp;TEXT(INDEX(tblTrades[sol_invested],ROW()-1),"0.0")&amp;" SOL)",""),"")</f>
        <v/>
      </c>
      <c r="AO90" s="7" t="e" cm="1">
        <f t="array" ref="AO90">IF(INDEX(tblTrades[sol_invested],ROW()-1)&gt;0.5,INDEX(tblAnalysis[Cum P&amp;L SOL],ROW()-1),"")</f>
        <v>#REF!</v>
      </c>
      <c r="AP90" s="12" t="str" cm="1">
        <f t="array" ref="AP90">IFERROR(INDEX(tblAnalysis[Entry MC ($)],ROW()-1),"")</f>
        <v/>
      </c>
      <c r="AQ90" s="10" t="str" cm="1">
        <f t="array" ref="AQ90">IFERROR(INDEX(tblAnalysis[P&amp;L %],ROW()-1),"")</f>
        <v/>
      </c>
      <c r="AR90" t="str" cm="1">
        <f t="array" ref="AR90">IFERROR(INDEX(tblAnalysis[Hold Time (s)],ROW()-1),"")</f>
        <v/>
      </c>
      <c r="AS90" s="6" t="str" cm="1">
        <f t="array" ref="AS90">IFERROR(INDEX(tblAnalysis[P&amp;L SOL],ROW()-1),"")</f>
        <v/>
      </c>
      <c r="AT90"/>
      <c r="AY90" s="10"/>
      <c r="AZ90" s="10"/>
      <c r="BA90" s="6"/>
      <c r="BB90"/>
      <c r="BF90" t="str">
        <f t="shared" si="41"/>
        <v/>
      </c>
      <c r="BG90" s="27" t="str">
        <f t="shared" si="42"/>
        <v/>
      </c>
      <c r="BH90" t="str">
        <f t="shared" si="43"/>
        <v/>
      </c>
      <c r="BL90" s="29" t="e">
        <f t="shared" si="44"/>
        <v>#N/A</v>
      </c>
      <c r="BM90" s="29" t="e">
        <f t="shared" si="45"/>
        <v>#N/A</v>
      </c>
    </row>
    <row r="91" spans="1:65" x14ac:dyDescent="0.35">
      <c r="A91">
        <f t="shared" si="28"/>
        <v>90</v>
      </c>
      <c r="B91" t="e" cm="1">
        <f t="array" ref="B91">INDEX(tblTrades[token_name],ROW()-1)</f>
        <v>#REF!</v>
      </c>
      <c r="C91" s="27" t="e" cm="1">
        <f t="array" ref="C91">INDEX(tblTrades[entry_date],ROW()-1)</f>
        <v>#REF!</v>
      </c>
      <c r="D91" s="2" t="e" cm="1">
        <f t="array" ref="D91">INDEX(tblTrades[entry_mc_actual],ROW()-1)</f>
        <v>#REF!</v>
      </c>
      <c r="E91" s="2" t="e" cm="1">
        <f t="array" ref="E91">INDEX(tblTrades[exit_mc_actual],ROW()-1)</f>
        <v>#REF!</v>
      </c>
      <c r="F91" s="3" t="e" cm="1">
        <f t="array" ref="F91">INDEX(tblTrades[time_in_trade_seconds],ROW()-1)</f>
        <v>#REF!</v>
      </c>
      <c r="G91" s="4" t="str" cm="1">
        <f t="array" ref="G91">IFERROR(INDEX(tblTrades[pnl_percentage],ROW()-1)*1,"")</f>
        <v/>
      </c>
      <c r="H91" s="5" t="str" cm="1">
        <f t="array" ref="H91">IFERROR(INDEX(tblTrades[pnl_sol],ROW()-1)*1,"")</f>
        <v/>
      </c>
      <c r="I91" t="str">
        <f t="shared" si="29"/>
        <v/>
      </c>
      <c r="J91" t="str">
        <f t="shared" si="30"/>
        <v/>
      </c>
      <c r="K91" t="str">
        <f t="shared" si="31"/>
        <v/>
      </c>
      <c r="L91" s="20" t="str" cm="1">
        <f t="array" ref="L91">IFERROR(INDEX(tblTrades[sol_invested],ROW()-1),"")</f>
        <v/>
      </c>
      <c r="M91" s="1">
        <f>COUNTIFS(tblAnalysis[Token],tblAnalysis[[#This Row],[Token]])</f>
        <v>0</v>
      </c>
      <c r="N91" s="1">
        <f>COUNTIFS($B$2:B91,tblAnalysis[[#This Row],[Token]])</f>
        <v>0</v>
      </c>
      <c r="O91" s="5">
        <f>IFERROR(SUM($H$2:H91),"")</f>
        <v>0.40399999999999997</v>
      </c>
      <c r="P91" s="6"/>
      <c r="Q91" s="27"/>
      <c r="R91" s="6" t="str">
        <f>IF(Q91="","",SUMIFS(tblAnalysis[P&amp;L SOL],tblAnalysis[Date],Q91))</f>
        <v/>
      </c>
      <c r="S91" s="10" t="str">
        <f>IF(Q91="","",SUMIFS(tblAnalysis[P&amp;L %],tblAnalysis[Date],Q91))</f>
        <v/>
      </c>
      <c r="T91" s="6" t="str">
        <f>IF(Q91="","",IFERROR(SUM($R$2:R91),""))</f>
        <v/>
      </c>
      <c r="U91" t="str">
        <f>IF(Q91="","",COUNTIFS(tblAnalysis[Date],Q91))</f>
        <v/>
      </c>
      <c r="W91" s="27" t="str">
        <f t="shared" si="32"/>
        <v/>
      </c>
      <c r="X91" s="6" t="str">
        <f t="shared" si="33"/>
        <v/>
      </c>
      <c r="Y91" s="6" t="str">
        <f>IF(Q91="","",MAX(X91,_xlfn.MAXIFS(tblAnalysis[Cum P&amp;L SOL],tblAnalysis[Date],Q91)))</f>
        <v/>
      </c>
      <c r="Z91" s="6" t="str">
        <f>IF(Q91="","",MIN(X91,_xlfn.MINIFS(tblAnalysis[Cum P&amp;L SOL],tblAnalysis[Date],Q91)))</f>
        <v/>
      </c>
      <c r="AA91" s="6" t="str">
        <f t="shared" si="34"/>
        <v/>
      </c>
      <c r="AB91"/>
      <c r="AC91" s="27" t="str">
        <f t="shared" si="35"/>
        <v/>
      </c>
      <c r="AD91" s="10" t="str">
        <f t="shared" si="36"/>
        <v/>
      </c>
      <c r="AE91" s="10" t="str">
        <f t="shared" si="37"/>
        <v/>
      </c>
      <c r="AF91" s="10" t="str">
        <f t="shared" si="38"/>
        <v/>
      </c>
      <c r="AG91"/>
      <c r="AH91" t="str">
        <f t="shared" si="39"/>
        <v/>
      </c>
      <c r="AI91" t="str">
        <f t="shared" si="40"/>
        <v/>
      </c>
      <c r="AK91" cm="1">
        <f t="array" ref="AK91">IFERROR(IF(INDEX($A:$A,ROW())="","",INDEX($A:$A,ROW())),"")</f>
        <v>90</v>
      </c>
      <c r="AL91" t="str" cm="1">
        <f t="array" ref="AL91">IFERROR(INDEX(tblTrades[sol_invested],ROW()-1),"")</f>
        <v/>
      </c>
      <c r="AM91" s="6" t="str" cm="1">
        <f t="array" ref="AM91">IFERROR(INDEX(tblAnalysis[P&amp;L SOL],ROW()-1),"")</f>
        <v/>
      </c>
      <c r="AN91" t="str" cm="1">
        <f t="array" ref="AN91">IFERROR(IF(INDEX(tblTrades[sol_invested],ROW()-1)&gt;0.5,INDEX(tblAnalysis[Token],ROW()-1)&amp;" ("&amp;TEXT(INDEX(tblTrades[sol_invested],ROW()-1),"0.0")&amp;" SOL)",""),"")</f>
        <v/>
      </c>
      <c r="AO91" s="7" t="e" cm="1">
        <f t="array" ref="AO91">IF(INDEX(tblTrades[sol_invested],ROW()-1)&gt;0.5,INDEX(tblAnalysis[Cum P&amp;L SOL],ROW()-1),"")</f>
        <v>#REF!</v>
      </c>
      <c r="AP91" s="12" t="str" cm="1">
        <f t="array" ref="AP91">IFERROR(INDEX(tblAnalysis[Entry MC ($)],ROW()-1),"")</f>
        <v/>
      </c>
      <c r="AQ91" s="10" t="str" cm="1">
        <f t="array" ref="AQ91">IFERROR(INDEX(tblAnalysis[P&amp;L %],ROW()-1),"")</f>
        <v/>
      </c>
      <c r="AR91" t="str" cm="1">
        <f t="array" ref="AR91">IFERROR(INDEX(tblAnalysis[Hold Time (s)],ROW()-1),"")</f>
        <v/>
      </c>
      <c r="AS91" s="6" t="str" cm="1">
        <f t="array" ref="AS91">IFERROR(INDEX(tblAnalysis[P&amp;L SOL],ROW()-1),"")</f>
        <v/>
      </c>
      <c r="AT91"/>
      <c r="AY91" s="10"/>
      <c r="AZ91" s="10"/>
      <c r="BA91" s="6"/>
      <c r="BB91"/>
      <c r="BF91" t="str">
        <f t="shared" si="41"/>
        <v/>
      </c>
      <c r="BG91" s="27" t="str">
        <f t="shared" si="42"/>
        <v/>
      </c>
      <c r="BH91" t="str">
        <f t="shared" si="43"/>
        <v/>
      </c>
      <c r="BL91" s="29" t="e">
        <f t="shared" si="44"/>
        <v>#N/A</v>
      </c>
      <c r="BM91" s="29" t="e">
        <f t="shared" si="45"/>
        <v>#N/A</v>
      </c>
    </row>
    <row r="92" spans="1:65" x14ac:dyDescent="0.35">
      <c r="A92">
        <f t="shared" si="28"/>
        <v>91</v>
      </c>
      <c r="B92" t="e" cm="1">
        <f t="array" ref="B92">INDEX(tblTrades[token_name],ROW()-1)</f>
        <v>#REF!</v>
      </c>
      <c r="C92" s="27" t="e" cm="1">
        <f t="array" ref="C92">INDEX(tblTrades[entry_date],ROW()-1)</f>
        <v>#REF!</v>
      </c>
      <c r="D92" s="2" t="e" cm="1">
        <f t="array" ref="D92">INDEX(tblTrades[entry_mc_actual],ROW()-1)</f>
        <v>#REF!</v>
      </c>
      <c r="E92" s="2" t="e" cm="1">
        <f t="array" ref="E92">INDEX(tblTrades[exit_mc_actual],ROW()-1)</f>
        <v>#REF!</v>
      </c>
      <c r="F92" s="3" t="e" cm="1">
        <f t="array" ref="F92">INDEX(tblTrades[time_in_trade_seconds],ROW()-1)</f>
        <v>#REF!</v>
      </c>
      <c r="G92" s="4" t="str" cm="1">
        <f t="array" ref="G92">IFERROR(INDEX(tblTrades[pnl_percentage],ROW()-1)*1,"")</f>
        <v/>
      </c>
      <c r="H92" s="5" t="str" cm="1">
        <f t="array" ref="H92">IFERROR(INDEX(tblTrades[pnl_sol],ROW()-1)*1,"")</f>
        <v/>
      </c>
      <c r="I92" t="str">
        <f t="shared" si="29"/>
        <v/>
      </c>
      <c r="J92" t="str">
        <f t="shared" si="30"/>
        <v/>
      </c>
      <c r="K92" t="str">
        <f t="shared" si="31"/>
        <v/>
      </c>
      <c r="L92" s="20" t="str" cm="1">
        <f t="array" ref="L92">IFERROR(INDEX(tblTrades[sol_invested],ROW()-1),"")</f>
        <v/>
      </c>
      <c r="M92" s="1">
        <f>COUNTIFS(tblAnalysis[Token],tblAnalysis[[#This Row],[Token]])</f>
        <v>0</v>
      </c>
      <c r="N92" s="1">
        <f>COUNTIFS($B$2:B92,tblAnalysis[[#This Row],[Token]])</f>
        <v>0</v>
      </c>
      <c r="O92" s="5">
        <f>IFERROR(SUM($H$2:H92),"")</f>
        <v>0.40399999999999997</v>
      </c>
      <c r="P92" s="6"/>
      <c r="Q92" s="27"/>
      <c r="R92" s="6" t="str">
        <f>IF(Q92="","",SUMIFS(tblAnalysis[P&amp;L SOL],tblAnalysis[Date],Q92))</f>
        <v/>
      </c>
      <c r="S92" s="10" t="str">
        <f>IF(Q92="","",SUMIFS(tblAnalysis[P&amp;L %],tblAnalysis[Date],Q92))</f>
        <v/>
      </c>
      <c r="T92" s="6" t="str">
        <f>IF(Q92="","",IFERROR(SUM($R$2:R92),""))</f>
        <v/>
      </c>
      <c r="U92" t="str">
        <f>IF(Q92="","",COUNTIFS(tblAnalysis[Date],Q92))</f>
        <v/>
      </c>
      <c r="W92" s="27" t="str">
        <f t="shared" si="32"/>
        <v/>
      </c>
      <c r="X92" s="6" t="str">
        <f t="shared" si="33"/>
        <v/>
      </c>
      <c r="Y92" s="6" t="str">
        <f>IF(Q92="","",MAX(X92,_xlfn.MAXIFS(tblAnalysis[Cum P&amp;L SOL],tblAnalysis[Date],Q92)))</f>
        <v/>
      </c>
      <c r="Z92" s="6" t="str">
        <f>IF(Q92="","",MIN(X92,_xlfn.MINIFS(tblAnalysis[Cum P&amp;L SOL],tblAnalysis[Date],Q92)))</f>
        <v/>
      </c>
      <c r="AA92" s="6" t="str">
        <f t="shared" si="34"/>
        <v/>
      </c>
      <c r="AB92"/>
      <c r="AC92" s="27" t="str">
        <f t="shared" si="35"/>
        <v/>
      </c>
      <c r="AD92" s="10" t="str">
        <f t="shared" si="36"/>
        <v/>
      </c>
      <c r="AE92" s="10" t="str">
        <f t="shared" si="37"/>
        <v/>
      </c>
      <c r="AF92" s="10" t="str">
        <f t="shared" si="38"/>
        <v/>
      </c>
      <c r="AG92"/>
      <c r="AH92" t="str">
        <f t="shared" si="39"/>
        <v/>
      </c>
      <c r="AI92" t="str">
        <f t="shared" si="40"/>
        <v/>
      </c>
      <c r="AK92" cm="1">
        <f t="array" ref="AK92">IFERROR(IF(INDEX($A:$A,ROW())="","",INDEX($A:$A,ROW())),"")</f>
        <v>91</v>
      </c>
      <c r="AL92" t="str" cm="1">
        <f t="array" ref="AL92">IFERROR(INDEX(tblTrades[sol_invested],ROW()-1),"")</f>
        <v/>
      </c>
      <c r="AM92" s="6" t="str" cm="1">
        <f t="array" ref="AM92">IFERROR(INDEX(tblAnalysis[P&amp;L SOL],ROW()-1),"")</f>
        <v/>
      </c>
      <c r="AN92" t="str" cm="1">
        <f t="array" ref="AN92">IFERROR(IF(INDEX(tblTrades[sol_invested],ROW()-1)&gt;0.5,INDEX(tblAnalysis[Token],ROW()-1)&amp;" ("&amp;TEXT(INDEX(tblTrades[sol_invested],ROW()-1),"0.0")&amp;" SOL)",""),"")</f>
        <v/>
      </c>
      <c r="AO92" s="7" t="e" cm="1">
        <f t="array" ref="AO92">IF(INDEX(tblTrades[sol_invested],ROW()-1)&gt;0.5,INDEX(tblAnalysis[Cum P&amp;L SOL],ROW()-1),"")</f>
        <v>#REF!</v>
      </c>
      <c r="AP92" s="12" t="str" cm="1">
        <f t="array" ref="AP92">IFERROR(INDEX(tblAnalysis[Entry MC ($)],ROW()-1),"")</f>
        <v/>
      </c>
      <c r="AQ92" s="10" t="str" cm="1">
        <f t="array" ref="AQ92">IFERROR(INDEX(tblAnalysis[P&amp;L %],ROW()-1),"")</f>
        <v/>
      </c>
      <c r="AR92" t="str" cm="1">
        <f t="array" ref="AR92">IFERROR(INDEX(tblAnalysis[Hold Time (s)],ROW()-1),"")</f>
        <v/>
      </c>
      <c r="AS92" s="6" t="str" cm="1">
        <f t="array" ref="AS92">IFERROR(INDEX(tblAnalysis[P&amp;L SOL],ROW()-1),"")</f>
        <v/>
      </c>
      <c r="AT92"/>
      <c r="AY92" s="10"/>
      <c r="AZ92" s="10"/>
      <c r="BA92" s="6"/>
      <c r="BB92"/>
      <c r="BF92" t="str">
        <f t="shared" si="41"/>
        <v/>
      </c>
      <c r="BG92" s="27" t="str">
        <f t="shared" si="42"/>
        <v/>
      </c>
      <c r="BH92" t="str">
        <f t="shared" si="43"/>
        <v/>
      </c>
      <c r="BL92" s="29" t="e">
        <f t="shared" si="44"/>
        <v>#N/A</v>
      </c>
      <c r="BM92" s="29" t="e">
        <f t="shared" si="45"/>
        <v>#N/A</v>
      </c>
    </row>
    <row r="93" spans="1:65" x14ac:dyDescent="0.35">
      <c r="A93">
        <f t="shared" si="28"/>
        <v>92</v>
      </c>
      <c r="B93" t="e" cm="1">
        <f t="array" ref="B93">INDEX(tblTrades[token_name],ROW()-1)</f>
        <v>#REF!</v>
      </c>
      <c r="C93" s="27" t="e" cm="1">
        <f t="array" ref="C93">INDEX(tblTrades[entry_date],ROW()-1)</f>
        <v>#REF!</v>
      </c>
      <c r="D93" s="2" t="e" cm="1">
        <f t="array" ref="D93">INDEX(tblTrades[entry_mc_actual],ROW()-1)</f>
        <v>#REF!</v>
      </c>
      <c r="E93" s="2" t="e" cm="1">
        <f t="array" ref="E93">INDEX(tblTrades[exit_mc_actual],ROW()-1)</f>
        <v>#REF!</v>
      </c>
      <c r="F93" s="3" t="e" cm="1">
        <f t="array" ref="F93">INDEX(tblTrades[time_in_trade_seconds],ROW()-1)</f>
        <v>#REF!</v>
      </c>
      <c r="G93" s="4" t="str" cm="1">
        <f t="array" ref="G93">IFERROR(INDEX(tblTrades[pnl_percentage],ROW()-1)*1,"")</f>
        <v/>
      </c>
      <c r="H93" s="5" t="str" cm="1">
        <f t="array" ref="H93">IFERROR(INDEX(tblTrades[pnl_sol],ROW()-1)*1,"")</f>
        <v/>
      </c>
      <c r="I93" t="str">
        <f t="shared" si="29"/>
        <v/>
      </c>
      <c r="J93" t="str">
        <f t="shared" si="30"/>
        <v/>
      </c>
      <c r="K93" t="str">
        <f t="shared" si="31"/>
        <v/>
      </c>
      <c r="L93" s="20" t="str" cm="1">
        <f t="array" ref="L93">IFERROR(INDEX(tblTrades[sol_invested],ROW()-1),"")</f>
        <v/>
      </c>
      <c r="M93" s="1">
        <f>COUNTIFS(tblAnalysis[Token],tblAnalysis[[#This Row],[Token]])</f>
        <v>0</v>
      </c>
      <c r="N93" s="1">
        <f>COUNTIFS($B$2:B93,tblAnalysis[[#This Row],[Token]])</f>
        <v>0</v>
      </c>
      <c r="O93" s="5">
        <f>IFERROR(SUM($H$2:H93),"")</f>
        <v>0.40399999999999997</v>
      </c>
      <c r="P93" s="6"/>
      <c r="Q93" s="27"/>
      <c r="R93" s="6" t="str">
        <f>IF(Q93="","",SUMIFS(tblAnalysis[P&amp;L SOL],tblAnalysis[Date],Q93))</f>
        <v/>
      </c>
      <c r="S93" s="10" t="str">
        <f>IF(Q93="","",SUMIFS(tblAnalysis[P&amp;L %],tblAnalysis[Date],Q93))</f>
        <v/>
      </c>
      <c r="T93" s="6" t="str">
        <f>IF(Q93="","",IFERROR(SUM($R$2:R93),""))</f>
        <v/>
      </c>
      <c r="U93" t="str">
        <f>IF(Q93="","",COUNTIFS(tblAnalysis[Date],Q93))</f>
        <v/>
      </c>
      <c r="W93" s="27" t="str">
        <f t="shared" si="32"/>
        <v/>
      </c>
      <c r="X93" s="6" t="str">
        <f t="shared" si="33"/>
        <v/>
      </c>
      <c r="Y93" s="6" t="str">
        <f>IF(Q93="","",MAX(X93,_xlfn.MAXIFS(tblAnalysis[Cum P&amp;L SOL],tblAnalysis[Date],Q93)))</f>
        <v/>
      </c>
      <c r="Z93" s="6" t="str">
        <f>IF(Q93="","",MIN(X93,_xlfn.MINIFS(tblAnalysis[Cum P&amp;L SOL],tblAnalysis[Date],Q93)))</f>
        <v/>
      </c>
      <c r="AA93" s="6" t="str">
        <f t="shared" si="34"/>
        <v/>
      </c>
      <c r="AB93"/>
      <c r="AC93" s="27" t="str">
        <f t="shared" si="35"/>
        <v/>
      </c>
      <c r="AD93" s="10" t="str">
        <f t="shared" si="36"/>
        <v/>
      </c>
      <c r="AE93" s="10" t="str">
        <f t="shared" si="37"/>
        <v/>
      </c>
      <c r="AF93" s="10" t="str">
        <f t="shared" si="38"/>
        <v/>
      </c>
      <c r="AG93"/>
      <c r="AH93" t="str">
        <f t="shared" si="39"/>
        <v/>
      </c>
      <c r="AI93" t="str">
        <f t="shared" si="40"/>
        <v/>
      </c>
      <c r="AK93" cm="1">
        <f t="array" ref="AK93">IFERROR(IF(INDEX($A:$A,ROW())="","",INDEX($A:$A,ROW())),"")</f>
        <v>92</v>
      </c>
      <c r="AL93" t="str" cm="1">
        <f t="array" ref="AL93">IFERROR(INDEX(tblTrades[sol_invested],ROW()-1),"")</f>
        <v/>
      </c>
      <c r="AM93" s="6" t="str" cm="1">
        <f t="array" ref="AM93">IFERROR(INDEX(tblAnalysis[P&amp;L SOL],ROW()-1),"")</f>
        <v/>
      </c>
      <c r="AN93" t="str" cm="1">
        <f t="array" ref="AN93">IFERROR(IF(INDEX(tblTrades[sol_invested],ROW()-1)&gt;0.5,INDEX(tblAnalysis[Token],ROW()-1)&amp;" ("&amp;TEXT(INDEX(tblTrades[sol_invested],ROW()-1),"0.0")&amp;" SOL)",""),"")</f>
        <v/>
      </c>
      <c r="AO93" s="7" t="e" cm="1">
        <f t="array" ref="AO93">IF(INDEX(tblTrades[sol_invested],ROW()-1)&gt;0.5,INDEX(tblAnalysis[Cum P&amp;L SOL],ROW()-1),"")</f>
        <v>#REF!</v>
      </c>
      <c r="AP93" s="12" t="str" cm="1">
        <f t="array" ref="AP93">IFERROR(INDEX(tblAnalysis[Entry MC ($)],ROW()-1),"")</f>
        <v/>
      </c>
      <c r="AQ93" s="10" t="str" cm="1">
        <f t="array" ref="AQ93">IFERROR(INDEX(tblAnalysis[P&amp;L %],ROW()-1),"")</f>
        <v/>
      </c>
      <c r="AR93" t="str" cm="1">
        <f t="array" ref="AR93">IFERROR(INDEX(tblAnalysis[Hold Time (s)],ROW()-1),"")</f>
        <v/>
      </c>
      <c r="AS93" s="6" t="str" cm="1">
        <f t="array" ref="AS93">IFERROR(INDEX(tblAnalysis[P&amp;L SOL],ROW()-1),"")</f>
        <v/>
      </c>
      <c r="AT93"/>
      <c r="AY93" s="10"/>
      <c r="AZ93" s="10"/>
      <c r="BA93" s="6"/>
      <c r="BB93"/>
      <c r="BF93" t="str">
        <f t="shared" si="41"/>
        <v/>
      </c>
      <c r="BG93" s="27" t="str">
        <f t="shared" si="42"/>
        <v/>
      </c>
      <c r="BH93" t="str">
        <f t="shared" si="43"/>
        <v/>
      </c>
      <c r="BL93" s="29" t="e">
        <f t="shared" si="44"/>
        <v>#N/A</v>
      </c>
      <c r="BM93" s="29" t="e">
        <f t="shared" si="45"/>
        <v>#N/A</v>
      </c>
    </row>
    <row r="94" spans="1:65" x14ac:dyDescent="0.35">
      <c r="A94">
        <f t="shared" si="28"/>
        <v>93</v>
      </c>
      <c r="B94" t="e" cm="1">
        <f t="array" ref="B94">INDEX(tblTrades[token_name],ROW()-1)</f>
        <v>#REF!</v>
      </c>
      <c r="C94" s="27" t="e" cm="1">
        <f t="array" ref="C94">INDEX(tblTrades[entry_date],ROW()-1)</f>
        <v>#REF!</v>
      </c>
      <c r="D94" s="2" t="e" cm="1">
        <f t="array" ref="D94">INDEX(tblTrades[entry_mc_actual],ROW()-1)</f>
        <v>#REF!</v>
      </c>
      <c r="E94" s="2" t="e" cm="1">
        <f t="array" ref="E94">INDEX(tblTrades[exit_mc_actual],ROW()-1)</f>
        <v>#REF!</v>
      </c>
      <c r="F94" s="3" t="e" cm="1">
        <f t="array" ref="F94">INDEX(tblTrades[time_in_trade_seconds],ROW()-1)</f>
        <v>#REF!</v>
      </c>
      <c r="G94" s="4" t="str" cm="1">
        <f t="array" ref="G94">IFERROR(INDEX(tblTrades[pnl_percentage],ROW()-1)*1,"")</f>
        <v/>
      </c>
      <c r="H94" s="5" t="str" cm="1">
        <f t="array" ref="H94">IFERROR(INDEX(tblTrades[pnl_sol],ROW()-1)*1,"")</f>
        <v/>
      </c>
      <c r="I94" t="str">
        <f t="shared" si="29"/>
        <v/>
      </c>
      <c r="J94" t="str">
        <f t="shared" si="30"/>
        <v/>
      </c>
      <c r="K94" t="str">
        <f t="shared" si="31"/>
        <v/>
      </c>
      <c r="L94" s="20" t="str" cm="1">
        <f t="array" ref="L94">IFERROR(INDEX(tblTrades[sol_invested],ROW()-1),"")</f>
        <v/>
      </c>
      <c r="M94" s="1">
        <f>COUNTIFS(tblAnalysis[Token],tblAnalysis[[#This Row],[Token]])</f>
        <v>0</v>
      </c>
      <c r="N94" s="1">
        <f>COUNTIFS($B$2:B94,tblAnalysis[[#This Row],[Token]])</f>
        <v>0</v>
      </c>
      <c r="O94" s="5">
        <f>IFERROR(SUM($H$2:H94),"")</f>
        <v>0.40399999999999997</v>
      </c>
      <c r="P94" s="6"/>
      <c r="Q94" s="27"/>
      <c r="R94" s="6" t="str">
        <f>IF(Q94="","",SUMIFS(tblAnalysis[P&amp;L SOL],tblAnalysis[Date],Q94))</f>
        <v/>
      </c>
      <c r="S94" s="10" t="str">
        <f>IF(Q94="","",SUMIFS(tblAnalysis[P&amp;L %],tblAnalysis[Date],Q94))</f>
        <v/>
      </c>
      <c r="T94" s="6" t="str">
        <f>IF(Q94="","",IFERROR(SUM($R$2:R94),""))</f>
        <v/>
      </c>
      <c r="U94" t="str">
        <f>IF(Q94="","",COUNTIFS(tblAnalysis[Date],Q94))</f>
        <v/>
      </c>
      <c r="W94" s="27" t="str">
        <f t="shared" si="32"/>
        <v/>
      </c>
      <c r="X94" s="6" t="str">
        <f t="shared" si="33"/>
        <v/>
      </c>
      <c r="Y94" s="6" t="str">
        <f>IF(Q94="","",MAX(X94,_xlfn.MAXIFS(tblAnalysis[Cum P&amp;L SOL],tblAnalysis[Date],Q94)))</f>
        <v/>
      </c>
      <c r="Z94" s="6" t="str">
        <f>IF(Q94="","",MIN(X94,_xlfn.MINIFS(tblAnalysis[Cum P&amp;L SOL],tblAnalysis[Date],Q94)))</f>
        <v/>
      </c>
      <c r="AA94" s="6" t="str">
        <f t="shared" si="34"/>
        <v/>
      </c>
      <c r="AB94"/>
      <c r="AC94" s="27" t="str">
        <f t="shared" si="35"/>
        <v/>
      </c>
      <c r="AD94" s="10" t="str">
        <f t="shared" si="36"/>
        <v/>
      </c>
      <c r="AE94" s="10" t="str">
        <f t="shared" si="37"/>
        <v/>
      </c>
      <c r="AF94" s="10" t="str">
        <f t="shared" si="38"/>
        <v/>
      </c>
      <c r="AG94"/>
      <c r="AH94" t="str">
        <f t="shared" si="39"/>
        <v/>
      </c>
      <c r="AI94" t="str">
        <f t="shared" si="40"/>
        <v/>
      </c>
      <c r="AK94" cm="1">
        <f t="array" ref="AK94">IFERROR(IF(INDEX($A:$A,ROW())="","",INDEX($A:$A,ROW())),"")</f>
        <v>93</v>
      </c>
      <c r="AL94" t="str" cm="1">
        <f t="array" ref="AL94">IFERROR(INDEX(tblTrades[sol_invested],ROW()-1),"")</f>
        <v/>
      </c>
      <c r="AM94" s="6" t="str" cm="1">
        <f t="array" ref="AM94">IFERROR(INDEX(tblAnalysis[P&amp;L SOL],ROW()-1),"")</f>
        <v/>
      </c>
      <c r="AN94" t="str" cm="1">
        <f t="array" ref="AN94">IFERROR(IF(INDEX(tblTrades[sol_invested],ROW()-1)&gt;0.5,INDEX(tblAnalysis[Token],ROW()-1)&amp;" ("&amp;TEXT(INDEX(tblTrades[sol_invested],ROW()-1),"0.0")&amp;" SOL)",""),"")</f>
        <v/>
      </c>
      <c r="AO94" s="7" t="e" cm="1">
        <f t="array" ref="AO94">IF(INDEX(tblTrades[sol_invested],ROW()-1)&gt;0.5,INDEX(tblAnalysis[Cum P&amp;L SOL],ROW()-1),"")</f>
        <v>#REF!</v>
      </c>
      <c r="AP94" s="12" t="str" cm="1">
        <f t="array" ref="AP94">IFERROR(INDEX(tblAnalysis[Entry MC ($)],ROW()-1),"")</f>
        <v/>
      </c>
      <c r="AQ94" s="10" t="str" cm="1">
        <f t="array" ref="AQ94">IFERROR(INDEX(tblAnalysis[P&amp;L %],ROW()-1),"")</f>
        <v/>
      </c>
      <c r="AR94" t="str" cm="1">
        <f t="array" ref="AR94">IFERROR(INDEX(tblAnalysis[Hold Time (s)],ROW()-1),"")</f>
        <v/>
      </c>
      <c r="AS94" s="6" t="str" cm="1">
        <f t="array" ref="AS94">IFERROR(INDEX(tblAnalysis[P&amp;L SOL],ROW()-1),"")</f>
        <v/>
      </c>
      <c r="AT94"/>
      <c r="AY94" s="10"/>
      <c r="AZ94" s="10"/>
      <c r="BA94" s="6"/>
      <c r="BB94"/>
      <c r="BF94" t="str">
        <f t="shared" si="41"/>
        <v/>
      </c>
      <c r="BG94" s="27" t="str">
        <f t="shared" si="42"/>
        <v/>
      </c>
      <c r="BH94" t="str">
        <f t="shared" si="43"/>
        <v/>
      </c>
      <c r="BL94" s="29" t="e">
        <f t="shared" si="44"/>
        <v>#N/A</v>
      </c>
      <c r="BM94" s="29" t="e">
        <f t="shared" si="45"/>
        <v>#N/A</v>
      </c>
    </row>
    <row r="95" spans="1:65" x14ac:dyDescent="0.35">
      <c r="A95">
        <f t="shared" si="28"/>
        <v>94</v>
      </c>
      <c r="B95" t="e" cm="1">
        <f t="array" ref="B95">INDEX(tblTrades[token_name],ROW()-1)</f>
        <v>#REF!</v>
      </c>
      <c r="C95" s="27" t="e" cm="1">
        <f t="array" ref="C95">INDEX(tblTrades[entry_date],ROW()-1)</f>
        <v>#REF!</v>
      </c>
      <c r="D95" s="2" t="e" cm="1">
        <f t="array" ref="D95">INDEX(tblTrades[entry_mc_actual],ROW()-1)</f>
        <v>#REF!</v>
      </c>
      <c r="E95" s="2" t="e" cm="1">
        <f t="array" ref="E95">INDEX(tblTrades[exit_mc_actual],ROW()-1)</f>
        <v>#REF!</v>
      </c>
      <c r="F95" s="3" t="e" cm="1">
        <f t="array" ref="F95">INDEX(tblTrades[time_in_trade_seconds],ROW()-1)</f>
        <v>#REF!</v>
      </c>
      <c r="G95" s="4" t="str" cm="1">
        <f t="array" ref="G95">IFERROR(INDEX(tblTrades[pnl_percentage],ROW()-1)*1,"")</f>
        <v/>
      </c>
      <c r="H95" s="5" t="str" cm="1">
        <f t="array" ref="H95">IFERROR(INDEX(tblTrades[pnl_sol],ROW()-1)*1,"")</f>
        <v/>
      </c>
      <c r="I95" t="str">
        <f t="shared" si="29"/>
        <v/>
      </c>
      <c r="J95" t="str">
        <f t="shared" si="30"/>
        <v/>
      </c>
      <c r="K95" t="str">
        <f t="shared" si="31"/>
        <v/>
      </c>
      <c r="L95" s="20" t="str" cm="1">
        <f t="array" ref="L95">IFERROR(INDEX(tblTrades[sol_invested],ROW()-1),"")</f>
        <v/>
      </c>
      <c r="M95" s="1">
        <f>COUNTIFS(tblAnalysis[Token],tblAnalysis[[#This Row],[Token]])</f>
        <v>0</v>
      </c>
      <c r="N95" s="1">
        <f>COUNTIFS($B$2:B95,tblAnalysis[[#This Row],[Token]])</f>
        <v>0</v>
      </c>
      <c r="O95" s="5">
        <f>IFERROR(SUM($H$2:H95),"")</f>
        <v>0.40399999999999997</v>
      </c>
      <c r="P95" s="6"/>
      <c r="Q95" s="27"/>
      <c r="R95" s="6" t="str">
        <f>IF(Q95="","",SUMIFS(tblAnalysis[P&amp;L SOL],tblAnalysis[Date],Q95))</f>
        <v/>
      </c>
      <c r="S95" s="10" t="str">
        <f>IF(Q95="","",SUMIFS(tblAnalysis[P&amp;L %],tblAnalysis[Date],Q95))</f>
        <v/>
      </c>
      <c r="T95" s="6" t="str">
        <f>IF(Q95="","",IFERROR(SUM($R$2:R95),""))</f>
        <v/>
      </c>
      <c r="U95" t="str">
        <f>IF(Q95="","",COUNTIFS(tblAnalysis[Date],Q95))</f>
        <v/>
      </c>
      <c r="W95" s="27" t="str">
        <f t="shared" si="32"/>
        <v/>
      </c>
      <c r="X95" s="6" t="str">
        <f t="shared" si="33"/>
        <v/>
      </c>
      <c r="Y95" s="6" t="str">
        <f>IF(Q95="","",MAX(X95,_xlfn.MAXIFS(tblAnalysis[Cum P&amp;L SOL],tblAnalysis[Date],Q95)))</f>
        <v/>
      </c>
      <c r="Z95" s="6" t="str">
        <f>IF(Q95="","",MIN(X95,_xlfn.MINIFS(tblAnalysis[Cum P&amp;L SOL],tblAnalysis[Date],Q95)))</f>
        <v/>
      </c>
      <c r="AA95" s="6" t="str">
        <f t="shared" si="34"/>
        <v/>
      </c>
      <c r="AB95"/>
      <c r="AC95" s="27" t="str">
        <f t="shared" si="35"/>
        <v/>
      </c>
      <c r="AD95" s="10" t="str">
        <f t="shared" si="36"/>
        <v/>
      </c>
      <c r="AE95" s="10" t="str">
        <f t="shared" si="37"/>
        <v/>
      </c>
      <c r="AF95" s="10" t="str">
        <f t="shared" si="38"/>
        <v/>
      </c>
      <c r="AG95"/>
      <c r="AH95" t="str">
        <f t="shared" si="39"/>
        <v/>
      </c>
      <c r="AI95" t="str">
        <f t="shared" si="40"/>
        <v/>
      </c>
      <c r="AK95" cm="1">
        <f t="array" ref="AK95">IFERROR(IF(INDEX($A:$A,ROW())="","",INDEX($A:$A,ROW())),"")</f>
        <v>94</v>
      </c>
      <c r="AL95" t="str" cm="1">
        <f t="array" ref="AL95">IFERROR(INDEX(tblTrades[sol_invested],ROW()-1),"")</f>
        <v/>
      </c>
      <c r="AM95" s="6" t="str" cm="1">
        <f t="array" ref="AM95">IFERROR(INDEX(tblAnalysis[P&amp;L SOL],ROW()-1),"")</f>
        <v/>
      </c>
      <c r="AN95" t="str" cm="1">
        <f t="array" ref="AN95">IFERROR(IF(INDEX(tblTrades[sol_invested],ROW()-1)&gt;0.5,INDEX(tblAnalysis[Token],ROW()-1)&amp;" ("&amp;TEXT(INDEX(tblTrades[sol_invested],ROW()-1),"0.0")&amp;" SOL)",""),"")</f>
        <v/>
      </c>
      <c r="AO95" s="7" t="e" cm="1">
        <f t="array" ref="AO95">IF(INDEX(tblTrades[sol_invested],ROW()-1)&gt;0.5,INDEX(tblAnalysis[Cum P&amp;L SOL],ROW()-1),"")</f>
        <v>#REF!</v>
      </c>
      <c r="AP95" s="12" t="str" cm="1">
        <f t="array" ref="AP95">IFERROR(INDEX(tblAnalysis[Entry MC ($)],ROW()-1),"")</f>
        <v/>
      </c>
      <c r="AQ95" s="10" t="str" cm="1">
        <f t="array" ref="AQ95">IFERROR(INDEX(tblAnalysis[P&amp;L %],ROW()-1),"")</f>
        <v/>
      </c>
      <c r="AR95" t="str" cm="1">
        <f t="array" ref="AR95">IFERROR(INDEX(tblAnalysis[Hold Time (s)],ROW()-1),"")</f>
        <v/>
      </c>
      <c r="AS95" s="6" t="str" cm="1">
        <f t="array" ref="AS95">IFERROR(INDEX(tblAnalysis[P&amp;L SOL],ROW()-1),"")</f>
        <v/>
      </c>
      <c r="AT95"/>
      <c r="AY95" s="10"/>
      <c r="AZ95" s="10"/>
      <c r="BA95" s="6"/>
      <c r="BB95"/>
      <c r="BF95" t="str">
        <f t="shared" si="41"/>
        <v/>
      </c>
      <c r="BG95" s="27" t="str">
        <f t="shared" si="42"/>
        <v/>
      </c>
      <c r="BH95" t="str">
        <f t="shared" si="43"/>
        <v/>
      </c>
      <c r="BL95" s="29" t="e">
        <f t="shared" si="44"/>
        <v>#N/A</v>
      </c>
      <c r="BM95" s="29" t="e">
        <f t="shared" si="45"/>
        <v>#N/A</v>
      </c>
    </row>
    <row r="96" spans="1:65" x14ac:dyDescent="0.35">
      <c r="A96">
        <f t="shared" si="28"/>
        <v>95</v>
      </c>
      <c r="B96" t="e" cm="1">
        <f t="array" ref="B96">INDEX(tblTrades[token_name],ROW()-1)</f>
        <v>#REF!</v>
      </c>
      <c r="C96" s="27" t="e" cm="1">
        <f t="array" ref="C96">INDEX(tblTrades[entry_date],ROW()-1)</f>
        <v>#REF!</v>
      </c>
      <c r="D96" s="2" t="e" cm="1">
        <f t="array" ref="D96">INDEX(tblTrades[entry_mc_actual],ROW()-1)</f>
        <v>#REF!</v>
      </c>
      <c r="E96" s="2" t="e" cm="1">
        <f t="array" ref="E96">INDEX(tblTrades[exit_mc_actual],ROW()-1)</f>
        <v>#REF!</v>
      </c>
      <c r="F96" s="3" t="e" cm="1">
        <f t="array" ref="F96">INDEX(tblTrades[time_in_trade_seconds],ROW()-1)</f>
        <v>#REF!</v>
      </c>
      <c r="G96" s="4" t="str" cm="1">
        <f t="array" ref="G96">IFERROR(INDEX(tblTrades[pnl_percentage],ROW()-1)*1,"")</f>
        <v/>
      </c>
      <c r="H96" s="5" t="str" cm="1">
        <f t="array" ref="H96">IFERROR(INDEX(tblTrades[pnl_sol],ROW()-1)*1,"")</f>
        <v/>
      </c>
      <c r="I96" t="str">
        <f t="shared" si="29"/>
        <v/>
      </c>
      <c r="J96" t="str">
        <f t="shared" si="30"/>
        <v/>
      </c>
      <c r="K96" t="str">
        <f t="shared" si="31"/>
        <v/>
      </c>
      <c r="L96" s="20" t="str" cm="1">
        <f t="array" ref="L96">IFERROR(INDEX(tblTrades[sol_invested],ROW()-1),"")</f>
        <v/>
      </c>
      <c r="M96" s="1">
        <f>COUNTIFS(tblAnalysis[Token],tblAnalysis[[#This Row],[Token]])</f>
        <v>0</v>
      </c>
      <c r="N96" s="1">
        <f>COUNTIFS($B$2:B96,tblAnalysis[[#This Row],[Token]])</f>
        <v>0</v>
      </c>
      <c r="O96" s="5">
        <f>IFERROR(SUM($H$2:H96),"")</f>
        <v>0.40399999999999997</v>
      </c>
      <c r="P96" s="6"/>
      <c r="Q96" s="27"/>
      <c r="R96" s="6" t="str">
        <f>IF(Q96="","",SUMIFS(tblAnalysis[P&amp;L SOL],tblAnalysis[Date],Q96))</f>
        <v/>
      </c>
      <c r="S96" s="10" t="str">
        <f>IF(Q96="","",SUMIFS(tblAnalysis[P&amp;L %],tblAnalysis[Date],Q96))</f>
        <v/>
      </c>
      <c r="T96" s="6" t="str">
        <f>IF(Q96="","",IFERROR(SUM($R$2:R96),""))</f>
        <v/>
      </c>
      <c r="U96" t="str">
        <f>IF(Q96="","",COUNTIFS(tblAnalysis[Date],Q96))</f>
        <v/>
      </c>
      <c r="W96" s="27" t="str">
        <f t="shared" si="32"/>
        <v/>
      </c>
      <c r="X96" s="6" t="str">
        <f t="shared" si="33"/>
        <v/>
      </c>
      <c r="Y96" s="6" t="str">
        <f>IF(Q96="","",MAX(X96,_xlfn.MAXIFS(tblAnalysis[Cum P&amp;L SOL],tblAnalysis[Date],Q96)))</f>
        <v/>
      </c>
      <c r="Z96" s="6" t="str">
        <f>IF(Q96="","",MIN(X96,_xlfn.MINIFS(tblAnalysis[Cum P&amp;L SOL],tblAnalysis[Date],Q96)))</f>
        <v/>
      </c>
      <c r="AA96" s="6" t="str">
        <f t="shared" si="34"/>
        <v/>
      </c>
      <c r="AB96"/>
      <c r="AC96" s="27" t="str">
        <f t="shared" si="35"/>
        <v/>
      </c>
      <c r="AD96" s="10" t="str">
        <f t="shared" si="36"/>
        <v/>
      </c>
      <c r="AE96" s="10" t="str">
        <f t="shared" si="37"/>
        <v/>
      </c>
      <c r="AF96" s="10" t="str">
        <f t="shared" si="38"/>
        <v/>
      </c>
      <c r="AG96"/>
      <c r="AH96" t="str">
        <f t="shared" si="39"/>
        <v/>
      </c>
      <c r="AI96" t="str">
        <f t="shared" si="40"/>
        <v/>
      </c>
      <c r="AK96" cm="1">
        <f t="array" ref="AK96">IFERROR(IF(INDEX($A:$A,ROW())="","",INDEX($A:$A,ROW())),"")</f>
        <v>95</v>
      </c>
      <c r="AL96" t="str" cm="1">
        <f t="array" ref="AL96">IFERROR(INDEX(tblTrades[sol_invested],ROW()-1),"")</f>
        <v/>
      </c>
      <c r="AM96" s="6" t="str" cm="1">
        <f t="array" ref="AM96">IFERROR(INDEX(tblAnalysis[P&amp;L SOL],ROW()-1),"")</f>
        <v/>
      </c>
      <c r="AN96" t="str" cm="1">
        <f t="array" ref="AN96">IFERROR(IF(INDEX(tblTrades[sol_invested],ROW()-1)&gt;0.5,INDEX(tblAnalysis[Token],ROW()-1)&amp;" ("&amp;TEXT(INDEX(tblTrades[sol_invested],ROW()-1),"0.0")&amp;" SOL)",""),"")</f>
        <v/>
      </c>
      <c r="AO96" s="7" t="e" cm="1">
        <f t="array" ref="AO96">IF(INDEX(tblTrades[sol_invested],ROW()-1)&gt;0.5,INDEX(tblAnalysis[Cum P&amp;L SOL],ROW()-1),"")</f>
        <v>#REF!</v>
      </c>
      <c r="AP96" s="12" t="str" cm="1">
        <f t="array" ref="AP96">IFERROR(INDEX(tblAnalysis[Entry MC ($)],ROW()-1),"")</f>
        <v/>
      </c>
      <c r="AQ96" s="10" t="str" cm="1">
        <f t="array" ref="AQ96">IFERROR(INDEX(tblAnalysis[P&amp;L %],ROW()-1),"")</f>
        <v/>
      </c>
      <c r="AR96" t="str" cm="1">
        <f t="array" ref="AR96">IFERROR(INDEX(tblAnalysis[Hold Time (s)],ROW()-1),"")</f>
        <v/>
      </c>
      <c r="AS96" s="6" t="str" cm="1">
        <f t="array" ref="AS96">IFERROR(INDEX(tblAnalysis[P&amp;L SOL],ROW()-1),"")</f>
        <v/>
      </c>
      <c r="AT96"/>
      <c r="AY96" s="10"/>
      <c r="AZ96" s="10"/>
      <c r="BA96" s="6"/>
      <c r="BB96"/>
      <c r="BF96" t="str">
        <f t="shared" si="41"/>
        <v/>
      </c>
      <c r="BG96" s="27" t="str">
        <f t="shared" si="42"/>
        <v/>
      </c>
      <c r="BH96" t="str">
        <f t="shared" si="43"/>
        <v/>
      </c>
      <c r="BL96" s="29" t="e">
        <f t="shared" si="44"/>
        <v>#N/A</v>
      </c>
      <c r="BM96" s="29" t="e">
        <f t="shared" si="45"/>
        <v>#N/A</v>
      </c>
    </row>
    <row r="97" spans="1:65" x14ac:dyDescent="0.35">
      <c r="A97">
        <f t="shared" si="28"/>
        <v>96</v>
      </c>
      <c r="B97" t="e" cm="1">
        <f t="array" ref="B97">INDEX(tblTrades[token_name],ROW()-1)</f>
        <v>#REF!</v>
      </c>
      <c r="C97" s="27" t="e" cm="1">
        <f t="array" ref="C97">INDEX(tblTrades[entry_date],ROW()-1)</f>
        <v>#REF!</v>
      </c>
      <c r="D97" s="2" t="e" cm="1">
        <f t="array" ref="D97">INDEX(tblTrades[entry_mc_actual],ROW()-1)</f>
        <v>#REF!</v>
      </c>
      <c r="E97" s="2" t="e" cm="1">
        <f t="array" ref="E97">INDEX(tblTrades[exit_mc_actual],ROW()-1)</f>
        <v>#REF!</v>
      </c>
      <c r="F97" s="3" t="e" cm="1">
        <f t="array" ref="F97">INDEX(tblTrades[time_in_trade_seconds],ROW()-1)</f>
        <v>#REF!</v>
      </c>
      <c r="G97" s="4" t="str" cm="1">
        <f t="array" ref="G97">IFERROR(INDEX(tblTrades[pnl_percentage],ROW()-1)*1,"")</f>
        <v/>
      </c>
      <c r="H97" s="5" t="str" cm="1">
        <f t="array" ref="H97">IFERROR(INDEX(tblTrades[pnl_sol],ROW()-1)*1,"")</f>
        <v/>
      </c>
      <c r="I97" t="str">
        <f t="shared" si="29"/>
        <v/>
      </c>
      <c r="J97" t="str">
        <f t="shared" si="30"/>
        <v/>
      </c>
      <c r="K97" t="str">
        <f t="shared" si="31"/>
        <v/>
      </c>
      <c r="L97" s="20" t="str" cm="1">
        <f t="array" ref="L97">IFERROR(INDEX(tblTrades[sol_invested],ROW()-1),"")</f>
        <v/>
      </c>
      <c r="M97" s="1">
        <f>COUNTIFS(tblAnalysis[Token],tblAnalysis[[#This Row],[Token]])</f>
        <v>0</v>
      </c>
      <c r="N97" s="1">
        <f>COUNTIFS($B$2:B97,tblAnalysis[[#This Row],[Token]])</f>
        <v>0</v>
      </c>
      <c r="O97" s="5">
        <f>IFERROR(SUM($H$2:H97),"")</f>
        <v>0.40399999999999997</v>
      </c>
      <c r="P97" s="6"/>
      <c r="Q97" s="27"/>
      <c r="R97" s="6" t="str">
        <f>IF(Q97="","",SUMIFS(tblAnalysis[P&amp;L SOL],tblAnalysis[Date],Q97))</f>
        <v/>
      </c>
      <c r="S97" s="10" t="str">
        <f>IF(Q97="","",SUMIFS(tblAnalysis[P&amp;L %],tblAnalysis[Date],Q97))</f>
        <v/>
      </c>
      <c r="T97" s="6" t="str">
        <f>IF(Q97="","",IFERROR(SUM($R$2:R97),""))</f>
        <v/>
      </c>
      <c r="U97" t="str">
        <f>IF(Q97="","",COUNTIFS(tblAnalysis[Date],Q97))</f>
        <v/>
      </c>
      <c r="W97" s="27" t="str">
        <f t="shared" si="32"/>
        <v/>
      </c>
      <c r="X97" s="6" t="str">
        <f t="shared" si="33"/>
        <v/>
      </c>
      <c r="Y97" s="6" t="str">
        <f>IF(Q97="","",MAX(X97,_xlfn.MAXIFS(tblAnalysis[Cum P&amp;L SOL],tblAnalysis[Date],Q97)))</f>
        <v/>
      </c>
      <c r="Z97" s="6" t="str">
        <f>IF(Q97="","",MIN(X97,_xlfn.MINIFS(tblAnalysis[Cum P&amp;L SOL],tblAnalysis[Date],Q97)))</f>
        <v/>
      </c>
      <c r="AA97" s="6" t="str">
        <f t="shared" si="34"/>
        <v/>
      </c>
      <c r="AB97"/>
      <c r="AC97" s="27" t="str">
        <f t="shared" si="35"/>
        <v/>
      </c>
      <c r="AD97" s="10" t="str">
        <f t="shared" si="36"/>
        <v/>
      </c>
      <c r="AE97" s="10" t="str">
        <f t="shared" si="37"/>
        <v/>
      </c>
      <c r="AF97" s="10" t="str">
        <f t="shared" si="38"/>
        <v/>
      </c>
      <c r="AG97"/>
      <c r="AH97" t="str">
        <f t="shared" si="39"/>
        <v/>
      </c>
      <c r="AI97" t="str">
        <f t="shared" si="40"/>
        <v/>
      </c>
      <c r="AK97" cm="1">
        <f t="array" ref="AK97">IFERROR(IF(INDEX($A:$A,ROW())="","",INDEX($A:$A,ROW())),"")</f>
        <v>96</v>
      </c>
      <c r="AL97" t="str" cm="1">
        <f t="array" ref="AL97">IFERROR(INDEX(tblTrades[sol_invested],ROW()-1),"")</f>
        <v/>
      </c>
      <c r="AM97" s="6" t="str" cm="1">
        <f t="array" ref="AM97">IFERROR(INDEX(tblAnalysis[P&amp;L SOL],ROW()-1),"")</f>
        <v/>
      </c>
      <c r="AN97" t="str" cm="1">
        <f t="array" ref="AN97">IFERROR(IF(INDEX(tblTrades[sol_invested],ROW()-1)&gt;0.5,INDEX(tblAnalysis[Token],ROW()-1)&amp;" ("&amp;TEXT(INDEX(tblTrades[sol_invested],ROW()-1),"0.0")&amp;" SOL)",""),"")</f>
        <v/>
      </c>
      <c r="AO97" s="7" t="e" cm="1">
        <f t="array" ref="AO97">IF(INDEX(tblTrades[sol_invested],ROW()-1)&gt;0.5,INDEX(tblAnalysis[Cum P&amp;L SOL],ROW()-1),"")</f>
        <v>#REF!</v>
      </c>
      <c r="AP97" s="12" t="str" cm="1">
        <f t="array" ref="AP97">IFERROR(INDEX(tblAnalysis[Entry MC ($)],ROW()-1),"")</f>
        <v/>
      </c>
      <c r="AQ97" s="10" t="str" cm="1">
        <f t="array" ref="AQ97">IFERROR(INDEX(tblAnalysis[P&amp;L %],ROW()-1),"")</f>
        <v/>
      </c>
      <c r="AR97" t="str" cm="1">
        <f t="array" ref="AR97">IFERROR(INDEX(tblAnalysis[Hold Time (s)],ROW()-1),"")</f>
        <v/>
      </c>
      <c r="AS97" s="6" t="str" cm="1">
        <f t="array" ref="AS97">IFERROR(INDEX(tblAnalysis[P&amp;L SOL],ROW()-1),"")</f>
        <v/>
      </c>
      <c r="AT97"/>
      <c r="AY97" s="10"/>
      <c r="AZ97" s="10"/>
      <c r="BA97" s="6"/>
      <c r="BB97"/>
      <c r="BF97" t="str">
        <f t="shared" si="41"/>
        <v/>
      </c>
      <c r="BG97" s="27" t="str">
        <f t="shared" si="42"/>
        <v/>
      </c>
      <c r="BH97" t="str">
        <f t="shared" si="43"/>
        <v/>
      </c>
      <c r="BL97" s="29" t="e">
        <f t="shared" si="44"/>
        <v>#N/A</v>
      </c>
      <c r="BM97" s="29" t="e">
        <f t="shared" si="45"/>
        <v>#N/A</v>
      </c>
    </row>
    <row r="98" spans="1:65" x14ac:dyDescent="0.35">
      <c r="A98">
        <f t="shared" si="28"/>
        <v>97</v>
      </c>
      <c r="B98" t="e" cm="1">
        <f t="array" ref="B98">INDEX(tblTrades[token_name],ROW()-1)</f>
        <v>#REF!</v>
      </c>
      <c r="C98" s="27" t="e" cm="1">
        <f t="array" ref="C98">INDEX(tblTrades[entry_date],ROW()-1)</f>
        <v>#REF!</v>
      </c>
      <c r="D98" s="2" t="e" cm="1">
        <f t="array" ref="D98">INDEX(tblTrades[entry_mc_actual],ROW()-1)</f>
        <v>#REF!</v>
      </c>
      <c r="E98" s="2" t="e" cm="1">
        <f t="array" ref="E98">INDEX(tblTrades[exit_mc_actual],ROW()-1)</f>
        <v>#REF!</v>
      </c>
      <c r="F98" s="3" t="e" cm="1">
        <f t="array" ref="F98">INDEX(tblTrades[time_in_trade_seconds],ROW()-1)</f>
        <v>#REF!</v>
      </c>
      <c r="G98" s="4" t="str" cm="1">
        <f t="array" ref="G98">IFERROR(INDEX(tblTrades[pnl_percentage],ROW()-1)*1,"")</f>
        <v/>
      </c>
      <c r="H98" s="5" t="str" cm="1">
        <f t="array" ref="H98">IFERROR(INDEX(tblTrades[pnl_sol],ROW()-1)*1,"")</f>
        <v/>
      </c>
      <c r="I98" t="str">
        <f t="shared" si="29"/>
        <v/>
      </c>
      <c r="J98" t="str">
        <f t="shared" si="30"/>
        <v/>
      </c>
      <c r="K98" t="str">
        <f t="shared" si="31"/>
        <v/>
      </c>
      <c r="L98" s="20" t="str" cm="1">
        <f t="array" ref="L98">IFERROR(INDEX(tblTrades[sol_invested],ROW()-1),"")</f>
        <v/>
      </c>
      <c r="M98" s="1">
        <f>COUNTIFS(tblAnalysis[Token],tblAnalysis[[#This Row],[Token]])</f>
        <v>0</v>
      </c>
      <c r="N98" s="1">
        <f>COUNTIFS($B$2:B98,tblAnalysis[[#This Row],[Token]])</f>
        <v>0</v>
      </c>
      <c r="O98" s="5">
        <f>IFERROR(SUM($H$2:H98),"")</f>
        <v>0.40399999999999997</v>
      </c>
      <c r="P98" s="6"/>
      <c r="Q98" s="27"/>
      <c r="R98" s="6" t="str">
        <f>IF(Q98="","",SUMIFS(tblAnalysis[P&amp;L SOL],tblAnalysis[Date],Q98))</f>
        <v/>
      </c>
      <c r="S98" s="10" t="str">
        <f>IF(Q98="","",SUMIFS(tblAnalysis[P&amp;L %],tblAnalysis[Date],Q98))</f>
        <v/>
      </c>
      <c r="T98" s="6" t="str">
        <f>IF(Q98="","",IFERROR(SUM($R$2:R98),""))</f>
        <v/>
      </c>
      <c r="U98" t="str">
        <f>IF(Q98="","",COUNTIFS(tblAnalysis[Date],Q98))</f>
        <v/>
      </c>
      <c r="W98" s="27" t="str">
        <f t="shared" si="32"/>
        <v/>
      </c>
      <c r="X98" s="6" t="str">
        <f t="shared" si="33"/>
        <v/>
      </c>
      <c r="Y98" s="6" t="str">
        <f>IF(Q98="","",MAX(X98,_xlfn.MAXIFS(tblAnalysis[Cum P&amp;L SOL],tblAnalysis[Date],Q98)))</f>
        <v/>
      </c>
      <c r="Z98" s="6" t="str">
        <f>IF(Q98="","",MIN(X98,_xlfn.MINIFS(tblAnalysis[Cum P&amp;L SOL],tblAnalysis[Date],Q98)))</f>
        <v/>
      </c>
      <c r="AA98" s="6" t="str">
        <f t="shared" si="34"/>
        <v/>
      </c>
      <c r="AB98"/>
      <c r="AC98" s="27" t="str">
        <f t="shared" si="35"/>
        <v/>
      </c>
      <c r="AD98" s="10" t="str">
        <f t="shared" si="36"/>
        <v/>
      </c>
      <c r="AE98" s="10" t="str">
        <f t="shared" si="37"/>
        <v/>
      </c>
      <c r="AF98" s="10" t="str">
        <f t="shared" si="38"/>
        <v/>
      </c>
      <c r="AG98"/>
      <c r="AH98" t="str">
        <f t="shared" si="39"/>
        <v/>
      </c>
      <c r="AI98" t="str">
        <f t="shared" si="40"/>
        <v/>
      </c>
      <c r="AK98" cm="1">
        <f t="array" ref="AK98">IFERROR(IF(INDEX($A:$A,ROW())="","",INDEX($A:$A,ROW())),"")</f>
        <v>97</v>
      </c>
      <c r="AL98" t="str" cm="1">
        <f t="array" ref="AL98">IFERROR(INDEX(tblTrades[sol_invested],ROW()-1),"")</f>
        <v/>
      </c>
      <c r="AM98" s="6" t="str" cm="1">
        <f t="array" ref="AM98">IFERROR(INDEX(tblAnalysis[P&amp;L SOL],ROW()-1),"")</f>
        <v/>
      </c>
      <c r="AN98" t="str" cm="1">
        <f t="array" ref="AN98">IFERROR(IF(INDEX(tblTrades[sol_invested],ROW()-1)&gt;0.5,INDEX(tblAnalysis[Token],ROW()-1)&amp;" ("&amp;TEXT(INDEX(tblTrades[sol_invested],ROW()-1),"0.0")&amp;" SOL)",""),"")</f>
        <v/>
      </c>
      <c r="AO98" s="7" t="e" cm="1">
        <f t="array" ref="AO98">IF(INDEX(tblTrades[sol_invested],ROW()-1)&gt;0.5,INDEX(tblAnalysis[Cum P&amp;L SOL],ROW()-1),"")</f>
        <v>#REF!</v>
      </c>
      <c r="AP98" s="12" t="str" cm="1">
        <f t="array" ref="AP98">IFERROR(INDEX(tblAnalysis[Entry MC ($)],ROW()-1),"")</f>
        <v/>
      </c>
      <c r="AQ98" s="10" t="str" cm="1">
        <f t="array" ref="AQ98">IFERROR(INDEX(tblAnalysis[P&amp;L %],ROW()-1),"")</f>
        <v/>
      </c>
      <c r="AR98" t="str" cm="1">
        <f t="array" ref="AR98">IFERROR(INDEX(tblAnalysis[Hold Time (s)],ROW()-1),"")</f>
        <v/>
      </c>
      <c r="AS98" s="6" t="str" cm="1">
        <f t="array" ref="AS98">IFERROR(INDEX(tblAnalysis[P&amp;L SOL],ROW()-1),"")</f>
        <v/>
      </c>
      <c r="AT98"/>
      <c r="AY98" s="10"/>
      <c r="AZ98" s="10"/>
      <c r="BA98" s="6"/>
      <c r="BB98"/>
      <c r="BF98" t="str">
        <f t="shared" si="41"/>
        <v/>
      </c>
      <c r="BG98" s="27" t="str">
        <f t="shared" si="42"/>
        <v/>
      </c>
      <c r="BH98" t="str">
        <f t="shared" si="43"/>
        <v/>
      </c>
      <c r="BL98" s="29" t="e">
        <f t="shared" si="44"/>
        <v>#N/A</v>
      </c>
      <c r="BM98" s="29" t="e">
        <f t="shared" si="45"/>
        <v>#N/A</v>
      </c>
    </row>
    <row r="99" spans="1:65" x14ac:dyDescent="0.35">
      <c r="A99">
        <f t="shared" si="28"/>
        <v>98</v>
      </c>
      <c r="B99" t="e" cm="1">
        <f t="array" ref="B99">INDEX(tblTrades[token_name],ROW()-1)</f>
        <v>#REF!</v>
      </c>
      <c r="C99" s="27" t="e" cm="1">
        <f t="array" ref="C99">INDEX(tblTrades[entry_date],ROW()-1)</f>
        <v>#REF!</v>
      </c>
      <c r="D99" s="2" t="e" cm="1">
        <f t="array" ref="D99">INDEX(tblTrades[entry_mc_actual],ROW()-1)</f>
        <v>#REF!</v>
      </c>
      <c r="E99" s="2" t="e" cm="1">
        <f t="array" ref="E99">INDEX(tblTrades[exit_mc_actual],ROW()-1)</f>
        <v>#REF!</v>
      </c>
      <c r="F99" s="3" t="e" cm="1">
        <f t="array" ref="F99">INDEX(tblTrades[time_in_trade_seconds],ROW()-1)</f>
        <v>#REF!</v>
      </c>
      <c r="G99" s="4" t="str" cm="1">
        <f t="array" ref="G99">IFERROR(INDEX(tblTrades[pnl_percentage],ROW()-1)*1,"")</f>
        <v/>
      </c>
      <c r="H99" s="5" t="str" cm="1">
        <f t="array" ref="H99">IFERROR(INDEX(tblTrades[pnl_sol],ROW()-1)*1,"")</f>
        <v/>
      </c>
      <c r="I99" t="str">
        <f t="shared" si="29"/>
        <v/>
      </c>
      <c r="J99" t="str">
        <f t="shared" si="30"/>
        <v/>
      </c>
      <c r="K99" t="str">
        <f t="shared" si="31"/>
        <v/>
      </c>
      <c r="L99" s="20" t="str" cm="1">
        <f t="array" ref="L99">IFERROR(INDEX(tblTrades[sol_invested],ROW()-1),"")</f>
        <v/>
      </c>
      <c r="M99" s="1">
        <f>COUNTIFS(tblAnalysis[Token],tblAnalysis[[#This Row],[Token]])</f>
        <v>0</v>
      </c>
      <c r="N99" s="1">
        <f>COUNTIFS($B$2:B99,tblAnalysis[[#This Row],[Token]])</f>
        <v>0</v>
      </c>
      <c r="O99" s="5">
        <f>IFERROR(SUM($H$2:H99),"")</f>
        <v>0.40399999999999997</v>
      </c>
      <c r="P99" s="6"/>
      <c r="Q99" s="27"/>
      <c r="R99" s="6" t="str">
        <f>IF(Q99="","",SUMIFS(tblAnalysis[P&amp;L SOL],tblAnalysis[Date],Q99))</f>
        <v/>
      </c>
      <c r="S99" s="10" t="str">
        <f>IF(Q99="","",SUMIFS(tblAnalysis[P&amp;L %],tblAnalysis[Date],Q99))</f>
        <v/>
      </c>
      <c r="T99" s="6" t="str">
        <f>IF(Q99="","",IFERROR(SUM($R$2:R99),""))</f>
        <v/>
      </c>
      <c r="U99" t="str">
        <f>IF(Q99="","",COUNTIFS(tblAnalysis[Date],Q99))</f>
        <v/>
      </c>
      <c r="W99" s="27" t="str">
        <f t="shared" si="32"/>
        <v/>
      </c>
      <c r="X99" s="6" t="str">
        <f t="shared" si="33"/>
        <v/>
      </c>
      <c r="Y99" s="6" t="str">
        <f>IF(Q99="","",MAX(X99,_xlfn.MAXIFS(tblAnalysis[Cum P&amp;L SOL],tblAnalysis[Date],Q99)))</f>
        <v/>
      </c>
      <c r="Z99" s="6" t="str">
        <f>IF(Q99="","",MIN(X99,_xlfn.MINIFS(tblAnalysis[Cum P&amp;L SOL],tblAnalysis[Date],Q99)))</f>
        <v/>
      </c>
      <c r="AA99" s="6" t="str">
        <f t="shared" si="34"/>
        <v/>
      </c>
      <c r="AB99"/>
      <c r="AC99" s="27" t="str">
        <f t="shared" si="35"/>
        <v/>
      </c>
      <c r="AD99" s="10" t="str">
        <f t="shared" si="36"/>
        <v/>
      </c>
      <c r="AE99" s="10" t="str">
        <f t="shared" si="37"/>
        <v/>
      </c>
      <c r="AF99" s="10" t="str">
        <f t="shared" si="38"/>
        <v/>
      </c>
      <c r="AG99"/>
      <c r="AH99" t="str">
        <f t="shared" si="39"/>
        <v/>
      </c>
      <c r="AI99" t="str">
        <f t="shared" si="40"/>
        <v/>
      </c>
      <c r="AK99" cm="1">
        <f t="array" ref="AK99">IFERROR(IF(INDEX($A:$A,ROW())="","",INDEX($A:$A,ROW())),"")</f>
        <v>98</v>
      </c>
      <c r="AL99" t="str" cm="1">
        <f t="array" ref="AL99">IFERROR(INDEX(tblTrades[sol_invested],ROW()-1),"")</f>
        <v/>
      </c>
      <c r="AM99" s="6" t="str" cm="1">
        <f t="array" ref="AM99">IFERROR(INDEX(tblAnalysis[P&amp;L SOL],ROW()-1),"")</f>
        <v/>
      </c>
      <c r="AN99" t="str" cm="1">
        <f t="array" ref="AN99">IFERROR(IF(INDEX(tblTrades[sol_invested],ROW()-1)&gt;0.5,INDEX(tblAnalysis[Token],ROW()-1)&amp;" ("&amp;TEXT(INDEX(tblTrades[sol_invested],ROW()-1),"0.0")&amp;" SOL)",""),"")</f>
        <v/>
      </c>
      <c r="AO99" s="7" t="e" cm="1">
        <f t="array" ref="AO99">IF(INDEX(tblTrades[sol_invested],ROW()-1)&gt;0.5,INDEX(tblAnalysis[Cum P&amp;L SOL],ROW()-1),"")</f>
        <v>#REF!</v>
      </c>
      <c r="AP99" s="12" t="str" cm="1">
        <f t="array" ref="AP99">IFERROR(INDEX(tblAnalysis[Entry MC ($)],ROW()-1),"")</f>
        <v/>
      </c>
      <c r="AQ99" s="10" t="str" cm="1">
        <f t="array" ref="AQ99">IFERROR(INDEX(tblAnalysis[P&amp;L %],ROW()-1),"")</f>
        <v/>
      </c>
      <c r="AR99" t="str" cm="1">
        <f t="array" ref="AR99">IFERROR(INDEX(tblAnalysis[Hold Time (s)],ROW()-1),"")</f>
        <v/>
      </c>
      <c r="AS99" s="6" t="str" cm="1">
        <f t="array" ref="AS99">IFERROR(INDEX(tblAnalysis[P&amp;L SOL],ROW()-1),"")</f>
        <v/>
      </c>
      <c r="AT99"/>
      <c r="AY99" s="10"/>
      <c r="AZ99" s="10"/>
      <c r="BA99" s="6"/>
      <c r="BB99"/>
      <c r="BF99" t="str">
        <f t="shared" si="41"/>
        <v/>
      </c>
      <c r="BG99" s="27" t="str">
        <f t="shared" si="42"/>
        <v/>
      </c>
      <c r="BH99" t="str">
        <f t="shared" si="43"/>
        <v/>
      </c>
      <c r="BL99" s="29" t="e">
        <f t="shared" si="44"/>
        <v>#N/A</v>
      </c>
      <c r="BM99" s="29" t="e">
        <f t="shared" si="45"/>
        <v>#N/A</v>
      </c>
    </row>
    <row r="100" spans="1:65" x14ac:dyDescent="0.35">
      <c r="A100">
        <f t="shared" si="28"/>
        <v>99</v>
      </c>
      <c r="B100" t="e" cm="1">
        <f t="array" ref="B100">INDEX(tblTrades[token_name],ROW()-1)</f>
        <v>#REF!</v>
      </c>
      <c r="C100" s="27" t="e" cm="1">
        <f t="array" ref="C100">INDEX(tblTrades[entry_date],ROW()-1)</f>
        <v>#REF!</v>
      </c>
      <c r="D100" s="2" t="e" cm="1">
        <f t="array" ref="D100">INDEX(tblTrades[entry_mc_actual],ROW()-1)</f>
        <v>#REF!</v>
      </c>
      <c r="E100" s="2" t="e" cm="1">
        <f t="array" ref="E100">INDEX(tblTrades[exit_mc_actual],ROW()-1)</f>
        <v>#REF!</v>
      </c>
      <c r="F100" s="3" t="e" cm="1">
        <f t="array" ref="F100">INDEX(tblTrades[time_in_trade_seconds],ROW()-1)</f>
        <v>#REF!</v>
      </c>
      <c r="G100" s="4" t="str" cm="1">
        <f t="array" ref="G100">IFERROR(INDEX(tblTrades[pnl_percentage],ROW()-1)*1,"")</f>
        <v/>
      </c>
      <c r="H100" s="5" t="str" cm="1">
        <f t="array" ref="H100">IFERROR(INDEX(tblTrades[pnl_sol],ROW()-1)*1,"")</f>
        <v/>
      </c>
      <c r="I100" t="str">
        <f t="shared" si="29"/>
        <v/>
      </c>
      <c r="J100" t="str">
        <f t="shared" si="30"/>
        <v/>
      </c>
      <c r="K100" t="str">
        <f t="shared" si="31"/>
        <v/>
      </c>
      <c r="L100" s="20" t="str" cm="1">
        <f t="array" ref="L100">IFERROR(INDEX(tblTrades[sol_invested],ROW()-1),"")</f>
        <v/>
      </c>
      <c r="M100" s="1">
        <f>COUNTIFS(tblAnalysis[Token],tblAnalysis[[#This Row],[Token]])</f>
        <v>0</v>
      </c>
      <c r="N100" s="1">
        <f>COUNTIFS($B$2:B100,tblAnalysis[[#This Row],[Token]])</f>
        <v>0</v>
      </c>
      <c r="O100" s="5">
        <f>IFERROR(SUM($H$2:H100),"")</f>
        <v>0.40399999999999997</v>
      </c>
      <c r="P100" s="6"/>
      <c r="Q100" s="27"/>
      <c r="R100" s="6" t="str">
        <f>IF(Q100="","",SUMIFS(tblAnalysis[P&amp;L SOL],tblAnalysis[Date],Q100))</f>
        <v/>
      </c>
      <c r="S100" s="10" t="str">
        <f>IF(Q100="","",SUMIFS(tblAnalysis[P&amp;L %],tblAnalysis[Date],Q100))</f>
        <v/>
      </c>
      <c r="T100" s="6" t="str">
        <f>IF(Q100="","",IFERROR(SUM($R$2:R100),""))</f>
        <v/>
      </c>
      <c r="U100" t="str">
        <f>IF(Q100="","",COUNTIFS(tblAnalysis[Date],Q100))</f>
        <v/>
      </c>
      <c r="W100" s="27" t="str">
        <f t="shared" si="32"/>
        <v/>
      </c>
      <c r="X100" s="6" t="str">
        <f t="shared" si="33"/>
        <v/>
      </c>
      <c r="Y100" s="6" t="str">
        <f>IF(Q100="","",MAX(X100,_xlfn.MAXIFS(tblAnalysis[Cum P&amp;L SOL],tblAnalysis[Date],Q100)))</f>
        <v/>
      </c>
      <c r="Z100" s="6" t="str">
        <f>IF(Q100="","",MIN(X100,_xlfn.MINIFS(tblAnalysis[Cum P&amp;L SOL],tblAnalysis[Date],Q100)))</f>
        <v/>
      </c>
      <c r="AA100" s="6" t="str">
        <f t="shared" si="34"/>
        <v/>
      </c>
      <c r="AB100"/>
      <c r="AC100" s="27" t="str">
        <f t="shared" si="35"/>
        <v/>
      </c>
      <c r="AD100" s="10" t="str">
        <f t="shared" si="36"/>
        <v/>
      </c>
      <c r="AE100" s="10" t="str">
        <f t="shared" si="37"/>
        <v/>
      </c>
      <c r="AF100" s="10" t="str">
        <f t="shared" si="38"/>
        <v/>
      </c>
      <c r="AG100"/>
      <c r="AH100" t="str">
        <f t="shared" si="39"/>
        <v/>
      </c>
      <c r="AI100" t="str">
        <f t="shared" si="40"/>
        <v/>
      </c>
      <c r="AK100" cm="1">
        <f t="array" ref="AK100">IFERROR(IF(INDEX($A:$A,ROW())="","",INDEX($A:$A,ROW())),"")</f>
        <v>99</v>
      </c>
      <c r="AL100" t="str" cm="1">
        <f t="array" ref="AL100">IFERROR(INDEX(tblTrades[sol_invested],ROW()-1),"")</f>
        <v/>
      </c>
      <c r="AM100" s="6" t="str" cm="1">
        <f t="array" ref="AM100">IFERROR(INDEX(tblAnalysis[P&amp;L SOL],ROW()-1),"")</f>
        <v/>
      </c>
      <c r="AN100" t="str" cm="1">
        <f t="array" ref="AN100">IFERROR(IF(INDEX(tblTrades[sol_invested],ROW()-1)&gt;0.5,INDEX(tblAnalysis[Token],ROW()-1)&amp;" ("&amp;TEXT(INDEX(tblTrades[sol_invested],ROW()-1),"0.0")&amp;" SOL)",""),"")</f>
        <v/>
      </c>
      <c r="AO100" s="7" t="e" cm="1">
        <f t="array" ref="AO100">IF(INDEX(tblTrades[sol_invested],ROW()-1)&gt;0.5,INDEX(tblAnalysis[Cum P&amp;L SOL],ROW()-1),"")</f>
        <v>#REF!</v>
      </c>
      <c r="AP100" s="12" t="str" cm="1">
        <f t="array" ref="AP100">IFERROR(INDEX(tblAnalysis[Entry MC ($)],ROW()-1),"")</f>
        <v/>
      </c>
      <c r="AQ100" s="10" t="str" cm="1">
        <f t="array" ref="AQ100">IFERROR(INDEX(tblAnalysis[P&amp;L %],ROW()-1),"")</f>
        <v/>
      </c>
      <c r="AR100" t="str" cm="1">
        <f t="array" ref="AR100">IFERROR(INDEX(tblAnalysis[Hold Time (s)],ROW()-1),"")</f>
        <v/>
      </c>
      <c r="AS100" s="6" t="str" cm="1">
        <f t="array" ref="AS100">IFERROR(INDEX(tblAnalysis[P&amp;L SOL],ROW()-1),"")</f>
        <v/>
      </c>
      <c r="AT100"/>
      <c r="AY100" s="10"/>
      <c r="AZ100" s="10"/>
      <c r="BA100" s="6"/>
      <c r="BB100"/>
      <c r="BF100" t="str">
        <f t="shared" si="41"/>
        <v/>
      </c>
      <c r="BG100" s="27" t="str">
        <f t="shared" si="42"/>
        <v/>
      </c>
      <c r="BH100" t="str">
        <f t="shared" si="43"/>
        <v/>
      </c>
      <c r="BL100" s="29" t="e">
        <f t="shared" si="44"/>
        <v>#N/A</v>
      </c>
      <c r="BM100" s="29" t="e">
        <f t="shared" si="45"/>
        <v>#N/A</v>
      </c>
    </row>
    <row r="101" spans="1:65" x14ac:dyDescent="0.35">
      <c r="A101">
        <f t="shared" si="28"/>
        <v>100</v>
      </c>
      <c r="B101" t="e" cm="1">
        <f t="array" ref="B101">INDEX(tblTrades[token_name],ROW()-1)</f>
        <v>#REF!</v>
      </c>
      <c r="C101" s="27" t="e" cm="1">
        <f t="array" ref="C101">INDEX(tblTrades[entry_date],ROW()-1)</f>
        <v>#REF!</v>
      </c>
      <c r="D101" s="2" t="e" cm="1">
        <f t="array" ref="D101">INDEX(tblTrades[entry_mc_actual],ROW()-1)</f>
        <v>#REF!</v>
      </c>
      <c r="E101" s="2" t="e" cm="1">
        <f t="array" ref="E101">INDEX(tblTrades[exit_mc_actual],ROW()-1)</f>
        <v>#REF!</v>
      </c>
      <c r="F101" s="3" t="e" cm="1">
        <f t="array" ref="F101">INDEX(tblTrades[time_in_trade_seconds],ROW()-1)</f>
        <v>#REF!</v>
      </c>
      <c r="G101" s="4" t="str" cm="1">
        <f t="array" ref="G101">IFERROR(INDEX(tblTrades[pnl_percentage],ROW()-1)*1,"")</f>
        <v/>
      </c>
      <c r="H101" s="5" t="str" cm="1">
        <f t="array" ref="H101">IFERROR(INDEX(tblTrades[pnl_sol],ROW()-1)*1,"")</f>
        <v/>
      </c>
      <c r="I101" t="str">
        <f t="shared" si="29"/>
        <v/>
      </c>
      <c r="J101" t="str">
        <f t="shared" si="30"/>
        <v/>
      </c>
      <c r="K101" t="str">
        <f t="shared" si="31"/>
        <v/>
      </c>
      <c r="L101" s="20" t="str" cm="1">
        <f t="array" ref="L101">IFERROR(INDEX(tblTrades[sol_invested],ROW()-1),"")</f>
        <v/>
      </c>
      <c r="M101" s="1">
        <f>COUNTIFS(tblAnalysis[Token],tblAnalysis[[#This Row],[Token]])</f>
        <v>0</v>
      </c>
      <c r="N101" s="1">
        <f>COUNTIFS($B$2:B101,tblAnalysis[[#This Row],[Token]])</f>
        <v>0</v>
      </c>
      <c r="O101" s="5">
        <f>IFERROR(SUM($H$2:H101),"")</f>
        <v>0.40399999999999997</v>
      </c>
      <c r="P101" s="6"/>
      <c r="Q101" s="27"/>
      <c r="R101" s="6" t="str">
        <f>IF(Q101="","",SUMIFS(tblAnalysis[P&amp;L SOL],tblAnalysis[Date],Q101))</f>
        <v/>
      </c>
      <c r="S101" s="10" t="str">
        <f>IF(Q101="","",SUMIFS(tblAnalysis[P&amp;L %],tblAnalysis[Date],Q101))</f>
        <v/>
      </c>
      <c r="T101" s="6" t="str">
        <f>IF(Q101="","",IFERROR(SUM($R$2:R101),""))</f>
        <v/>
      </c>
      <c r="U101" t="str">
        <f>IF(Q101="","",COUNTIFS(tblAnalysis[Date],Q101))</f>
        <v/>
      </c>
      <c r="W101" s="27" t="str">
        <f t="shared" si="32"/>
        <v/>
      </c>
      <c r="X101" s="6" t="str">
        <f t="shared" si="33"/>
        <v/>
      </c>
      <c r="Y101" s="6" t="str">
        <f>IF(Q101="","",MAX(X101,_xlfn.MAXIFS(tblAnalysis[Cum P&amp;L SOL],tblAnalysis[Date],Q101)))</f>
        <v/>
      </c>
      <c r="Z101" s="6" t="str">
        <f>IF(Q101="","",MIN(X101,_xlfn.MINIFS(tblAnalysis[Cum P&amp;L SOL],tblAnalysis[Date],Q101)))</f>
        <v/>
      </c>
      <c r="AA101" s="6" t="str">
        <f t="shared" si="34"/>
        <v/>
      </c>
      <c r="AB101"/>
      <c r="AC101" s="27" t="str">
        <f t="shared" si="35"/>
        <v/>
      </c>
      <c r="AD101" s="10" t="str">
        <f t="shared" si="36"/>
        <v/>
      </c>
      <c r="AE101" s="10" t="str">
        <f t="shared" si="37"/>
        <v/>
      </c>
      <c r="AF101" s="10" t="str">
        <f t="shared" si="38"/>
        <v/>
      </c>
      <c r="AG101"/>
      <c r="AH101" t="str">
        <f t="shared" si="39"/>
        <v/>
      </c>
      <c r="AI101" t="str">
        <f t="shared" si="40"/>
        <v/>
      </c>
      <c r="AK101" cm="1">
        <f t="array" ref="AK101">IFERROR(IF(INDEX($A:$A,ROW())="","",INDEX($A:$A,ROW())),"")</f>
        <v>100</v>
      </c>
      <c r="AL101" t="str" cm="1">
        <f t="array" ref="AL101">IFERROR(INDEX(tblTrades[sol_invested],ROW()-1),"")</f>
        <v/>
      </c>
      <c r="AM101" s="6" t="str" cm="1">
        <f t="array" ref="AM101">IFERROR(INDEX(tblAnalysis[P&amp;L SOL],ROW()-1),"")</f>
        <v/>
      </c>
      <c r="AN101" t="str" cm="1">
        <f t="array" ref="AN101">IFERROR(IF(INDEX(tblTrades[sol_invested],ROW()-1)&gt;0.5,INDEX(tblAnalysis[Token],ROW()-1)&amp;" ("&amp;TEXT(INDEX(tblTrades[sol_invested],ROW()-1),"0.0")&amp;" SOL)",""),"")</f>
        <v/>
      </c>
      <c r="AO101" s="7" t="e" cm="1">
        <f t="array" ref="AO101">IF(INDEX(tblTrades[sol_invested],ROW()-1)&gt;0.5,INDEX(tblAnalysis[Cum P&amp;L SOL],ROW()-1),"")</f>
        <v>#REF!</v>
      </c>
      <c r="AP101" s="12" t="str" cm="1">
        <f t="array" ref="AP101">IFERROR(INDEX(tblAnalysis[Entry MC ($)],ROW()-1),"")</f>
        <v/>
      </c>
      <c r="AQ101" s="10" t="str" cm="1">
        <f t="array" ref="AQ101">IFERROR(INDEX(tblAnalysis[P&amp;L %],ROW()-1),"")</f>
        <v/>
      </c>
      <c r="AR101" t="str" cm="1">
        <f t="array" ref="AR101">IFERROR(INDEX(tblAnalysis[Hold Time (s)],ROW()-1),"")</f>
        <v/>
      </c>
      <c r="AS101" s="6" t="str" cm="1">
        <f t="array" ref="AS101">IFERROR(INDEX(tblAnalysis[P&amp;L SOL],ROW()-1),"")</f>
        <v/>
      </c>
      <c r="AT101"/>
      <c r="AY101" s="10"/>
      <c r="AZ101" s="10"/>
      <c r="BA101" s="6"/>
      <c r="BB101"/>
      <c r="BF101" t="str">
        <f t="shared" si="41"/>
        <v/>
      </c>
      <c r="BG101" s="27" t="str">
        <f t="shared" si="42"/>
        <v/>
      </c>
      <c r="BH101" t="str">
        <f t="shared" si="43"/>
        <v/>
      </c>
      <c r="BL101" s="29" t="e">
        <f t="shared" si="44"/>
        <v>#N/A</v>
      </c>
      <c r="BM101" s="29" t="e">
        <f t="shared" si="45"/>
        <v>#N/A</v>
      </c>
    </row>
    <row r="102" spans="1:65" x14ac:dyDescent="0.35">
      <c r="A102">
        <f t="shared" si="28"/>
        <v>101</v>
      </c>
      <c r="B102" t="e" cm="1">
        <f t="array" ref="B102">INDEX(tblTrades[token_name],ROW()-1)</f>
        <v>#REF!</v>
      </c>
      <c r="C102" s="27" t="e" cm="1">
        <f t="array" ref="C102">INDEX(tblTrades[entry_date],ROW()-1)</f>
        <v>#REF!</v>
      </c>
      <c r="D102" s="2" t="e" cm="1">
        <f t="array" ref="D102">INDEX(tblTrades[entry_mc_actual],ROW()-1)</f>
        <v>#REF!</v>
      </c>
      <c r="E102" s="2" t="e" cm="1">
        <f t="array" ref="E102">INDEX(tblTrades[exit_mc_actual],ROW()-1)</f>
        <v>#REF!</v>
      </c>
      <c r="F102" s="3" t="e" cm="1">
        <f t="array" ref="F102">INDEX(tblTrades[time_in_trade_seconds],ROW()-1)</f>
        <v>#REF!</v>
      </c>
      <c r="G102" s="4" t="str" cm="1">
        <f t="array" ref="G102">IFERROR(INDEX(tblTrades[pnl_percentage],ROW()-1)*1,"")</f>
        <v/>
      </c>
      <c r="H102" s="5" t="str" cm="1">
        <f t="array" ref="H102">IFERROR(INDEX(tblTrades[pnl_sol],ROW()-1)*1,"")</f>
        <v/>
      </c>
      <c r="I102" t="str">
        <f t="shared" si="29"/>
        <v/>
      </c>
      <c r="J102" t="str">
        <f t="shared" si="30"/>
        <v/>
      </c>
      <c r="K102" t="str">
        <f t="shared" si="31"/>
        <v/>
      </c>
      <c r="L102" s="20" t="str" cm="1">
        <f t="array" ref="L102">IFERROR(INDEX(tblTrades[sol_invested],ROW()-1),"")</f>
        <v/>
      </c>
      <c r="M102" s="1">
        <f>COUNTIFS(tblAnalysis[Token],tblAnalysis[[#This Row],[Token]])</f>
        <v>0</v>
      </c>
      <c r="N102" s="1">
        <f>COUNTIFS($B$2:B102,tblAnalysis[[#This Row],[Token]])</f>
        <v>0</v>
      </c>
      <c r="O102" s="5">
        <f>IFERROR(SUM($H$2:H102),"")</f>
        <v>0.40399999999999997</v>
      </c>
      <c r="P102" s="6"/>
      <c r="Q102" s="27"/>
      <c r="R102" s="6" t="str">
        <f>IF(Q102="","",SUMIFS(tblAnalysis[P&amp;L SOL],tblAnalysis[Date],Q102))</f>
        <v/>
      </c>
      <c r="S102" s="10" t="str">
        <f>IF(Q102="","",SUMIFS(tblAnalysis[P&amp;L %],tblAnalysis[Date],Q102))</f>
        <v/>
      </c>
      <c r="T102" s="6" t="str">
        <f>IF(Q102="","",IFERROR(SUM($R$2:R102),""))</f>
        <v/>
      </c>
      <c r="U102" t="str">
        <f>IF(Q102="","",COUNTIFS(tblAnalysis[Date],Q102))</f>
        <v/>
      </c>
      <c r="W102" s="27" t="str">
        <f t="shared" si="32"/>
        <v/>
      </c>
      <c r="X102" s="6" t="str">
        <f t="shared" si="33"/>
        <v/>
      </c>
      <c r="Y102" s="6" t="str">
        <f>IF(Q102="","",MAX(X102,_xlfn.MAXIFS(tblAnalysis[Cum P&amp;L SOL],tblAnalysis[Date],Q102)))</f>
        <v/>
      </c>
      <c r="Z102" s="6" t="str">
        <f>IF(Q102="","",MIN(X102,_xlfn.MINIFS(tblAnalysis[Cum P&amp;L SOL],tblAnalysis[Date],Q102)))</f>
        <v/>
      </c>
      <c r="AA102" s="6" t="str">
        <f t="shared" si="34"/>
        <v/>
      </c>
      <c r="AB102"/>
      <c r="AC102" s="27" t="str">
        <f t="shared" si="35"/>
        <v/>
      </c>
      <c r="AD102" s="10" t="str">
        <f t="shared" si="36"/>
        <v/>
      </c>
      <c r="AE102" s="10" t="str">
        <f t="shared" si="37"/>
        <v/>
      </c>
      <c r="AF102" s="10" t="str">
        <f t="shared" si="38"/>
        <v/>
      </c>
      <c r="AG102"/>
      <c r="AH102" t="str">
        <f t="shared" si="39"/>
        <v/>
      </c>
      <c r="AI102" t="str">
        <f t="shared" si="40"/>
        <v/>
      </c>
      <c r="AK102" cm="1">
        <f t="array" ref="AK102">IFERROR(IF(INDEX($A:$A,ROW())="","",INDEX($A:$A,ROW())),"")</f>
        <v>101</v>
      </c>
      <c r="AL102" t="str" cm="1">
        <f t="array" ref="AL102">IFERROR(INDEX(tblTrades[sol_invested],ROW()-1),"")</f>
        <v/>
      </c>
      <c r="AM102" s="6" t="str" cm="1">
        <f t="array" ref="AM102">IFERROR(INDEX(tblAnalysis[P&amp;L SOL],ROW()-1),"")</f>
        <v/>
      </c>
      <c r="AN102" t="str" cm="1">
        <f t="array" ref="AN102">IFERROR(IF(INDEX(tblTrades[sol_invested],ROW()-1)&gt;0.5,INDEX(tblAnalysis[Token],ROW()-1)&amp;" ("&amp;TEXT(INDEX(tblTrades[sol_invested],ROW()-1),"0.0")&amp;" SOL)",""),"")</f>
        <v/>
      </c>
      <c r="AO102" s="7" t="e" cm="1">
        <f t="array" ref="AO102">IF(INDEX(tblTrades[sol_invested],ROW()-1)&gt;0.5,INDEX(tblAnalysis[Cum P&amp;L SOL],ROW()-1),"")</f>
        <v>#REF!</v>
      </c>
      <c r="AP102" s="12" t="str" cm="1">
        <f t="array" ref="AP102">IFERROR(INDEX(tblAnalysis[Entry MC ($)],ROW()-1),"")</f>
        <v/>
      </c>
      <c r="AQ102" s="10" t="str" cm="1">
        <f t="array" ref="AQ102">IFERROR(INDEX(tblAnalysis[P&amp;L %],ROW()-1),"")</f>
        <v/>
      </c>
      <c r="AR102" t="str" cm="1">
        <f t="array" ref="AR102">IFERROR(INDEX(tblAnalysis[Hold Time (s)],ROW()-1),"")</f>
        <v/>
      </c>
      <c r="AS102" s="6" t="str" cm="1">
        <f t="array" ref="AS102">IFERROR(INDEX(tblAnalysis[P&amp;L SOL],ROW()-1),"")</f>
        <v/>
      </c>
      <c r="AT102"/>
      <c r="AY102" s="10"/>
      <c r="AZ102" s="10"/>
      <c r="BA102" s="6"/>
      <c r="BB102"/>
      <c r="BF102" t="str">
        <f t="shared" si="41"/>
        <v/>
      </c>
      <c r="BG102" s="27" t="str">
        <f t="shared" si="42"/>
        <v/>
      </c>
      <c r="BH102" t="str">
        <f t="shared" si="43"/>
        <v/>
      </c>
      <c r="BL102" s="29" t="e">
        <f t="shared" si="44"/>
        <v>#N/A</v>
      </c>
      <c r="BM102" s="29" t="e">
        <f t="shared" si="45"/>
        <v>#N/A</v>
      </c>
    </row>
    <row r="103" spans="1:65" x14ac:dyDescent="0.35">
      <c r="A103">
        <f t="shared" si="28"/>
        <v>102</v>
      </c>
      <c r="B103" t="e" cm="1">
        <f t="array" ref="B103">INDEX(tblTrades[token_name],ROW()-1)</f>
        <v>#REF!</v>
      </c>
      <c r="C103" s="27" t="e" cm="1">
        <f t="array" ref="C103">INDEX(tblTrades[entry_date],ROW()-1)</f>
        <v>#REF!</v>
      </c>
      <c r="D103" s="2" t="e" cm="1">
        <f t="array" ref="D103">INDEX(tblTrades[entry_mc_actual],ROW()-1)</f>
        <v>#REF!</v>
      </c>
      <c r="E103" s="2" t="e" cm="1">
        <f t="array" ref="E103">INDEX(tblTrades[exit_mc_actual],ROW()-1)</f>
        <v>#REF!</v>
      </c>
      <c r="F103" s="3" t="e" cm="1">
        <f t="array" ref="F103">INDEX(tblTrades[time_in_trade_seconds],ROW()-1)</f>
        <v>#REF!</v>
      </c>
      <c r="G103" s="4" t="str" cm="1">
        <f t="array" ref="G103">IFERROR(INDEX(tblTrades[pnl_percentage],ROW()-1)*1,"")</f>
        <v/>
      </c>
      <c r="H103" s="5" t="str" cm="1">
        <f t="array" ref="H103">IFERROR(INDEX(tblTrades[pnl_sol],ROW()-1)*1,"")</f>
        <v/>
      </c>
      <c r="I103" t="str">
        <f t="shared" si="29"/>
        <v/>
      </c>
      <c r="J103" t="str">
        <f t="shared" si="30"/>
        <v/>
      </c>
      <c r="K103" t="str">
        <f t="shared" si="31"/>
        <v/>
      </c>
      <c r="L103" s="20" t="str" cm="1">
        <f t="array" ref="L103">IFERROR(INDEX(tblTrades[sol_invested],ROW()-1),"")</f>
        <v/>
      </c>
      <c r="M103" s="1">
        <f>COUNTIFS(tblAnalysis[Token],tblAnalysis[[#This Row],[Token]])</f>
        <v>0</v>
      </c>
      <c r="N103" s="1">
        <f>COUNTIFS($B$2:B103,tblAnalysis[[#This Row],[Token]])</f>
        <v>0</v>
      </c>
      <c r="O103" s="5">
        <f>IFERROR(SUM($H$2:H103),"")</f>
        <v>0.40399999999999997</v>
      </c>
      <c r="P103" s="6"/>
      <c r="Q103" s="27"/>
      <c r="R103" s="6" t="str">
        <f>IF(Q103="","",SUMIFS(tblAnalysis[P&amp;L SOL],tblAnalysis[Date],Q103))</f>
        <v/>
      </c>
      <c r="S103" s="10" t="str">
        <f>IF(Q103="","",SUMIFS(tblAnalysis[P&amp;L %],tblAnalysis[Date],Q103))</f>
        <v/>
      </c>
      <c r="T103" s="6" t="str">
        <f>IF(Q103="","",IFERROR(SUM($R$2:R103),""))</f>
        <v/>
      </c>
      <c r="U103" t="str">
        <f>IF(Q103="","",COUNTIFS(tblAnalysis[Date],Q103))</f>
        <v/>
      </c>
      <c r="W103" s="27" t="str">
        <f t="shared" si="32"/>
        <v/>
      </c>
      <c r="X103" s="6" t="str">
        <f t="shared" si="33"/>
        <v/>
      </c>
      <c r="Y103" s="6" t="str">
        <f>IF(Q103="","",MAX(X103,_xlfn.MAXIFS(tblAnalysis[Cum P&amp;L SOL],tblAnalysis[Date],Q103)))</f>
        <v/>
      </c>
      <c r="Z103" s="6" t="str">
        <f>IF(Q103="","",MIN(X103,_xlfn.MINIFS(tblAnalysis[Cum P&amp;L SOL],tblAnalysis[Date],Q103)))</f>
        <v/>
      </c>
      <c r="AA103" s="6" t="str">
        <f t="shared" si="34"/>
        <v/>
      </c>
      <c r="AB103"/>
      <c r="AC103" s="27" t="str">
        <f t="shared" si="35"/>
        <v/>
      </c>
      <c r="AD103" s="10" t="str">
        <f t="shared" si="36"/>
        <v/>
      </c>
      <c r="AE103" s="10" t="str">
        <f t="shared" si="37"/>
        <v/>
      </c>
      <c r="AF103" s="10" t="str">
        <f t="shared" si="38"/>
        <v/>
      </c>
      <c r="AG103"/>
      <c r="AH103" t="str">
        <f t="shared" si="39"/>
        <v/>
      </c>
      <c r="AI103" t="str">
        <f t="shared" si="40"/>
        <v/>
      </c>
      <c r="AK103" cm="1">
        <f t="array" ref="AK103">IFERROR(IF(INDEX($A:$A,ROW())="","",INDEX($A:$A,ROW())),"")</f>
        <v>102</v>
      </c>
      <c r="AL103" t="str" cm="1">
        <f t="array" ref="AL103">IFERROR(INDEX(tblTrades[sol_invested],ROW()-1),"")</f>
        <v/>
      </c>
      <c r="AM103" s="6" t="str" cm="1">
        <f t="array" ref="AM103">IFERROR(INDEX(tblAnalysis[P&amp;L SOL],ROW()-1),"")</f>
        <v/>
      </c>
      <c r="AN103" t="str" cm="1">
        <f t="array" ref="AN103">IFERROR(IF(INDEX(tblTrades[sol_invested],ROW()-1)&gt;0.5,INDEX(tblAnalysis[Token],ROW()-1)&amp;" ("&amp;TEXT(INDEX(tblTrades[sol_invested],ROW()-1),"0.0")&amp;" SOL)",""),"")</f>
        <v/>
      </c>
      <c r="AO103" s="7" t="e" cm="1">
        <f t="array" ref="AO103">IF(INDEX(tblTrades[sol_invested],ROW()-1)&gt;0.5,INDEX(tblAnalysis[Cum P&amp;L SOL],ROW()-1),"")</f>
        <v>#REF!</v>
      </c>
      <c r="AP103" s="12" t="str" cm="1">
        <f t="array" ref="AP103">IFERROR(INDEX(tblAnalysis[Entry MC ($)],ROW()-1),"")</f>
        <v/>
      </c>
      <c r="AQ103" s="10" t="str" cm="1">
        <f t="array" ref="AQ103">IFERROR(INDEX(tblAnalysis[P&amp;L %],ROW()-1),"")</f>
        <v/>
      </c>
      <c r="AR103" t="str" cm="1">
        <f t="array" ref="AR103">IFERROR(INDEX(tblAnalysis[Hold Time (s)],ROW()-1),"")</f>
        <v/>
      </c>
      <c r="AS103" s="6" t="str" cm="1">
        <f t="array" ref="AS103">IFERROR(INDEX(tblAnalysis[P&amp;L SOL],ROW()-1),"")</f>
        <v/>
      </c>
      <c r="AT103"/>
      <c r="AY103" s="10"/>
      <c r="AZ103" s="10"/>
      <c r="BA103" s="6"/>
      <c r="BB103"/>
      <c r="BF103" t="str">
        <f t="shared" si="41"/>
        <v/>
      </c>
      <c r="BG103" s="27" t="str">
        <f t="shared" si="42"/>
        <v/>
      </c>
      <c r="BH103" t="str">
        <f t="shared" si="43"/>
        <v/>
      </c>
      <c r="BL103" s="29" t="e">
        <f t="shared" si="44"/>
        <v>#N/A</v>
      </c>
      <c r="BM103" s="29" t="e">
        <f t="shared" si="45"/>
        <v>#N/A</v>
      </c>
    </row>
    <row r="104" spans="1:65" x14ac:dyDescent="0.35">
      <c r="A104">
        <f t="shared" si="28"/>
        <v>103</v>
      </c>
      <c r="B104" t="e" cm="1">
        <f t="array" ref="B104">INDEX(tblTrades[token_name],ROW()-1)</f>
        <v>#REF!</v>
      </c>
      <c r="C104" s="27" t="e" cm="1">
        <f t="array" ref="C104">INDEX(tblTrades[entry_date],ROW()-1)</f>
        <v>#REF!</v>
      </c>
      <c r="D104" s="2" t="e" cm="1">
        <f t="array" ref="D104">INDEX(tblTrades[entry_mc_actual],ROW()-1)</f>
        <v>#REF!</v>
      </c>
      <c r="E104" s="2" t="e" cm="1">
        <f t="array" ref="E104">INDEX(tblTrades[exit_mc_actual],ROW()-1)</f>
        <v>#REF!</v>
      </c>
      <c r="F104" s="3" t="e" cm="1">
        <f t="array" ref="F104">INDEX(tblTrades[time_in_trade_seconds],ROW()-1)</f>
        <v>#REF!</v>
      </c>
      <c r="G104" s="4" t="str" cm="1">
        <f t="array" ref="G104">IFERROR(INDEX(tblTrades[pnl_percentage],ROW()-1)*1,"")</f>
        <v/>
      </c>
      <c r="H104" s="5" t="str" cm="1">
        <f t="array" ref="H104">IFERROR(INDEX(tblTrades[pnl_sol],ROW()-1)*1,"")</f>
        <v/>
      </c>
      <c r="I104" t="str">
        <f t="shared" si="29"/>
        <v/>
      </c>
      <c r="J104" t="str">
        <f t="shared" si="30"/>
        <v/>
      </c>
      <c r="K104" t="str">
        <f t="shared" si="31"/>
        <v/>
      </c>
      <c r="L104" s="20" t="str" cm="1">
        <f t="array" ref="L104">IFERROR(INDEX(tblTrades[sol_invested],ROW()-1),"")</f>
        <v/>
      </c>
      <c r="M104" s="1">
        <f>COUNTIFS(tblAnalysis[Token],tblAnalysis[[#This Row],[Token]])</f>
        <v>0</v>
      </c>
      <c r="N104" s="1">
        <f>COUNTIFS($B$2:B104,tblAnalysis[[#This Row],[Token]])</f>
        <v>0</v>
      </c>
      <c r="O104" s="5">
        <f>IFERROR(SUM($H$2:H104),"")</f>
        <v>0.40399999999999997</v>
      </c>
      <c r="P104" s="6"/>
      <c r="Q104" s="27"/>
      <c r="R104" s="6" t="str">
        <f>IF(Q104="","",SUMIFS(tblAnalysis[P&amp;L SOL],tblAnalysis[Date],Q104))</f>
        <v/>
      </c>
      <c r="S104" s="10" t="str">
        <f>IF(Q104="","",SUMIFS(tblAnalysis[P&amp;L %],tblAnalysis[Date],Q104))</f>
        <v/>
      </c>
      <c r="T104" s="6" t="str">
        <f>IF(Q104="","",IFERROR(SUM($R$2:R104),""))</f>
        <v/>
      </c>
      <c r="U104" t="str">
        <f>IF(Q104="","",COUNTIFS(tblAnalysis[Date],Q104))</f>
        <v/>
      </c>
      <c r="W104" s="27" t="str">
        <f t="shared" si="32"/>
        <v/>
      </c>
      <c r="X104" s="6" t="str">
        <f t="shared" si="33"/>
        <v/>
      </c>
      <c r="Y104" s="6" t="str">
        <f>IF(Q104="","",MAX(X104,_xlfn.MAXIFS(tblAnalysis[Cum P&amp;L SOL],tblAnalysis[Date],Q104)))</f>
        <v/>
      </c>
      <c r="Z104" s="6" t="str">
        <f>IF(Q104="","",MIN(X104,_xlfn.MINIFS(tblAnalysis[Cum P&amp;L SOL],tblAnalysis[Date],Q104)))</f>
        <v/>
      </c>
      <c r="AA104" s="6" t="str">
        <f t="shared" si="34"/>
        <v/>
      </c>
      <c r="AB104"/>
      <c r="AC104" s="27" t="str">
        <f t="shared" si="35"/>
        <v/>
      </c>
      <c r="AD104" s="10" t="str">
        <f t="shared" si="36"/>
        <v/>
      </c>
      <c r="AE104" s="10" t="str">
        <f t="shared" si="37"/>
        <v/>
      </c>
      <c r="AF104" s="10" t="str">
        <f t="shared" si="38"/>
        <v/>
      </c>
      <c r="AG104"/>
      <c r="AH104" t="str">
        <f t="shared" si="39"/>
        <v/>
      </c>
      <c r="AI104" t="str">
        <f t="shared" si="40"/>
        <v/>
      </c>
      <c r="AK104" cm="1">
        <f t="array" ref="AK104">IFERROR(IF(INDEX($A:$A,ROW())="","",INDEX($A:$A,ROW())),"")</f>
        <v>103</v>
      </c>
      <c r="AL104" t="str" cm="1">
        <f t="array" ref="AL104">IFERROR(INDEX(tblTrades[sol_invested],ROW()-1),"")</f>
        <v/>
      </c>
      <c r="AM104" s="6" t="str" cm="1">
        <f t="array" ref="AM104">IFERROR(INDEX(tblAnalysis[P&amp;L SOL],ROW()-1),"")</f>
        <v/>
      </c>
      <c r="AN104" t="str" cm="1">
        <f t="array" ref="AN104">IFERROR(IF(INDEX(tblTrades[sol_invested],ROW()-1)&gt;0.5,INDEX(tblAnalysis[Token],ROW()-1)&amp;" ("&amp;TEXT(INDEX(tblTrades[sol_invested],ROW()-1),"0.0")&amp;" SOL)",""),"")</f>
        <v/>
      </c>
      <c r="AO104" s="7" t="e" cm="1">
        <f t="array" ref="AO104">IF(INDEX(tblTrades[sol_invested],ROW()-1)&gt;0.5,INDEX(tblAnalysis[Cum P&amp;L SOL],ROW()-1),"")</f>
        <v>#REF!</v>
      </c>
      <c r="AP104" s="12" t="str" cm="1">
        <f t="array" ref="AP104">IFERROR(INDEX(tblAnalysis[Entry MC ($)],ROW()-1),"")</f>
        <v/>
      </c>
      <c r="AQ104" s="10" t="str" cm="1">
        <f t="array" ref="AQ104">IFERROR(INDEX(tblAnalysis[P&amp;L %],ROW()-1),"")</f>
        <v/>
      </c>
      <c r="AR104" t="str" cm="1">
        <f t="array" ref="AR104">IFERROR(INDEX(tblAnalysis[Hold Time (s)],ROW()-1),"")</f>
        <v/>
      </c>
      <c r="AS104" s="6" t="str" cm="1">
        <f t="array" ref="AS104">IFERROR(INDEX(tblAnalysis[P&amp;L SOL],ROW()-1),"")</f>
        <v/>
      </c>
      <c r="AT104"/>
      <c r="AY104" s="10"/>
      <c r="AZ104" s="10"/>
      <c r="BA104" s="6"/>
      <c r="BB104"/>
      <c r="BF104" t="str">
        <f t="shared" si="41"/>
        <v/>
      </c>
      <c r="BG104" s="27" t="str">
        <f t="shared" si="42"/>
        <v/>
      </c>
      <c r="BH104" t="str">
        <f t="shared" si="43"/>
        <v/>
      </c>
      <c r="BL104" s="29" t="e">
        <f t="shared" si="44"/>
        <v>#N/A</v>
      </c>
      <c r="BM104" s="29" t="e">
        <f t="shared" si="45"/>
        <v>#N/A</v>
      </c>
    </row>
    <row r="105" spans="1:65" x14ac:dyDescent="0.35">
      <c r="A105">
        <f t="shared" si="28"/>
        <v>104</v>
      </c>
      <c r="B105" t="e" cm="1">
        <f t="array" ref="B105">INDEX(tblTrades[token_name],ROW()-1)</f>
        <v>#REF!</v>
      </c>
      <c r="C105" s="27" t="e" cm="1">
        <f t="array" ref="C105">INDEX(tblTrades[entry_date],ROW()-1)</f>
        <v>#REF!</v>
      </c>
      <c r="D105" s="2" t="e" cm="1">
        <f t="array" ref="D105">INDEX(tblTrades[entry_mc_actual],ROW()-1)</f>
        <v>#REF!</v>
      </c>
      <c r="E105" s="2" t="e" cm="1">
        <f t="array" ref="E105">INDEX(tblTrades[exit_mc_actual],ROW()-1)</f>
        <v>#REF!</v>
      </c>
      <c r="F105" s="3" t="e" cm="1">
        <f t="array" ref="F105">INDEX(tblTrades[time_in_trade_seconds],ROW()-1)</f>
        <v>#REF!</v>
      </c>
      <c r="G105" s="4" t="str" cm="1">
        <f t="array" ref="G105">IFERROR(INDEX(tblTrades[pnl_percentage],ROW()-1)*1,"")</f>
        <v/>
      </c>
      <c r="H105" s="5" t="str" cm="1">
        <f t="array" ref="H105">IFERROR(INDEX(tblTrades[pnl_sol],ROW()-1)*1,"")</f>
        <v/>
      </c>
      <c r="I105" t="str">
        <f t="shared" si="29"/>
        <v/>
      </c>
      <c r="J105" t="str">
        <f t="shared" si="30"/>
        <v/>
      </c>
      <c r="K105" t="str">
        <f t="shared" si="31"/>
        <v/>
      </c>
      <c r="L105" s="20" t="str" cm="1">
        <f t="array" ref="L105">IFERROR(INDEX(tblTrades[sol_invested],ROW()-1),"")</f>
        <v/>
      </c>
      <c r="M105" s="1">
        <f>COUNTIFS(tblAnalysis[Token],tblAnalysis[[#This Row],[Token]])</f>
        <v>0</v>
      </c>
      <c r="N105" s="1">
        <f>COUNTIFS($B$2:B105,tblAnalysis[[#This Row],[Token]])</f>
        <v>0</v>
      </c>
      <c r="O105" s="5">
        <f>IFERROR(SUM($H$2:H105),"")</f>
        <v>0.40399999999999997</v>
      </c>
      <c r="P105" s="6"/>
      <c r="Q105" s="27"/>
      <c r="R105" s="6" t="str">
        <f>IF(Q105="","",SUMIFS(tblAnalysis[P&amp;L SOL],tblAnalysis[Date],Q105))</f>
        <v/>
      </c>
      <c r="S105" s="10" t="str">
        <f>IF(Q105="","",SUMIFS(tblAnalysis[P&amp;L %],tblAnalysis[Date],Q105))</f>
        <v/>
      </c>
      <c r="T105" s="6" t="str">
        <f>IF(Q105="","",IFERROR(SUM($R$2:R105),""))</f>
        <v/>
      </c>
      <c r="U105" t="str">
        <f>IF(Q105="","",COUNTIFS(tblAnalysis[Date],Q105))</f>
        <v/>
      </c>
      <c r="W105" s="27" t="str">
        <f t="shared" si="32"/>
        <v/>
      </c>
      <c r="X105" s="6" t="str">
        <f t="shared" si="33"/>
        <v/>
      </c>
      <c r="Y105" s="6" t="str">
        <f>IF(Q105="","",MAX(X105,_xlfn.MAXIFS(tblAnalysis[Cum P&amp;L SOL],tblAnalysis[Date],Q105)))</f>
        <v/>
      </c>
      <c r="Z105" s="6" t="str">
        <f>IF(Q105="","",MIN(X105,_xlfn.MINIFS(tblAnalysis[Cum P&amp;L SOL],tblAnalysis[Date],Q105)))</f>
        <v/>
      </c>
      <c r="AA105" s="6" t="str">
        <f t="shared" si="34"/>
        <v/>
      </c>
      <c r="AB105"/>
      <c r="AC105" s="27" t="str">
        <f t="shared" si="35"/>
        <v/>
      </c>
      <c r="AD105" s="10" t="str">
        <f t="shared" si="36"/>
        <v/>
      </c>
      <c r="AE105" s="10" t="str">
        <f t="shared" si="37"/>
        <v/>
      </c>
      <c r="AF105" s="10" t="str">
        <f t="shared" si="38"/>
        <v/>
      </c>
      <c r="AG105"/>
      <c r="AH105" t="str">
        <f t="shared" si="39"/>
        <v/>
      </c>
      <c r="AI105" t="str">
        <f t="shared" si="40"/>
        <v/>
      </c>
      <c r="AK105" cm="1">
        <f t="array" ref="AK105">IFERROR(IF(INDEX($A:$A,ROW())="","",INDEX($A:$A,ROW())),"")</f>
        <v>104</v>
      </c>
      <c r="AL105" t="str" cm="1">
        <f t="array" ref="AL105">IFERROR(INDEX(tblTrades[sol_invested],ROW()-1),"")</f>
        <v/>
      </c>
      <c r="AM105" s="6" t="str" cm="1">
        <f t="array" ref="AM105">IFERROR(INDEX(tblAnalysis[P&amp;L SOL],ROW()-1),"")</f>
        <v/>
      </c>
      <c r="AN105" t="str" cm="1">
        <f t="array" ref="AN105">IFERROR(IF(INDEX(tblTrades[sol_invested],ROW()-1)&gt;0.5,INDEX(tblAnalysis[Token],ROW()-1)&amp;" ("&amp;TEXT(INDEX(tblTrades[sol_invested],ROW()-1),"0.0")&amp;" SOL)",""),"")</f>
        <v/>
      </c>
      <c r="AO105" s="7" t="e" cm="1">
        <f t="array" ref="AO105">IF(INDEX(tblTrades[sol_invested],ROW()-1)&gt;0.5,INDEX(tblAnalysis[Cum P&amp;L SOL],ROW()-1),"")</f>
        <v>#REF!</v>
      </c>
      <c r="AP105" s="12" t="str" cm="1">
        <f t="array" ref="AP105">IFERROR(INDEX(tblAnalysis[Entry MC ($)],ROW()-1),"")</f>
        <v/>
      </c>
      <c r="AQ105" s="10" t="str" cm="1">
        <f t="array" ref="AQ105">IFERROR(INDEX(tblAnalysis[P&amp;L %],ROW()-1),"")</f>
        <v/>
      </c>
      <c r="AR105" t="str" cm="1">
        <f t="array" ref="AR105">IFERROR(INDEX(tblAnalysis[Hold Time (s)],ROW()-1),"")</f>
        <v/>
      </c>
      <c r="AS105" s="6" t="str" cm="1">
        <f t="array" ref="AS105">IFERROR(INDEX(tblAnalysis[P&amp;L SOL],ROW()-1),"")</f>
        <v/>
      </c>
      <c r="AT105"/>
      <c r="AY105" s="10"/>
      <c r="AZ105" s="10"/>
      <c r="BA105" s="6"/>
      <c r="BB105"/>
      <c r="BF105" t="str">
        <f t="shared" si="41"/>
        <v/>
      </c>
      <c r="BG105" s="27" t="str">
        <f t="shared" si="42"/>
        <v/>
      </c>
      <c r="BH105" t="str">
        <f t="shared" si="43"/>
        <v/>
      </c>
      <c r="BL105" s="29" t="e">
        <f t="shared" si="44"/>
        <v>#N/A</v>
      </c>
      <c r="BM105" s="29" t="e">
        <f t="shared" si="45"/>
        <v>#N/A</v>
      </c>
    </row>
    <row r="106" spans="1:65" x14ac:dyDescent="0.35">
      <c r="A106">
        <f t="shared" si="28"/>
        <v>105</v>
      </c>
      <c r="B106" t="e" cm="1">
        <f t="array" ref="B106">INDEX(tblTrades[token_name],ROW()-1)</f>
        <v>#REF!</v>
      </c>
      <c r="C106" s="27" t="e" cm="1">
        <f t="array" ref="C106">INDEX(tblTrades[entry_date],ROW()-1)</f>
        <v>#REF!</v>
      </c>
      <c r="D106" s="2" t="e" cm="1">
        <f t="array" ref="D106">INDEX(tblTrades[entry_mc_actual],ROW()-1)</f>
        <v>#REF!</v>
      </c>
      <c r="E106" s="2" t="e" cm="1">
        <f t="array" ref="E106">INDEX(tblTrades[exit_mc_actual],ROW()-1)</f>
        <v>#REF!</v>
      </c>
      <c r="F106" s="3" t="e" cm="1">
        <f t="array" ref="F106">INDEX(tblTrades[time_in_trade_seconds],ROW()-1)</f>
        <v>#REF!</v>
      </c>
      <c r="G106" s="4" t="str" cm="1">
        <f t="array" ref="G106">IFERROR(INDEX(tblTrades[pnl_percentage],ROW()-1)*1,"")</f>
        <v/>
      </c>
      <c r="H106" s="5" t="str" cm="1">
        <f t="array" ref="H106">IFERROR(INDEX(tblTrades[pnl_sol],ROW()-1)*1,"")</f>
        <v/>
      </c>
      <c r="I106" t="str">
        <f t="shared" si="29"/>
        <v/>
      </c>
      <c r="J106" t="str">
        <f t="shared" si="30"/>
        <v/>
      </c>
      <c r="K106" t="str">
        <f t="shared" si="31"/>
        <v/>
      </c>
      <c r="L106" s="20" t="str" cm="1">
        <f t="array" ref="L106">IFERROR(INDEX(tblTrades[sol_invested],ROW()-1),"")</f>
        <v/>
      </c>
      <c r="M106" s="1">
        <f>COUNTIFS(tblAnalysis[Token],tblAnalysis[[#This Row],[Token]])</f>
        <v>0</v>
      </c>
      <c r="N106" s="1">
        <f>COUNTIFS($B$2:B106,tblAnalysis[[#This Row],[Token]])</f>
        <v>0</v>
      </c>
      <c r="O106" s="5">
        <f>IFERROR(SUM($H$2:H106),"")</f>
        <v>0.40399999999999997</v>
      </c>
      <c r="P106" s="6"/>
      <c r="Q106" s="27"/>
      <c r="R106" s="6" t="str">
        <f>IF(Q106="","",SUMIFS(tblAnalysis[P&amp;L SOL],tblAnalysis[Date],Q106))</f>
        <v/>
      </c>
      <c r="S106" s="10" t="str">
        <f>IF(Q106="","",SUMIFS(tblAnalysis[P&amp;L %],tblAnalysis[Date],Q106))</f>
        <v/>
      </c>
      <c r="T106" s="6" t="str">
        <f>IF(Q106="","",IFERROR(SUM($R$2:R106),""))</f>
        <v/>
      </c>
      <c r="U106" t="str">
        <f>IF(Q106="","",COUNTIFS(tblAnalysis[Date],Q106))</f>
        <v/>
      </c>
      <c r="W106" s="27" t="str">
        <f t="shared" si="32"/>
        <v/>
      </c>
      <c r="X106" s="6" t="str">
        <f t="shared" si="33"/>
        <v/>
      </c>
      <c r="Y106" s="6" t="str">
        <f>IF(Q106="","",MAX(X106,_xlfn.MAXIFS(tblAnalysis[Cum P&amp;L SOL],tblAnalysis[Date],Q106)))</f>
        <v/>
      </c>
      <c r="Z106" s="6" t="str">
        <f>IF(Q106="","",MIN(X106,_xlfn.MINIFS(tblAnalysis[Cum P&amp;L SOL],tblAnalysis[Date],Q106)))</f>
        <v/>
      </c>
      <c r="AA106" s="6" t="str">
        <f t="shared" si="34"/>
        <v/>
      </c>
      <c r="AB106"/>
      <c r="AC106" s="27" t="str">
        <f t="shared" si="35"/>
        <v/>
      </c>
      <c r="AD106" s="10" t="str">
        <f t="shared" si="36"/>
        <v/>
      </c>
      <c r="AE106" s="10" t="str">
        <f t="shared" si="37"/>
        <v/>
      </c>
      <c r="AF106" s="10" t="str">
        <f t="shared" si="38"/>
        <v/>
      </c>
      <c r="AG106"/>
      <c r="AH106" t="str">
        <f t="shared" si="39"/>
        <v/>
      </c>
      <c r="AI106" t="str">
        <f t="shared" si="40"/>
        <v/>
      </c>
      <c r="AK106" cm="1">
        <f t="array" ref="AK106">IFERROR(IF(INDEX($A:$A,ROW())="","",INDEX($A:$A,ROW())),"")</f>
        <v>105</v>
      </c>
      <c r="AL106" t="str" cm="1">
        <f t="array" ref="AL106">IFERROR(INDEX(tblTrades[sol_invested],ROW()-1),"")</f>
        <v/>
      </c>
      <c r="AM106" s="6" t="str" cm="1">
        <f t="array" ref="AM106">IFERROR(INDEX(tblAnalysis[P&amp;L SOL],ROW()-1),"")</f>
        <v/>
      </c>
      <c r="AN106" t="str" cm="1">
        <f t="array" ref="AN106">IFERROR(IF(INDEX(tblTrades[sol_invested],ROW()-1)&gt;0.5,INDEX(tblAnalysis[Token],ROW()-1)&amp;" ("&amp;TEXT(INDEX(tblTrades[sol_invested],ROW()-1),"0.0")&amp;" SOL)",""),"")</f>
        <v/>
      </c>
      <c r="AO106" s="7" t="e" cm="1">
        <f t="array" ref="AO106">IF(INDEX(tblTrades[sol_invested],ROW()-1)&gt;0.5,INDEX(tblAnalysis[Cum P&amp;L SOL],ROW()-1),"")</f>
        <v>#REF!</v>
      </c>
      <c r="AP106" s="12" t="str" cm="1">
        <f t="array" ref="AP106">IFERROR(INDEX(tblAnalysis[Entry MC ($)],ROW()-1),"")</f>
        <v/>
      </c>
      <c r="AQ106" s="10" t="str" cm="1">
        <f t="array" ref="AQ106">IFERROR(INDEX(tblAnalysis[P&amp;L %],ROW()-1),"")</f>
        <v/>
      </c>
      <c r="AR106" t="str" cm="1">
        <f t="array" ref="AR106">IFERROR(INDEX(tblAnalysis[Hold Time (s)],ROW()-1),"")</f>
        <v/>
      </c>
      <c r="AS106" s="6" t="str" cm="1">
        <f t="array" ref="AS106">IFERROR(INDEX(tblAnalysis[P&amp;L SOL],ROW()-1),"")</f>
        <v/>
      </c>
      <c r="AT106"/>
      <c r="AY106" s="10"/>
      <c r="AZ106" s="10"/>
      <c r="BA106" s="6"/>
      <c r="BB106"/>
      <c r="BF106" t="str">
        <f t="shared" si="41"/>
        <v/>
      </c>
      <c r="BG106" s="27" t="str">
        <f t="shared" si="42"/>
        <v/>
      </c>
      <c r="BH106" t="str">
        <f t="shared" si="43"/>
        <v/>
      </c>
      <c r="BL106" s="29" t="e">
        <f t="shared" si="44"/>
        <v>#N/A</v>
      </c>
      <c r="BM106" s="29" t="e">
        <f t="shared" si="45"/>
        <v>#N/A</v>
      </c>
    </row>
    <row r="107" spans="1:65" x14ac:dyDescent="0.35">
      <c r="A107">
        <f t="shared" si="28"/>
        <v>106</v>
      </c>
      <c r="B107" t="e" cm="1">
        <f t="array" ref="B107">INDEX(tblTrades[token_name],ROW()-1)</f>
        <v>#REF!</v>
      </c>
      <c r="C107" s="27" t="e" cm="1">
        <f t="array" ref="C107">INDEX(tblTrades[entry_date],ROW()-1)</f>
        <v>#REF!</v>
      </c>
      <c r="D107" s="2" t="e" cm="1">
        <f t="array" ref="D107">INDEX(tblTrades[entry_mc_actual],ROW()-1)</f>
        <v>#REF!</v>
      </c>
      <c r="E107" s="2" t="e" cm="1">
        <f t="array" ref="E107">INDEX(tblTrades[exit_mc_actual],ROW()-1)</f>
        <v>#REF!</v>
      </c>
      <c r="F107" s="3" t="e" cm="1">
        <f t="array" ref="F107">INDEX(tblTrades[time_in_trade_seconds],ROW()-1)</f>
        <v>#REF!</v>
      </c>
      <c r="G107" s="4" t="str" cm="1">
        <f t="array" ref="G107">IFERROR(INDEX(tblTrades[pnl_percentage],ROW()-1)*1,"")</f>
        <v/>
      </c>
      <c r="H107" s="5" t="str" cm="1">
        <f t="array" ref="H107">IFERROR(INDEX(tblTrades[pnl_sol],ROW()-1)*1,"")</f>
        <v/>
      </c>
      <c r="I107" t="str">
        <f t="shared" si="29"/>
        <v/>
      </c>
      <c r="J107" t="str">
        <f t="shared" si="30"/>
        <v/>
      </c>
      <c r="K107" t="str">
        <f t="shared" si="31"/>
        <v/>
      </c>
      <c r="L107" s="20" t="str" cm="1">
        <f t="array" ref="L107">IFERROR(INDEX(tblTrades[sol_invested],ROW()-1),"")</f>
        <v/>
      </c>
      <c r="M107" s="1">
        <f>COUNTIFS(tblAnalysis[Token],tblAnalysis[[#This Row],[Token]])</f>
        <v>0</v>
      </c>
      <c r="N107" s="1">
        <f>COUNTIFS($B$2:B107,tblAnalysis[[#This Row],[Token]])</f>
        <v>0</v>
      </c>
      <c r="O107" s="5">
        <f>IFERROR(SUM($H$2:H107),"")</f>
        <v>0.40399999999999997</v>
      </c>
      <c r="P107" s="6"/>
      <c r="Q107" s="27"/>
      <c r="R107" s="6" t="str">
        <f>IF(Q107="","",SUMIFS(tblAnalysis[P&amp;L SOL],tblAnalysis[Date],Q107))</f>
        <v/>
      </c>
      <c r="S107" s="10" t="str">
        <f>IF(Q107="","",SUMIFS(tblAnalysis[P&amp;L %],tblAnalysis[Date],Q107))</f>
        <v/>
      </c>
      <c r="T107" s="6" t="str">
        <f>IF(Q107="","",IFERROR(SUM($R$2:R107),""))</f>
        <v/>
      </c>
      <c r="U107" t="str">
        <f>IF(Q107="","",COUNTIFS(tblAnalysis[Date],Q107))</f>
        <v/>
      </c>
      <c r="W107" s="27" t="str">
        <f t="shared" si="32"/>
        <v/>
      </c>
      <c r="X107" s="6" t="str">
        <f t="shared" si="33"/>
        <v/>
      </c>
      <c r="Y107" s="6" t="str">
        <f>IF(Q107="","",MAX(X107,_xlfn.MAXIFS(tblAnalysis[Cum P&amp;L SOL],tblAnalysis[Date],Q107)))</f>
        <v/>
      </c>
      <c r="Z107" s="6" t="str">
        <f>IF(Q107="","",MIN(X107,_xlfn.MINIFS(tblAnalysis[Cum P&amp;L SOL],tblAnalysis[Date],Q107)))</f>
        <v/>
      </c>
      <c r="AA107" s="6" t="str">
        <f t="shared" si="34"/>
        <v/>
      </c>
      <c r="AB107"/>
      <c r="AC107" s="27" t="str">
        <f t="shared" si="35"/>
        <v/>
      </c>
      <c r="AD107" s="10" t="str">
        <f t="shared" si="36"/>
        <v/>
      </c>
      <c r="AE107" s="10" t="str">
        <f t="shared" si="37"/>
        <v/>
      </c>
      <c r="AF107" s="10" t="str">
        <f t="shared" si="38"/>
        <v/>
      </c>
      <c r="AG107"/>
      <c r="AH107" t="str">
        <f t="shared" si="39"/>
        <v/>
      </c>
      <c r="AI107" t="str">
        <f t="shared" si="40"/>
        <v/>
      </c>
      <c r="AK107" cm="1">
        <f t="array" ref="AK107">IFERROR(IF(INDEX($A:$A,ROW())="","",INDEX($A:$A,ROW())),"")</f>
        <v>106</v>
      </c>
      <c r="AL107" t="str" cm="1">
        <f t="array" ref="AL107">IFERROR(INDEX(tblTrades[sol_invested],ROW()-1),"")</f>
        <v/>
      </c>
      <c r="AM107" s="6" t="str" cm="1">
        <f t="array" ref="AM107">IFERROR(INDEX(tblAnalysis[P&amp;L SOL],ROW()-1),"")</f>
        <v/>
      </c>
      <c r="AN107" t="str" cm="1">
        <f t="array" ref="AN107">IFERROR(IF(INDEX(tblTrades[sol_invested],ROW()-1)&gt;0.5,INDEX(tblAnalysis[Token],ROW()-1)&amp;" ("&amp;TEXT(INDEX(tblTrades[sol_invested],ROW()-1),"0.0")&amp;" SOL)",""),"")</f>
        <v/>
      </c>
      <c r="AO107" s="7" t="e" cm="1">
        <f t="array" ref="AO107">IF(INDEX(tblTrades[sol_invested],ROW()-1)&gt;0.5,INDEX(tblAnalysis[Cum P&amp;L SOL],ROW()-1),"")</f>
        <v>#REF!</v>
      </c>
      <c r="AP107" s="12" t="str" cm="1">
        <f t="array" ref="AP107">IFERROR(INDEX(tblAnalysis[Entry MC ($)],ROW()-1),"")</f>
        <v/>
      </c>
      <c r="AQ107" s="10" t="str" cm="1">
        <f t="array" ref="AQ107">IFERROR(INDEX(tblAnalysis[P&amp;L %],ROW()-1),"")</f>
        <v/>
      </c>
      <c r="AR107" t="str" cm="1">
        <f t="array" ref="AR107">IFERROR(INDEX(tblAnalysis[Hold Time (s)],ROW()-1),"")</f>
        <v/>
      </c>
      <c r="AS107" s="6" t="str" cm="1">
        <f t="array" ref="AS107">IFERROR(INDEX(tblAnalysis[P&amp;L SOL],ROW()-1),"")</f>
        <v/>
      </c>
      <c r="AT107"/>
      <c r="AY107" s="10"/>
      <c r="AZ107" s="10"/>
      <c r="BA107" s="6"/>
      <c r="BB107"/>
      <c r="BF107" t="str">
        <f t="shared" si="41"/>
        <v/>
      </c>
      <c r="BG107" s="27" t="str">
        <f t="shared" si="42"/>
        <v/>
      </c>
      <c r="BH107" t="str">
        <f t="shared" si="43"/>
        <v/>
      </c>
      <c r="BL107" s="29" t="e">
        <f t="shared" si="44"/>
        <v>#N/A</v>
      </c>
      <c r="BM107" s="29" t="e">
        <f t="shared" si="45"/>
        <v>#N/A</v>
      </c>
    </row>
    <row r="108" spans="1:65" x14ac:dyDescent="0.35">
      <c r="A108">
        <f t="shared" si="28"/>
        <v>107</v>
      </c>
      <c r="B108" t="e" cm="1">
        <f t="array" ref="B108">INDEX(tblTrades[token_name],ROW()-1)</f>
        <v>#REF!</v>
      </c>
      <c r="C108" s="27" t="e" cm="1">
        <f t="array" ref="C108">INDEX(tblTrades[entry_date],ROW()-1)</f>
        <v>#REF!</v>
      </c>
      <c r="D108" s="2" t="e" cm="1">
        <f t="array" ref="D108">INDEX(tblTrades[entry_mc_actual],ROW()-1)</f>
        <v>#REF!</v>
      </c>
      <c r="E108" s="2" t="e" cm="1">
        <f t="array" ref="E108">INDEX(tblTrades[exit_mc_actual],ROW()-1)</f>
        <v>#REF!</v>
      </c>
      <c r="F108" s="3" t="e" cm="1">
        <f t="array" ref="F108">INDEX(tblTrades[time_in_trade_seconds],ROW()-1)</f>
        <v>#REF!</v>
      </c>
      <c r="G108" s="4" t="str" cm="1">
        <f t="array" ref="G108">IFERROR(INDEX(tblTrades[pnl_percentage],ROW()-1)*1,"")</f>
        <v/>
      </c>
      <c r="H108" s="5" t="str" cm="1">
        <f t="array" ref="H108">IFERROR(INDEX(tblTrades[pnl_sol],ROW()-1)*1,"")</f>
        <v/>
      </c>
      <c r="I108" t="str">
        <f t="shared" si="29"/>
        <v/>
      </c>
      <c r="J108" t="str">
        <f t="shared" si="30"/>
        <v/>
      </c>
      <c r="K108" t="str">
        <f t="shared" si="31"/>
        <v/>
      </c>
      <c r="L108" s="20" t="str" cm="1">
        <f t="array" ref="L108">IFERROR(INDEX(tblTrades[sol_invested],ROW()-1),"")</f>
        <v/>
      </c>
      <c r="M108" s="1">
        <f>COUNTIFS(tblAnalysis[Token],tblAnalysis[[#This Row],[Token]])</f>
        <v>0</v>
      </c>
      <c r="N108" s="1">
        <f>COUNTIFS($B$2:B108,tblAnalysis[[#This Row],[Token]])</f>
        <v>0</v>
      </c>
      <c r="O108" s="5">
        <f>IFERROR(SUM($H$2:H108),"")</f>
        <v>0.40399999999999997</v>
      </c>
      <c r="P108" s="6"/>
      <c r="Q108" s="27"/>
      <c r="R108" s="6" t="str">
        <f>IF(Q108="","",SUMIFS(tblAnalysis[P&amp;L SOL],tblAnalysis[Date],Q108))</f>
        <v/>
      </c>
      <c r="S108" s="10" t="str">
        <f>IF(Q108="","",SUMIFS(tblAnalysis[P&amp;L %],tblAnalysis[Date],Q108))</f>
        <v/>
      </c>
      <c r="T108" s="6" t="str">
        <f>IF(Q108="","",IFERROR(SUM($R$2:R108),""))</f>
        <v/>
      </c>
      <c r="U108" t="str">
        <f>IF(Q108="","",COUNTIFS(tblAnalysis[Date],Q108))</f>
        <v/>
      </c>
      <c r="W108" s="27" t="str">
        <f t="shared" si="32"/>
        <v/>
      </c>
      <c r="X108" s="6" t="str">
        <f t="shared" si="33"/>
        <v/>
      </c>
      <c r="Y108" s="6" t="str">
        <f>IF(Q108="","",MAX(X108,_xlfn.MAXIFS(tblAnalysis[Cum P&amp;L SOL],tblAnalysis[Date],Q108)))</f>
        <v/>
      </c>
      <c r="Z108" s="6" t="str">
        <f>IF(Q108="","",MIN(X108,_xlfn.MINIFS(tblAnalysis[Cum P&amp;L SOL],tblAnalysis[Date],Q108)))</f>
        <v/>
      </c>
      <c r="AA108" s="6" t="str">
        <f t="shared" si="34"/>
        <v/>
      </c>
      <c r="AB108"/>
      <c r="AC108" s="27" t="str">
        <f t="shared" si="35"/>
        <v/>
      </c>
      <c r="AD108" s="10" t="str">
        <f t="shared" si="36"/>
        <v/>
      </c>
      <c r="AE108" s="10" t="str">
        <f t="shared" si="37"/>
        <v/>
      </c>
      <c r="AF108" s="10" t="str">
        <f t="shared" si="38"/>
        <v/>
      </c>
      <c r="AG108"/>
      <c r="AH108" t="str">
        <f t="shared" si="39"/>
        <v/>
      </c>
      <c r="AI108" t="str">
        <f t="shared" si="40"/>
        <v/>
      </c>
      <c r="AK108" cm="1">
        <f t="array" ref="AK108">IFERROR(IF(INDEX($A:$A,ROW())="","",INDEX($A:$A,ROW())),"")</f>
        <v>107</v>
      </c>
      <c r="AL108" t="str" cm="1">
        <f t="array" ref="AL108">IFERROR(INDEX(tblTrades[sol_invested],ROW()-1),"")</f>
        <v/>
      </c>
      <c r="AM108" s="6" t="str" cm="1">
        <f t="array" ref="AM108">IFERROR(INDEX(tblAnalysis[P&amp;L SOL],ROW()-1),"")</f>
        <v/>
      </c>
      <c r="AN108" t="str" cm="1">
        <f t="array" ref="AN108">IFERROR(IF(INDEX(tblTrades[sol_invested],ROW()-1)&gt;0.5,INDEX(tblAnalysis[Token],ROW()-1)&amp;" ("&amp;TEXT(INDEX(tblTrades[sol_invested],ROW()-1),"0.0")&amp;" SOL)",""),"")</f>
        <v/>
      </c>
      <c r="AO108" s="7" t="e" cm="1">
        <f t="array" ref="AO108">IF(INDEX(tblTrades[sol_invested],ROW()-1)&gt;0.5,INDEX(tblAnalysis[Cum P&amp;L SOL],ROW()-1),"")</f>
        <v>#REF!</v>
      </c>
      <c r="AP108" s="12" t="str" cm="1">
        <f t="array" ref="AP108">IFERROR(INDEX(tblAnalysis[Entry MC ($)],ROW()-1),"")</f>
        <v/>
      </c>
      <c r="AQ108" s="10" t="str" cm="1">
        <f t="array" ref="AQ108">IFERROR(INDEX(tblAnalysis[P&amp;L %],ROW()-1),"")</f>
        <v/>
      </c>
      <c r="AR108" t="str" cm="1">
        <f t="array" ref="AR108">IFERROR(INDEX(tblAnalysis[Hold Time (s)],ROW()-1),"")</f>
        <v/>
      </c>
      <c r="AS108" s="6" t="str" cm="1">
        <f t="array" ref="AS108">IFERROR(INDEX(tblAnalysis[P&amp;L SOL],ROW()-1),"")</f>
        <v/>
      </c>
      <c r="AT108"/>
      <c r="AY108" s="10"/>
      <c r="AZ108" s="10"/>
      <c r="BA108" s="6"/>
      <c r="BB108"/>
      <c r="BF108" t="str">
        <f t="shared" si="41"/>
        <v/>
      </c>
      <c r="BG108" s="27" t="str">
        <f t="shared" si="42"/>
        <v/>
      </c>
      <c r="BH108" t="str">
        <f t="shared" si="43"/>
        <v/>
      </c>
      <c r="BL108" s="29" t="e">
        <f t="shared" si="44"/>
        <v>#N/A</v>
      </c>
      <c r="BM108" s="29" t="e">
        <f t="shared" si="45"/>
        <v>#N/A</v>
      </c>
    </row>
    <row r="109" spans="1:65" x14ac:dyDescent="0.35">
      <c r="A109">
        <f t="shared" si="28"/>
        <v>108</v>
      </c>
      <c r="B109" t="e" cm="1">
        <f t="array" ref="B109">INDEX(tblTrades[token_name],ROW()-1)</f>
        <v>#REF!</v>
      </c>
      <c r="C109" s="27" t="e" cm="1">
        <f t="array" ref="C109">INDEX(tblTrades[entry_date],ROW()-1)</f>
        <v>#REF!</v>
      </c>
      <c r="D109" s="2" t="e" cm="1">
        <f t="array" ref="D109">INDEX(tblTrades[entry_mc_actual],ROW()-1)</f>
        <v>#REF!</v>
      </c>
      <c r="E109" s="2" t="e" cm="1">
        <f t="array" ref="E109">INDEX(tblTrades[exit_mc_actual],ROW()-1)</f>
        <v>#REF!</v>
      </c>
      <c r="F109" s="3" t="e" cm="1">
        <f t="array" ref="F109">INDEX(tblTrades[time_in_trade_seconds],ROW()-1)</f>
        <v>#REF!</v>
      </c>
      <c r="G109" s="4" t="str" cm="1">
        <f t="array" ref="G109">IFERROR(INDEX(tblTrades[pnl_percentage],ROW()-1)*1,"")</f>
        <v/>
      </c>
      <c r="H109" s="5" t="str" cm="1">
        <f t="array" ref="H109">IFERROR(INDEX(tblTrades[pnl_sol],ROW()-1)*1,"")</f>
        <v/>
      </c>
      <c r="I109" t="str">
        <f t="shared" si="29"/>
        <v/>
      </c>
      <c r="J109" t="str">
        <f t="shared" si="30"/>
        <v/>
      </c>
      <c r="K109" t="str">
        <f t="shared" si="31"/>
        <v/>
      </c>
      <c r="L109" s="20" t="str" cm="1">
        <f t="array" ref="L109">IFERROR(INDEX(tblTrades[sol_invested],ROW()-1),"")</f>
        <v/>
      </c>
      <c r="M109" s="1">
        <f>COUNTIFS(tblAnalysis[Token],tblAnalysis[[#This Row],[Token]])</f>
        <v>0</v>
      </c>
      <c r="N109" s="1">
        <f>COUNTIFS($B$2:B109,tblAnalysis[[#This Row],[Token]])</f>
        <v>0</v>
      </c>
      <c r="O109" s="5">
        <f>IFERROR(SUM($H$2:H109),"")</f>
        <v>0.40399999999999997</v>
      </c>
      <c r="P109" s="6"/>
      <c r="Q109" s="27"/>
      <c r="R109" s="6" t="str">
        <f>IF(Q109="","",SUMIFS(tblAnalysis[P&amp;L SOL],tblAnalysis[Date],Q109))</f>
        <v/>
      </c>
      <c r="S109" s="10" t="str">
        <f>IF(Q109="","",SUMIFS(tblAnalysis[P&amp;L %],tblAnalysis[Date],Q109))</f>
        <v/>
      </c>
      <c r="T109" s="6" t="str">
        <f>IF(Q109="","",IFERROR(SUM($R$2:R109),""))</f>
        <v/>
      </c>
      <c r="U109" t="str">
        <f>IF(Q109="","",COUNTIFS(tblAnalysis[Date],Q109))</f>
        <v/>
      </c>
      <c r="W109" s="27" t="str">
        <f t="shared" si="32"/>
        <v/>
      </c>
      <c r="X109" s="6" t="str">
        <f t="shared" si="33"/>
        <v/>
      </c>
      <c r="Y109" s="6" t="str">
        <f>IF(Q109="","",MAX(X109,_xlfn.MAXIFS(tblAnalysis[Cum P&amp;L SOL],tblAnalysis[Date],Q109)))</f>
        <v/>
      </c>
      <c r="Z109" s="6" t="str">
        <f>IF(Q109="","",MIN(X109,_xlfn.MINIFS(tblAnalysis[Cum P&amp;L SOL],tblAnalysis[Date],Q109)))</f>
        <v/>
      </c>
      <c r="AA109" s="6" t="str">
        <f t="shared" si="34"/>
        <v/>
      </c>
      <c r="AB109"/>
      <c r="AC109" s="27" t="str">
        <f t="shared" si="35"/>
        <v/>
      </c>
      <c r="AD109" s="10" t="str">
        <f t="shared" si="36"/>
        <v/>
      </c>
      <c r="AE109" s="10" t="str">
        <f t="shared" si="37"/>
        <v/>
      </c>
      <c r="AF109" s="10" t="str">
        <f t="shared" si="38"/>
        <v/>
      </c>
      <c r="AG109"/>
      <c r="AH109" t="str">
        <f t="shared" si="39"/>
        <v/>
      </c>
      <c r="AI109" t="str">
        <f t="shared" si="40"/>
        <v/>
      </c>
      <c r="AK109" cm="1">
        <f t="array" ref="AK109">IFERROR(IF(INDEX($A:$A,ROW())="","",INDEX($A:$A,ROW())),"")</f>
        <v>108</v>
      </c>
      <c r="AL109" t="str" cm="1">
        <f t="array" ref="AL109">IFERROR(INDEX(tblTrades[sol_invested],ROW()-1),"")</f>
        <v/>
      </c>
      <c r="AM109" s="6" t="str" cm="1">
        <f t="array" ref="AM109">IFERROR(INDEX(tblAnalysis[P&amp;L SOL],ROW()-1),"")</f>
        <v/>
      </c>
      <c r="AN109" t="str" cm="1">
        <f t="array" ref="AN109">IFERROR(IF(INDEX(tblTrades[sol_invested],ROW()-1)&gt;0.5,INDEX(tblAnalysis[Token],ROW()-1)&amp;" ("&amp;TEXT(INDEX(tblTrades[sol_invested],ROW()-1),"0.0")&amp;" SOL)",""),"")</f>
        <v/>
      </c>
      <c r="AO109" s="7" t="e" cm="1">
        <f t="array" ref="AO109">IF(INDEX(tblTrades[sol_invested],ROW()-1)&gt;0.5,INDEX(tblAnalysis[Cum P&amp;L SOL],ROW()-1),"")</f>
        <v>#REF!</v>
      </c>
      <c r="AP109" s="12" t="str" cm="1">
        <f t="array" ref="AP109">IFERROR(INDEX(tblAnalysis[Entry MC ($)],ROW()-1),"")</f>
        <v/>
      </c>
      <c r="AQ109" s="10" t="str" cm="1">
        <f t="array" ref="AQ109">IFERROR(INDEX(tblAnalysis[P&amp;L %],ROW()-1),"")</f>
        <v/>
      </c>
      <c r="AR109" t="str" cm="1">
        <f t="array" ref="AR109">IFERROR(INDEX(tblAnalysis[Hold Time (s)],ROW()-1),"")</f>
        <v/>
      </c>
      <c r="AS109" s="6" t="str" cm="1">
        <f t="array" ref="AS109">IFERROR(INDEX(tblAnalysis[P&amp;L SOL],ROW()-1),"")</f>
        <v/>
      </c>
      <c r="AT109"/>
      <c r="AY109" s="10"/>
      <c r="AZ109" s="10"/>
      <c r="BA109" s="6"/>
      <c r="BB109"/>
      <c r="BF109" t="str">
        <f t="shared" si="41"/>
        <v/>
      </c>
      <c r="BG109" s="27" t="str">
        <f t="shared" si="42"/>
        <v/>
      </c>
      <c r="BH109" t="str">
        <f t="shared" si="43"/>
        <v/>
      </c>
      <c r="BL109" s="29" t="e">
        <f t="shared" si="44"/>
        <v>#N/A</v>
      </c>
      <c r="BM109" s="29" t="e">
        <f t="shared" si="45"/>
        <v>#N/A</v>
      </c>
    </row>
    <row r="110" spans="1:65" x14ac:dyDescent="0.35">
      <c r="A110">
        <f t="shared" si="28"/>
        <v>109</v>
      </c>
      <c r="B110" t="e" cm="1">
        <f t="array" ref="B110">INDEX(tblTrades[token_name],ROW()-1)</f>
        <v>#REF!</v>
      </c>
      <c r="C110" s="27" t="e" cm="1">
        <f t="array" ref="C110">INDEX(tblTrades[entry_date],ROW()-1)</f>
        <v>#REF!</v>
      </c>
      <c r="D110" s="2" t="e" cm="1">
        <f t="array" ref="D110">INDEX(tblTrades[entry_mc_actual],ROW()-1)</f>
        <v>#REF!</v>
      </c>
      <c r="E110" s="2" t="e" cm="1">
        <f t="array" ref="E110">INDEX(tblTrades[exit_mc_actual],ROW()-1)</f>
        <v>#REF!</v>
      </c>
      <c r="F110" s="3" t="e" cm="1">
        <f t="array" ref="F110">INDEX(tblTrades[time_in_trade_seconds],ROW()-1)</f>
        <v>#REF!</v>
      </c>
      <c r="G110" s="4" t="str" cm="1">
        <f t="array" ref="G110">IFERROR(INDEX(tblTrades[pnl_percentage],ROW()-1)*1,"")</f>
        <v/>
      </c>
      <c r="H110" s="5" t="str" cm="1">
        <f t="array" ref="H110">IFERROR(INDEX(tblTrades[pnl_sol],ROW()-1)*1,"")</f>
        <v/>
      </c>
      <c r="I110" t="str">
        <f t="shared" si="29"/>
        <v/>
      </c>
      <c r="J110" t="str">
        <f t="shared" si="30"/>
        <v/>
      </c>
      <c r="K110" t="str">
        <f t="shared" si="31"/>
        <v/>
      </c>
      <c r="L110" s="20" t="str" cm="1">
        <f t="array" ref="L110">IFERROR(INDEX(tblTrades[sol_invested],ROW()-1),"")</f>
        <v/>
      </c>
      <c r="M110" s="1">
        <f>COUNTIFS(tblAnalysis[Token],tblAnalysis[[#This Row],[Token]])</f>
        <v>0</v>
      </c>
      <c r="N110" s="1">
        <f>COUNTIFS($B$2:B110,tblAnalysis[[#This Row],[Token]])</f>
        <v>0</v>
      </c>
      <c r="O110" s="5">
        <f>IFERROR(SUM($H$2:H110),"")</f>
        <v>0.40399999999999997</v>
      </c>
      <c r="P110" s="6"/>
      <c r="Q110" s="27"/>
      <c r="R110" s="6" t="str">
        <f>IF(Q110="","",SUMIFS(tblAnalysis[P&amp;L SOL],tblAnalysis[Date],Q110))</f>
        <v/>
      </c>
      <c r="S110" s="10" t="str">
        <f>IF(Q110="","",SUMIFS(tblAnalysis[P&amp;L %],tblAnalysis[Date],Q110))</f>
        <v/>
      </c>
      <c r="T110" s="6" t="str">
        <f>IF(Q110="","",IFERROR(SUM($R$2:R110),""))</f>
        <v/>
      </c>
      <c r="U110" t="str">
        <f>IF(Q110="","",COUNTIFS(tblAnalysis[Date],Q110))</f>
        <v/>
      </c>
      <c r="W110" s="27" t="str">
        <f t="shared" si="32"/>
        <v/>
      </c>
      <c r="X110" s="6" t="str">
        <f t="shared" si="33"/>
        <v/>
      </c>
      <c r="Y110" s="6" t="str">
        <f>IF(Q110="","",MAX(X110,_xlfn.MAXIFS(tblAnalysis[Cum P&amp;L SOL],tblAnalysis[Date],Q110)))</f>
        <v/>
      </c>
      <c r="Z110" s="6" t="str">
        <f>IF(Q110="","",MIN(X110,_xlfn.MINIFS(tblAnalysis[Cum P&amp;L SOL],tblAnalysis[Date],Q110)))</f>
        <v/>
      </c>
      <c r="AA110" s="6" t="str">
        <f t="shared" si="34"/>
        <v/>
      </c>
      <c r="AB110"/>
      <c r="AC110" s="27" t="str">
        <f t="shared" si="35"/>
        <v/>
      </c>
      <c r="AD110" s="10" t="str">
        <f t="shared" si="36"/>
        <v/>
      </c>
      <c r="AE110" s="10" t="str">
        <f t="shared" si="37"/>
        <v/>
      </c>
      <c r="AF110" s="10" t="str">
        <f t="shared" si="38"/>
        <v/>
      </c>
      <c r="AG110"/>
      <c r="AH110" t="str">
        <f t="shared" si="39"/>
        <v/>
      </c>
      <c r="AI110" t="str">
        <f t="shared" si="40"/>
        <v/>
      </c>
      <c r="AK110" cm="1">
        <f t="array" ref="AK110">IFERROR(IF(INDEX($A:$A,ROW())="","",INDEX($A:$A,ROW())),"")</f>
        <v>109</v>
      </c>
      <c r="AL110" t="str" cm="1">
        <f t="array" ref="AL110">IFERROR(INDEX(tblTrades[sol_invested],ROW()-1),"")</f>
        <v/>
      </c>
      <c r="AM110" s="6" t="str" cm="1">
        <f t="array" ref="AM110">IFERROR(INDEX(tblAnalysis[P&amp;L SOL],ROW()-1),"")</f>
        <v/>
      </c>
      <c r="AN110" t="str" cm="1">
        <f t="array" ref="AN110">IFERROR(IF(INDEX(tblTrades[sol_invested],ROW()-1)&gt;0.5,INDEX(tblAnalysis[Token],ROW()-1)&amp;" ("&amp;TEXT(INDEX(tblTrades[sol_invested],ROW()-1),"0.0")&amp;" SOL)",""),"")</f>
        <v/>
      </c>
      <c r="AO110" s="7" t="e" cm="1">
        <f t="array" ref="AO110">IF(INDEX(tblTrades[sol_invested],ROW()-1)&gt;0.5,INDEX(tblAnalysis[Cum P&amp;L SOL],ROW()-1),"")</f>
        <v>#REF!</v>
      </c>
      <c r="AP110" s="12" t="str" cm="1">
        <f t="array" ref="AP110">IFERROR(INDEX(tblAnalysis[Entry MC ($)],ROW()-1),"")</f>
        <v/>
      </c>
      <c r="AQ110" s="10" t="str" cm="1">
        <f t="array" ref="AQ110">IFERROR(INDEX(tblAnalysis[P&amp;L %],ROW()-1),"")</f>
        <v/>
      </c>
      <c r="AR110" t="str" cm="1">
        <f t="array" ref="AR110">IFERROR(INDEX(tblAnalysis[Hold Time (s)],ROW()-1),"")</f>
        <v/>
      </c>
      <c r="AS110" s="6" t="str" cm="1">
        <f t="array" ref="AS110">IFERROR(INDEX(tblAnalysis[P&amp;L SOL],ROW()-1),"")</f>
        <v/>
      </c>
      <c r="AT110"/>
      <c r="AY110" s="10"/>
      <c r="AZ110" s="10"/>
      <c r="BA110" s="6"/>
      <c r="BB110"/>
      <c r="BF110" t="str">
        <f t="shared" si="41"/>
        <v/>
      </c>
      <c r="BG110" s="27" t="str">
        <f t="shared" si="42"/>
        <v/>
      </c>
      <c r="BH110" t="str">
        <f t="shared" si="43"/>
        <v/>
      </c>
      <c r="BL110" s="29" t="e">
        <f t="shared" si="44"/>
        <v>#N/A</v>
      </c>
      <c r="BM110" s="29" t="e">
        <f t="shared" si="45"/>
        <v>#N/A</v>
      </c>
    </row>
    <row r="111" spans="1:65" x14ac:dyDescent="0.35">
      <c r="A111">
        <f t="shared" si="28"/>
        <v>110</v>
      </c>
      <c r="B111" t="e" cm="1">
        <f t="array" ref="B111">INDEX(tblTrades[token_name],ROW()-1)</f>
        <v>#REF!</v>
      </c>
      <c r="C111" s="27" t="e" cm="1">
        <f t="array" ref="C111">INDEX(tblTrades[entry_date],ROW()-1)</f>
        <v>#REF!</v>
      </c>
      <c r="D111" s="2" t="e" cm="1">
        <f t="array" ref="D111">INDEX(tblTrades[entry_mc_actual],ROW()-1)</f>
        <v>#REF!</v>
      </c>
      <c r="E111" s="2" t="e" cm="1">
        <f t="array" ref="E111">INDEX(tblTrades[exit_mc_actual],ROW()-1)</f>
        <v>#REF!</v>
      </c>
      <c r="F111" s="3" t="e" cm="1">
        <f t="array" ref="F111">INDEX(tblTrades[time_in_trade_seconds],ROW()-1)</f>
        <v>#REF!</v>
      </c>
      <c r="G111" s="4" t="str" cm="1">
        <f t="array" ref="G111">IFERROR(INDEX(tblTrades[pnl_percentage],ROW()-1)*1,"")</f>
        <v/>
      </c>
      <c r="H111" s="5" t="str" cm="1">
        <f t="array" ref="H111">IFERROR(INDEX(tblTrades[pnl_sol],ROW()-1)*1,"")</f>
        <v/>
      </c>
      <c r="I111" t="str">
        <f t="shared" si="29"/>
        <v/>
      </c>
      <c r="J111" t="str">
        <f t="shared" si="30"/>
        <v/>
      </c>
      <c r="K111" t="str">
        <f t="shared" si="31"/>
        <v/>
      </c>
      <c r="L111" s="20" t="str" cm="1">
        <f t="array" ref="L111">IFERROR(INDEX(tblTrades[sol_invested],ROW()-1),"")</f>
        <v/>
      </c>
      <c r="M111" s="1">
        <f>COUNTIFS(tblAnalysis[Token],tblAnalysis[[#This Row],[Token]])</f>
        <v>0</v>
      </c>
      <c r="N111" s="1">
        <f>COUNTIFS($B$2:B111,tblAnalysis[[#This Row],[Token]])</f>
        <v>0</v>
      </c>
      <c r="O111" s="5">
        <f>IFERROR(SUM($H$2:H111),"")</f>
        <v>0.40399999999999997</v>
      </c>
      <c r="P111" s="6"/>
      <c r="Q111" s="27"/>
      <c r="R111" s="6" t="str">
        <f>IF(Q111="","",SUMIFS(tblAnalysis[P&amp;L SOL],tblAnalysis[Date],Q111))</f>
        <v/>
      </c>
      <c r="S111" s="10" t="str">
        <f>IF(Q111="","",SUMIFS(tblAnalysis[P&amp;L %],tblAnalysis[Date],Q111))</f>
        <v/>
      </c>
      <c r="T111" s="6" t="str">
        <f>IF(Q111="","",IFERROR(SUM($R$2:R111),""))</f>
        <v/>
      </c>
      <c r="U111" t="str">
        <f>IF(Q111="","",COUNTIFS(tblAnalysis[Date],Q111))</f>
        <v/>
      </c>
      <c r="W111" s="27" t="str">
        <f t="shared" si="32"/>
        <v/>
      </c>
      <c r="X111" s="6" t="str">
        <f t="shared" si="33"/>
        <v/>
      </c>
      <c r="Y111" s="6" t="str">
        <f>IF(Q111="","",MAX(X111,_xlfn.MAXIFS(tblAnalysis[Cum P&amp;L SOL],tblAnalysis[Date],Q111)))</f>
        <v/>
      </c>
      <c r="Z111" s="6" t="str">
        <f>IF(Q111="","",MIN(X111,_xlfn.MINIFS(tblAnalysis[Cum P&amp;L SOL],tblAnalysis[Date],Q111)))</f>
        <v/>
      </c>
      <c r="AA111" s="6" t="str">
        <f t="shared" si="34"/>
        <v/>
      </c>
      <c r="AB111"/>
      <c r="AC111" s="27" t="str">
        <f t="shared" si="35"/>
        <v/>
      </c>
      <c r="AD111" s="10" t="str">
        <f t="shared" si="36"/>
        <v/>
      </c>
      <c r="AE111" s="10" t="str">
        <f t="shared" si="37"/>
        <v/>
      </c>
      <c r="AF111" s="10" t="str">
        <f t="shared" si="38"/>
        <v/>
      </c>
      <c r="AG111"/>
      <c r="AH111" t="str">
        <f t="shared" si="39"/>
        <v/>
      </c>
      <c r="AI111" t="str">
        <f t="shared" si="40"/>
        <v/>
      </c>
      <c r="AK111" cm="1">
        <f t="array" ref="AK111">IFERROR(IF(INDEX($A:$A,ROW())="","",INDEX($A:$A,ROW())),"")</f>
        <v>110</v>
      </c>
      <c r="AL111" t="str" cm="1">
        <f t="array" ref="AL111">IFERROR(INDEX(tblTrades[sol_invested],ROW()-1),"")</f>
        <v/>
      </c>
      <c r="AM111" s="6" t="str" cm="1">
        <f t="array" ref="AM111">IFERROR(INDEX(tblAnalysis[P&amp;L SOL],ROW()-1),"")</f>
        <v/>
      </c>
      <c r="AN111" t="str" cm="1">
        <f t="array" ref="AN111">IFERROR(IF(INDEX(tblTrades[sol_invested],ROW()-1)&gt;0.5,INDEX(tblAnalysis[Token],ROW()-1)&amp;" ("&amp;TEXT(INDEX(tblTrades[sol_invested],ROW()-1),"0.0")&amp;" SOL)",""),"")</f>
        <v/>
      </c>
      <c r="AO111" s="7" t="e" cm="1">
        <f t="array" ref="AO111">IF(INDEX(tblTrades[sol_invested],ROW()-1)&gt;0.5,INDEX(tblAnalysis[Cum P&amp;L SOL],ROW()-1),"")</f>
        <v>#REF!</v>
      </c>
      <c r="AP111" s="12" t="str" cm="1">
        <f t="array" ref="AP111">IFERROR(INDEX(tblAnalysis[Entry MC ($)],ROW()-1),"")</f>
        <v/>
      </c>
      <c r="AQ111" s="10" t="str" cm="1">
        <f t="array" ref="AQ111">IFERROR(INDEX(tblAnalysis[P&amp;L %],ROW()-1),"")</f>
        <v/>
      </c>
      <c r="AR111" t="str" cm="1">
        <f t="array" ref="AR111">IFERROR(INDEX(tblAnalysis[Hold Time (s)],ROW()-1),"")</f>
        <v/>
      </c>
      <c r="AS111" s="6" t="str" cm="1">
        <f t="array" ref="AS111">IFERROR(INDEX(tblAnalysis[P&amp;L SOL],ROW()-1),"")</f>
        <v/>
      </c>
      <c r="AT111"/>
      <c r="AY111" s="10"/>
      <c r="AZ111" s="10"/>
      <c r="BA111" s="6"/>
      <c r="BB111"/>
      <c r="BF111" t="str">
        <f t="shared" si="41"/>
        <v/>
      </c>
      <c r="BG111" s="27" t="str">
        <f t="shared" si="42"/>
        <v/>
      </c>
      <c r="BH111" t="str">
        <f t="shared" si="43"/>
        <v/>
      </c>
      <c r="BL111" s="29" t="e">
        <f t="shared" si="44"/>
        <v>#N/A</v>
      </c>
      <c r="BM111" s="29" t="e">
        <f t="shared" si="45"/>
        <v>#N/A</v>
      </c>
    </row>
    <row r="112" spans="1:65" x14ac:dyDescent="0.35">
      <c r="A112">
        <f t="shared" si="28"/>
        <v>111</v>
      </c>
      <c r="B112" t="e" cm="1">
        <f t="array" ref="B112">INDEX(tblTrades[token_name],ROW()-1)</f>
        <v>#REF!</v>
      </c>
      <c r="C112" s="27" t="e" cm="1">
        <f t="array" ref="C112">INDEX(tblTrades[entry_date],ROW()-1)</f>
        <v>#REF!</v>
      </c>
      <c r="D112" s="2" t="e" cm="1">
        <f t="array" ref="D112">INDEX(tblTrades[entry_mc_actual],ROW()-1)</f>
        <v>#REF!</v>
      </c>
      <c r="E112" s="2" t="e" cm="1">
        <f t="array" ref="E112">INDEX(tblTrades[exit_mc_actual],ROW()-1)</f>
        <v>#REF!</v>
      </c>
      <c r="F112" s="3" t="e" cm="1">
        <f t="array" ref="F112">INDEX(tblTrades[time_in_trade_seconds],ROW()-1)</f>
        <v>#REF!</v>
      </c>
      <c r="G112" s="4" t="str" cm="1">
        <f t="array" ref="G112">IFERROR(INDEX(tblTrades[pnl_percentage],ROW()-1)*1,"")</f>
        <v/>
      </c>
      <c r="H112" s="5" t="str" cm="1">
        <f t="array" ref="H112">IFERROR(INDEX(tblTrades[pnl_sol],ROW()-1)*1,"")</f>
        <v/>
      </c>
      <c r="I112" t="str">
        <f t="shared" si="29"/>
        <v/>
      </c>
      <c r="J112" t="str">
        <f t="shared" si="30"/>
        <v/>
      </c>
      <c r="K112" t="str">
        <f t="shared" si="31"/>
        <v/>
      </c>
      <c r="L112" s="20" t="str" cm="1">
        <f t="array" ref="L112">IFERROR(INDEX(tblTrades[sol_invested],ROW()-1),"")</f>
        <v/>
      </c>
      <c r="M112" s="1">
        <f>COUNTIFS(tblAnalysis[Token],tblAnalysis[[#This Row],[Token]])</f>
        <v>0</v>
      </c>
      <c r="N112" s="1">
        <f>COUNTIFS($B$2:B112,tblAnalysis[[#This Row],[Token]])</f>
        <v>0</v>
      </c>
      <c r="O112" s="5">
        <f>IFERROR(SUM($H$2:H112),"")</f>
        <v>0.40399999999999997</v>
      </c>
      <c r="P112" s="6"/>
      <c r="Q112" s="27"/>
      <c r="R112" s="6" t="str">
        <f>IF(Q112="","",SUMIFS(tblAnalysis[P&amp;L SOL],tblAnalysis[Date],Q112))</f>
        <v/>
      </c>
      <c r="S112" s="10" t="str">
        <f>IF(Q112="","",SUMIFS(tblAnalysis[P&amp;L %],tblAnalysis[Date],Q112))</f>
        <v/>
      </c>
      <c r="T112" s="6" t="str">
        <f>IF(Q112="","",IFERROR(SUM($R$2:R112),""))</f>
        <v/>
      </c>
      <c r="U112" t="str">
        <f>IF(Q112="","",COUNTIFS(tblAnalysis[Date],Q112))</f>
        <v/>
      </c>
      <c r="W112" s="27" t="str">
        <f t="shared" si="32"/>
        <v/>
      </c>
      <c r="X112" s="6" t="str">
        <f t="shared" si="33"/>
        <v/>
      </c>
      <c r="Y112" s="6" t="str">
        <f>IF(Q112="","",MAX(X112,_xlfn.MAXIFS(tblAnalysis[Cum P&amp;L SOL],tblAnalysis[Date],Q112)))</f>
        <v/>
      </c>
      <c r="Z112" s="6" t="str">
        <f>IF(Q112="","",MIN(X112,_xlfn.MINIFS(tblAnalysis[Cum P&amp;L SOL],tblAnalysis[Date],Q112)))</f>
        <v/>
      </c>
      <c r="AA112" s="6" t="str">
        <f t="shared" si="34"/>
        <v/>
      </c>
      <c r="AB112"/>
      <c r="AC112" s="27" t="str">
        <f t="shared" si="35"/>
        <v/>
      </c>
      <c r="AD112" s="10" t="str">
        <f t="shared" si="36"/>
        <v/>
      </c>
      <c r="AE112" s="10" t="str">
        <f t="shared" si="37"/>
        <v/>
      </c>
      <c r="AF112" s="10" t="str">
        <f t="shared" si="38"/>
        <v/>
      </c>
      <c r="AG112"/>
      <c r="AH112" t="str">
        <f t="shared" si="39"/>
        <v/>
      </c>
      <c r="AI112" t="str">
        <f t="shared" si="40"/>
        <v/>
      </c>
      <c r="AK112" cm="1">
        <f t="array" ref="AK112">IFERROR(IF(INDEX($A:$A,ROW())="","",INDEX($A:$A,ROW())),"")</f>
        <v>111</v>
      </c>
      <c r="AL112" t="str" cm="1">
        <f t="array" ref="AL112">IFERROR(INDEX(tblTrades[sol_invested],ROW()-1),"")</f>
        <v/>
      </c>
      <c r="AM112" s="6" t="str" cm="1">
        <f t="array" ref="AM112">IFERROR(INDEX(tblAnalysis[P&amp;L SOL],ROW()-1),"")</f>
        <v/>
      </c>
      <c r="AN112" t="str" cm="1">
        <f t="array" ref="AN112">IFERROR(IF(INDEX(tblTrades[sol_invested],ROW()-1)&gt;0.5,INDEX(tblAnalysis[Token],ROW()-1)&amp;" ("&amp;TEXT(INDEX(tblTrades[sol_invested],ROW()-1),"0.0")&amp;" SOL)",""),"")</f>
        <v/>
      </c>
      <c r="AO112" s="7" t="e" cm="1">
        <f t="array" ref="AO112">IF(INDEX(tblTrades[sol_invested],ROW()-1)&gt;0.5,INDEX(tblAnalysis[Cum P&amp;L SOL],ROW()-1),"")</f>
        <v>#REF!</v>
      </c>
      <c r="AP112" s="12" t="str" cm="1">
        <f t="array" ref="AP112">IFERROR(INDEX(tblAnalysis[Entry MC ($)],ROW()-1),"")</f>
        <v/>
      </c>
      <c r="AQ112" s="10" t="str" cm="1">
        <f t="array" ref="AQ112">IFERROR(INDEX(tblAnalysis[P&amp;L %],ROW()-1),"")</f>
        <v/>
      </c>
      <c r="AR112" t="str" cm="1">
        <f t="array" ref="AR112">IFERROR(INDEX(tblAnalysis[Hold Time (s)],ROW()-1),"")</f>
        <v/>
      </c>
      <c r="AS112" s="6" t="str" cm="1">
        <f t="array" ref="AS112">IFERROR(INDEX(tblAnalysis[P&amp;L SOL],ROW()-1),"")</f>
        <v/>
      </c>
      <c r="AT112"/>
      <c r="AY112" s="10"/>
      <c r="AZ112" s="10"/>
      <c r="BA112" s="6"/>
      <c r="BB112"/>
      <c r="BF112" t="str">
        <f t="shared" si="41"/>
        <v/>
      </c>
      <c r="BG112" s="27" t="str">
        <f t="shared" si="42"/>
        <v/>
      </c>
      <c r="BH112" t="str">
        <f t="shared" si="43"/>
        <v/>
      </c>
      <c r="BL112" s="29" t="e">
        <f t="shared" si="44"/>
        <v>#N/A</v>
      </c>
      <c r="BM112" s="29" t="e">
        <f t="shared" si="45"/>
        <v>#N/A</v>
      </c>
    </row>
    <row r="113" spans="1:65" x14ac:dyDescent="0.35">
      <c r="A113">
        <f t="shared" si="28"/>
        <v>112</v>
      </c>
      <c r="B113" t="e" cm="1">
        <f t="array" ref="B113">INDEX(tblTrades[token_name],ROW()-1)</f>
        <v>#REF!</v>
      </c>
      <c r="C113" s="27" t="e" cm="1">
        <f t="array" ref="C113">INDEX(tblTrades[entry_date],ROW()-1)</f>
        <v>#REF!</v>
      </c>
      <c r="D113" s="2" t="e" cm="1">
        <f t="array" ref="D113">INDEX(tblTrades[entry_mc_actual],ROW()-1)</f>
        <v>#REF!</v>
      </c>
      <c r="E113" s="2" t="e" cm="1">
        <f t="array" ref="E113">INDEX(tblTrades[exit_mc_actual],ROW()-1)</f>
        <v>#REF!</v>
      </c>
      <c r="F113" s="3" t="e" cm="1">
        <f t="array" ref="F113">INDEX(tblTrades[time_in_trade_seconds],ROW()-1)</f>
        <v>#REF!</v>
      </c>
      <c r="G113" s="4" t="str" cm="1">
        <f t="array" ref="G113">IFERROR(INDEX(tblTrades[pnl_percentage],ROW()-1)*1,"")</f>
        <v/>
      </c>
      <c r="H113" s="5" t="str" cm="1">
        <f t="array" ref="H113">IFERROR(INDEX(tblTrades[pnl_sol],ROW()-1)*1,"")</f>
        <v/>
      </c>
      <c r="I113" t="str">
        <f t="shared" si="29"/>
        <v/>
      </c>
      <c r="J113" t="str">
        <f t="shared" si="30"/>
        <v/>
      </c>
      <c r="K113" t="str">
        <f t="shared" si="31"/>
        <v/>
      </c>
      <c r="L113" s="20" t="str" cm="1">
        <f t="array" ref="L113">IFERROR(INDEX(tblTrades[sol_invested],ROW()-1),"")</f>
        <v/>
      </c>
      <c r="M113" s="1">
        <f>COUNTIFS(tblAnalysis[Token],tblAnalysis[[#This Row],[Token]])</f>
        <v>0</v>
      </c>
      <c r="N113" s="1">
        <f>COUNTIFS($B$2:B113,tblAnalysis[[#This Row],[Token]])</f>
        <v>0</v>
      </c>
      <c r="O113" s="5">
        <f>IFERROR(SUM($H$2:H113),"")</f>
        <v>0.40399999999999997</v>
      </c>
      <c r="P113" s="6"/>
      <c r="Q113" s="27"/>
      <c r="R113" s="6" t="str">
        <f>IF(Q113="","",SUMIFS(tblAnalysis[P&amp;L SOL],tblAnalysis[Date],Q113))</f>
        <v/>
      </c>
      <c r="S113" s="10" t="str">
        <f>IF(Q113="","",SUMIFS(tblAnalysis[P&amp;L %],tblAnalysis[Date],Q113))</f>
        <v/>
      </c>
      <c r="T113" s="6" t="str">
        <f>IF(Q113="","",IFERROR(SUM($R$2:R113),""))</f>
        <v/>
      </c>
      <c r="U113" t="str">
        <f>IF(Q113="","",COUNTIFS(tblAnalysis[Date],Q113))</f>
        <v/>
      </c>
      <c r="W113" s="27" t="str">
        <f t="shared" si="32"/>
        <v/>
      </c>
      <c r="X113" s="6" t="str">
        <f t="shared" si="33"/>
        <v/>
      </c>
      <c r="Y113" s="6" t="str">
        <f>IF(Q113="","",MAX(X113,_xlfn.MAXIFS(tblAnalysis[Cum P&amp;L SOL],tblAnalysis[Date],Q113)))</f>
        <v/>
      </c>
      <c r="Z113" s="6" t="str">
        <f>IF(Q113="","",MIN(X113,_xlfn.MINIFS(tblAnalysis[Cum P&amp;L SOL],tblAnalysis[Date],Q113)))</f>
        <v/>
      </c>
      <c r="AA113" s="6" t="str">
        <f t="shared" si="34"/>
        <v/>
      </c>
      <c r="AB113"/>
      <c r="AC113" s="27" t="str">
        <f t="shared" si="35"/>
        <v/>
      </c>
      <c r="AD113" s="10" t="str">
        <f t="shared" si="36"/>
        <v/>
      </c>
      <c r="AE113" s="10" t="str">
        <f t="shared" si="37"/>
        <v/>
      </c>
      <c r="AF113" s="10" t="str">
        <f t="shared" si="38"/>
        <v/>
      </c>
      <c r="AG113"/>
      <c r="AH113" t="str">
        <f t="shared" si="39"/>
        <v/>
      </c>
      <c r="AI113" t="str">
        <f t="shared" si="40"/>
        <v/>
      </c>
      <c r="AK113" cm="1">
        <f t="array" ref="AK113">IFERROR(IF(INDEX($A:$A,ROW())="","",INDEX($A:$A,ROW())),"")</f>
        <v>112</v>
      </c>
      <c r="AL113" t="str" cm="1">
        <f t="array" ref="AL113">IFERROR(INDEX(tblTrades[sol_invested],ROW()-1),"")</f>
        <v/>
      </c>
      <c r="AM113" s="6" t="str" cm="1">
        <f t="array" ref="AM113">IFERROR(INDEX(tblAnalysis[P&amp;L SOL],ROW()-1),"")</f>
        <v/>
      </c>
      <c r="AN113" t="str" cm="1">
        <f t="array" ref="AN113">IFERROR(IF(INDEX(tblTrades[sol_invested],ROW()-1)&gt;0.5,INDEX(tblAnalysis[Token],ROW()-1)&amp;" ("&amp;TEXT(INDEX(tblTrades[sol_invested],ROW()-1),"0.0")&amp;" SOL)",""),"")</f>
        <v/>
      </c>
      <c r="AO113" s="7" t="e" cm="1">
        <f t="array" ref="AO113">IF(INDEX(tblTrades[sol_invested],ROW()-1)&gt;0.5,INDEX(tblAnalysis[Cum P&amp;L SOL],ROW()-1),"")</f>
        <v>#REF!</v>
      </c>
      <c r="AP113" s="12" t="str" cm="1">
        <f t="array" ref="AP113">IFERROR(INDEX(tblAnalysis[Entry MC ($)],ROW()-1),"")</f>
        <v/>
      </c>
      <c r="AQ113" s="10" t="str" cm="1">
        <f t="array" ref="AQ113">IFERROR(INDEX(tblAnalysis[P&amp;L %],ROW()-1),"")</f>
        <v/>
      </c>
      <c r="AR113" t="str" cm="1">
        <f t="array" ref="AR113">IFERROR(INDEX(tblAnalysis[Hold Time (s)],ROW()-1),"")</f>
        <v/>
      </c>
      <c r="AS113" s="6" t="str" cm="1">
        <f t="array" ref="AS113">IFERROR(INDEX(tblAnalysis[P&amp;L SOL],ROW()-1),"")</f>
        <v/>
      </c>
      <c r="AT113"/>
      <c r="AY113" s="10"/>
      <c r="AZ113" s="10"/>
      <c r="BA113" s="6"/>
      <c r="BB113"/>
      <c r="BF113" t="str">
        <f t="shared" si="41"/>
        <v/>
      </c>
      <c r="BG113" s="27" t="str">
        <f t="shared" si="42"/>
        <v/>
      </c>
      <c r="BH113" t="str">
        <f t="shared" si="43"/>
        <v/>
      </c>
      <c r="BL113" s="29" t="e">
        <f t="shared" si="44"/>
        <v>#N/A</v>
      </c>
      <c r="BM113" s="29" t="e">
        <f t="shared" si="45"/>
        <v>#N/A</v>
      </c>
    </row>
    <row r="114" spans="1:65" x14ac:dyDescent="0.35">
      <c r="A114">
        <f t="shared" si="28"/>
        <v>113</v>
      </c>
      <c r="B114" t="e" cm="1">
        <f t="array" ref="B114">INDEX(tblTrades[token_name],ROW()-1)</f>
        <v>#REF!</v>
      </c>
      <c r="C114" s="27" t="e" cm="1">
        <f t="array" ref="C114">INDEX(tblTrades[entry_date],ROW()-1)</f>
        <v>#REF!</v>
      </c>
      <c r="D114" s="2" t="e" cm="1">
        <f t="array" ref="D114">INDEX(tblTrades[entry_mc_actual],ROW()-1)</f>
        <v>#REF!</v>
      </c>
      <c r="E114" s="2" t="e" cm="1">
        <f t="array" ref="E114">INDEX(tblTrades[exit_mc_actual],ROW()-1)</f>
        <v>#REF!</v>
      </c>
      <c r="F114" s="3" t="e" cm="1">
        <f t="array" ref="F114">INDEX(tblTrades[time_in_trade_seconds],ROW()-1)</f>
        <v>#REF!</v>
      </c>
      <c r="G114" s="4" t="str" cm="1">
        <f t="array" ref="G114">IFERROR(INDEX(tblTrades[pnl_percentage],ROW()-1)*1,"")</f>
        <v/>
      </c>
      <c r="H114" s="5" t="str" cm="1">
        <f t="array" ref="H114">IFERROR(INDEX(tblTrades[pnl_sol],ROW()-1)*1,"")</f>
        <v/>
      </c>
      <c r="I114" t="str">
        <f t="shared" si="29"/>
        <v/>
      </c>
      <c r="J114" t="str">
        <f t="shared" si="30"/>
        <v/>
      </c>
      <c r="K114" t="str">
        <f t="shared" si="31"/>
        <v/>
      </c>
      <c r="L114" s="20" t="str" cm="1">
        <f t="array" ref="L114">IFERROR(INDEX(tblTrades[sol_invested],ROW()-1),"")</f>
        <v/>
      </c>
      <c r="M114" s="1">
        <f>COUNTIFS(tblAnalysis[Token],tblAnalysis[[#This Row],[Token]])</f>
        <v>0</v>
      </c>
      <c r="N114" s="1">
        <f>COUNTIFS($B$2:B114,tblAnalysis[[#This Row],[Token]])</f>
        <v>0</v>
      </c>
      <c r="O114" s="5">
        <f>IFERROR(SUM($H$2:H114),"")</f>
        <v>0.40399999999999997</v>
      </c>
      <c r="P114" s="6"/>
      <c r="Q114" s="27"/>
      <c r="R114" s="6" t="str">
        <f>IF(Q114="","",SUMIFS(tblAnalysis[P&amp;L SOL],tblAnalysis[Date],Q114))</f>
        <v/>
      </c>
      <c r="S114" s="10" t="str">
        <f>IF(Q114="","",SUMIFS(tblAnalysis[P&amp;L %],tblAnalysis[Date],Q114))</f>
        <v/>
      </c>
      <c r="T114" s="6" t="str">
        <f>IF(Q114="","",IFERROR(SUM($R$2:R114),""))</f>
        <v/>
      </c>
      <c r="U114" t="str">
        <f>IF(Q114="","",COUNTIFS(tblAnalysis[Date],Q114))</f>
        <v/>
      </c>
      <c r="W114" s="27" t="str">
        <f t="shared" si="32"/>
        <v/>
      </c>
      <c r="X114" s="6" t="str">
        <f t="shared" si="33"/>
        <v/>
      </c>
      <c r="Y114" s="6" t="str">
        <f>IF(Q114="","",MAX(X114,_xlfn.MAXIFS(tblAnalysis[Cum P&amp;L SOL],tblAnalysis[Date],Q114)))</f>
        <v/>
      </c>
      <c r="Z114" s="6" t="str">
        <f>IF(Q114="","",MIN(X114,_xlfn.MINIFS(tblAnalysis[Cum P&amp;L SOL],tblAnalysis[Date],Q114)))</f>
        <v/>
      </c>
      <c r="AA114" s="6" t="str">
        <f t="shared" si="34"/>
        <v/>
      </c>
      <c r="AB114"/>
      <c r="AC114" s="27" t="str">
        <f t="shared" si="35"/>
        <v/>
      </c>
      <c r="AD114" s="10" t="str">
        <f t="shared" si="36"/>
        <v/>
      </c>
      <c r="AE114" s="10" t="str">
        <f t="shared" si="37"/>
        <v/>
      </c>
      <c r="AF114" s="10" t="str">
        <f t="shared" si="38"/>
        <v/>
      </c>
      <c r="AG114"/>
      <c r="AH114" t="str">
        <f t="shared" si="39"/>
        <v/>
      </c>
      <c r="AI114" t="str">
        <f t="shared" si="40"/>
        <v/>
      </c>
      <c r="AK114" cm="1">
        <f t="array" ref="AK114">IFERROR(IF(INDEX($A:$A,ROW())="","",INDEX($A:$A,ROW())),"")</f>
        <v>113</v>
      </c>
      <c r="AL114" t="str" cm="1">
        <f t="array" ref="AL114">IFERROR(INDEX(tblTrades[sol_invested],ROW()-1),"")</f>
        <v/>
      </c>
      <c r="AM114" s="6" t="str" cm="1">
        <f t="array" ref="AM114">IFERROR(INDEX(tblAnalysis[P&amp;L SOL],ROW()-1),"")</f>
        <v/>
      </c>
      <c r="AN114" t="str" cm="1">
        <f t="array" ref="AN114">IFERROR(IF(INDEX(tblTrades[sol_invested],ROW()-1)&gt;0.5,INDEX(tblAnalysis[Token],ROW()-1)&amp;" ("&amp;TEXT(INDEX(tblTrades[sol_invested],ROW()-1),"0.0")&amp;" SOL)",""),"")</f>
        <v/>
      </c>
      <c r="AO114" s="7" t="e" cm="1">
        <f t="array" ref="AO114">IF(INDEX(tblTrades[sol_invested],ROW()-1)&gt;0.5,INDEX(tblAnalysis[Cum P&amp;L SOL],ROW()-1),"")</f>
        <v>#REF!</v>
      </c>
      <c r="AP114" s="12" t="str" cm="1">
        <f t="array" ref="AP114">IFERROR(INDEX(tblAnalysis[Entry MC ($)],ROW()-1),"")</f>
        <v/>
      </c>
      <c r="AQ114" s="10" t="str" cm="1">
        <f t="array" ref="AQ114">IFERROR(INDEX(tblAnalysis[P&amp;L %],ROW()-1),"")</f>
        <v/>
      </c>
      <c r="AR114" t="str" cm="1">
        <f t="array" ref="AR114">IFERROR(INDEX(tblAnalysis[Hold Time (s)],ROW()-1),"")</f>
        <v/>
      </c>
      <c r="AS114" s="6" t="str" cm="1">
        <f t="array" ref="AS114">IFERROR(INDEX(tblAnalysis[P&amp;L SOL],ROW()-1),"")</f>
        <v/>
      </c>
      <c r="AT114"/>
      <c r="AY114" s="10"/>
      <c r="AZ114" s="10"/>
      <c r="BA114" s="6"/>
      <c r="BB114"/>
      <c r="BF114" t="str">
        <f t="shared" si="41"/>
        <v/>
      </c>
      <c r="BG114" s="27" t="str">
        <f t="shared" si="42"/>
        <v/>
      </c>
      <c r="BH114" t="str">
        <f t="shared" si="43"/>
        <v/>
      </c>
      <c r="BL114" s="29" t="e">
        <f t="shared" si="44"/>
        <v>#N/A</v>
      </c>
      <c r="BM114" s="29" t="e">
        <f t="shared" si="45"/>
        <v>#N/A</v>
      </c>
    </row>
    <row r="115" spans="1:65" x14ac:dyDescent="0.35">
      <c r="A115">
        <f t="shared" si="28"/>
        <v>114</v>
      </c>
      <c r="B115" t="e" cm="1">
        <f t="array" ref="B115">INDEX(tblTrades[token_name],ROW()-1)</f>
        <v>#REF!</v>
      </c>
      <c r="C115" s="27" t="e" cm="1">
        <f t="array" ref="C115">INDEX(tblTrades[entry_date],ROW()-1)</f>
        <v>#REF!</v>
      </c>
      <c r="D115" s="2" t="e" cm="1">
        <f t="array" ref="D115">INDEX(tblTrades[entry_mc_actual],ROW()-1)</f>
        <v>#REF!</v>
      </c>
      <c r="E115" s="2" t="e" cm="1">
        <f t="array" ref="E115">INDEX(tblTrades[exit_mc_actual],ROW()-1)</f>
        <v>#REF!</v>
      </c>
      <c r="F115" s="3" t="e" cm="1">
        <f t="array" ref="F115">INDEX(tblTrades[time_in_trade_seconds],ROW()-1)</f>
        <v>#REF!</v>
      </c>
      <c r="G115" s="4" t="str" cm="1">
        <f t="array" ref="G115">IFERROR(INDEX(tblTrades[pnl_percentage],ROW()-1)*1,"")</f>
        <v/>
      </c>
      <c r="H115" s="5" t="str" cm="1">
        <f t="array" ref="H115">IFERROR(INDEX(tblTrades[pnl_sol],ROW()-1)*1,"")</f>
        <v/>
      </c>
      <c r="I115" t="str">
        <f t="shared" si="29"/>
        <v/>
      </c>
      <c r="J115" t="str">
        <f t="shared" si="30"/>
        <v/>
      </c>
      <c r="K115" t="str">
        <f t="shared" si="31"/>
        <v/>
      </c>
      <c r="L115" s="20" t="str" cm="1">
        <f t="array" ref="L115">IFERROR(INDEX(tblTrades[sol_invested],ROW()-1),"")</f>
        <v/>
      </c>
      <c r="M115" s="1">
        <f>COUNTIFS(tblAnalysis[Token],tblAnalysis[[#This Row],[Token]])</f>
        <v>0</v>
      </c>
      <c r="N115" s="1">
        <f>COUNTIFS($B$2:B115,tblAnalysis[[#This Row],[Token]])</f>
        <v>0</v>
      </c>
      <c r="O115" s="5">
        <f>IFERROR(SUM($H$2:H115),"")</f>
        <v>0.40399999999999997</v>
      </c>
      <c r="P115" s="6"/>
      <c r="Q115" s="27"/>
      <c r="R115" s="6" t="str">
        <f>IF(Q115="","",SUMIFS(tblAnalysis[P&amp;L SOL],tblAnalysis[Date],Q115))</f>
        <v/>
      </c>
      <c r="S115" s="10" t="str">
        <f>IF(Q115="","",SUMIFS(tblAnalysis[P&amp;L %],tblAnalysis[Date],Q115))</f>
        <v/>
      </c>
      <c r="T115" s="6" t="str">
        <f>IF(Q115="","",IFERROR(SUM($R$2:R115),""))</f>
        <v/>
      </c>
      <c r="U115" t="str">
        <f>IF(Q115="","",COUNTIFS(tblAnalysis[Date],Q115))</f>
        <v/>
      </c>
      <c r="W115" s="27" t="str">
        <f t="shared" si="32"/>
        <v/>
      </c>
      <c r="X115" s="6" t="str">
        <f t="shared" si="33"/>
        <v/>
      </c>
      <c r="Y115" s="6" t="str">
        <f>IF(Q115="","",MAX(X115,_xlfn.MAXIFS(tblAnalysis[Cum P&amp;L SOL],tblAnalysis[Date],Q115)))</f>
        <v/>
      </c>
      <c r="Z115" s="6" t="str">
        <f>IF(Q115="","",MIN(X115,_xlfn.MINIFS(tblAnalysis[Cum P&amp;L SOL],tblAnalysis[Date],Q115)))</f>
        <v/>
      </c>
      <c r="AA115" s="6" t="str">
        <f t="shared" si="34"/>
        <v/>
      </c>
      <c r="AB115"/>
      <c r="AC115" s="27" t="str">
        <f t="shared" si="35"/>
        <v/>
      </c>
      <c r="AD115" s="10" t="str">
        <f t="shared" si="36"/>
        <v/>
      </c>
      <c r="AE115" s="10" t="str">
        <f t="shared" si="37"/>
        <v/>
      </c>
      <c r="AF115" s="10" t="str">
        <f t="shared" si="38"/>
        <v/>
      </c>
      <c r="AG115"/>
      <c r="AH115" t="str">
        <f t="shared" si="39"/>
        <v/>
      </c>
      <c r="AI115" t="str">
        <f t="shared" si="40"/>
        <v/>
      </c>
      <c r="AK115" cm="1">
        <f t="array" ref="AK115">IFERROR(IF(INDEX($A:$A,ROW())="","",INDEX($A:$A,ROW())),"")</f>
        <v>114</v>
      </c>
      <c r="AL115" t="str" cm="1">
        <f t="array" ref="AL115">IFERROR(INDEX(tblTrades[sol_invested],ROW()-1),"")</f>
        <v/>
      </c>
      <c r="AM115" s="6" t="str" cm="1">
        <f t="array" ref="AM115">IFERROR(INDEX(tblAnalysis[P&amp;L SOL],ROW()-1),"")</f>
        <v/>
      </c>
      <c r="AN115" t="str" cm="1">
        <f t="array" ref="AN115">IFERROR(IF(INDEX(tblTrades[sol_invested],ROW()-1)&gt;0.5,INDEX(tblAnalysis[Token],ROW()-1)&amp;" ("&amp;TEXT(INDEX(tblTrades[sol_invested],ROW()-1),"0.0")&amp;" SOL)",""),"")</f>
        <v/>
      </c>
      <c r="AO115" s="7" t="e" cm="1">
        <f t="array" ref="AO115">IF(INDEX(tblTrades[sol_invested],ROW()-1)&gt;0.5,INDEX(tblAnalysis[Cum P&amp;L SOL],ROW()-1),"")</f>
        <v>#REF!</v>
      </c>
      <c r="AP115" s="12" t="str" cm="1">
        <f t="array" ref="AP115">IFERROR(INDEX(tblAnalysis[Entry MC ($)],ROW()-1),"")</f>
        <v/>
      </c>
      <c r="AQ115" s="10" t="str" cm="1">
        <f t="array" ref="AQ115">IFERROR(INDEX(tblAnalysis[P&amp;L %],ROW()-1),"")</f>
        <v/>
      </c>
      <c r="AR115" t="str" cm="1">
        <f t="array" ref="AR115">IFERROR(INDEX(tblAnalysis[Hold Time (s)],ROW()-1),"")</f>
        <v/>
      </c>
      <c r="AS115" s="6" t="str" cm="1">
        <f t="array" ref="AS115">IFERROR(INDEX(tblAnalysis[P&amp;L SOL],ROW()-1),"")</f>
        <v/>
      </c>
      <c r="AT115"/>
      <c r="AY115" s="10"/>
      <c r="AZ115" s="10"/>
      <c r="BA115" s="6"/>
      <c r="BB115"/>
      <c r="BF115" t="str">
        <f t="shared" si="41"/>
        <v/>
      </c>
      <c r="BG115" s="27" t="str">
        <f t="shared" si="42"/>
        <v/>
      </c>
      <c r="BH115" t="str">
        <f t="shared" si="43"/>
        <v/>
      </c>
      <c r="BL115" s="29" t="e">
        <f t="shared" si="44"/>
        <v>#N/A</v>
      </c>
      <c r="BM115" s="29" t="e">
        <f t="shared" si="45"/>
        <v>#N/A</v>
      </c>
    </row>
    <row r="116" spans="1:65" x14ac:dyDescent="0.35">
      <c r="A116">
        <f t="shared" si="28"/>
        <v>115</v>
      </c>
      <c r="B116" t="e" cm="1">
        <f t="array" ref="B116">INDEX(tblTrades[token_name],ROW()-1)</f>
        <v>#REF!</v>
      </c>
      <c r="C116" s="27" t="e" cm="1">
        <f t="array" ref="C116">INDEX(tblTrades[entry_date],ROW()-1)</f>
        <v>#REF!</v>
      </c>
      <c r="D116" s="2" t="e" cm="1">
        <f t="array" ref="D116">INDEX(tblTrades[entry_mc_actual],ROW()-1)</f>
        <v>#REF!</v>
      </c>
      <c r="E116" s="2" t="e" cm="1">
        <f t="array" ref="E116">INDEX(tblTrades[exit_mc_actual],ROW()-1)</f>
        <v>#REF!</v>
      </c>
      <c r="F116" s="3" t="e" cm="1">
        <f t="array" ref="F116">INDEX(tblTrades[time_in_trade_seconds],ROW()-1)</f>
        <v>#REF!</v>
      </c>
      <c r="G116" s="4" t="str" cm="1">
        <f t="array" ref="G116">IFERROR(INDEX(tblTrades[pnl_percentage],ROW()-1)*1,"")</f>
        <v/>
      </c>
      <c r="H116" s="5" t="str" cm="1">
        <f t="array" ref="H116">IFERROR(INDEX(tblTrades[pnl_sol],ROW()-1)*1,"")</f>
        <v/>
      </c>
      <c r="I116" t="str">
        <f t="shared" si="29"/>
        <v/>
      </c>
      <c r="J116" t="str">
        <f t="shared" si="30"/>
        <v/>
      </c>
      <c r="K116" t="str">
        <f t="shared" si="31"/>
        <v/>
      </c>
      <c r="L116" s="20" t="str" cm="1">
        <f t="array" ref="L116">IFERROR(INDEX(tblTrades[sol_invested],ROW()-1),"")</f>
        <v/>
      </c>
      <c r="M116" s="1">
        <f>COUNTIFS(tblAnalysis[Token],tblAnalysis[[#This Row],[Token]])</f>
        <v>0</v>
      </c>
      <c r="N116" s="1">
        <f>COUNTIFS($B$2:B116,tblAnalysis[[#This Row],[Token]])</f>
        <v>0</v>
      </c>
      <c r="O116" s="5">
        <f>IFERROR(SUM($H$2:H116),"")</f>
        <v>0.40399999999999997</v>
      </c>
      <c r="P116" s="6"/>
      <c r="Q116" s="27"/>
      <c r="R116" s="6" t="str">
        <f>IF(Q116="","",SUMIFS(tblAnalysis[P&amp;L SOL],tblAnalysis[Date],Q116))</f>
        <v/>
      </c>
      <c r="S116" s="10" t="str">
        <f>IF(Q116="","",SUMIFS(tblAnalysis[P&amp;L %],tblAnalysis[Date],Q116))</f>
        <v/>
      </c>
      <c r="T116" s="6" t="str">
        <f>IF(Q116="","",IFERROR(SUM($R$2:R116),""))</f>
        <v/>
      </c>
      <c r="U116" t="str">
        <f>IF(Q116="","",COUNTIFS(tblAnalysis[Date],Q116))</f>
        <v/>
      </c>
      <c r="W116" s="27" t="str">
        <f t="shared" si="32"/>
        <v/>
      </c>
      <c r="X116" s="6" t="str">
        <f t="shared" si="33"/>
        <v/>
      </c>
      <c r="Y116" s="6" t="str">
        <f>IF(Q116="","",MAX(X116,_xlfn.MAXIFS(tblAnalysis[Cum P&amp;L SOL],tblAnalysis[Date],Q116)))</f>
        <v/>
      </c>
      <c r="Z116" s="6" t="str">
        <f>IF(Q116="","",MIN(X116,_xlfn.MINIFS(tblAnalysis[Cum P&amp;L SOL],tblAnalysis[Date],Q116)))</f>
        <v/>
      </c>
      <c r="AA116" s="6" t="str">
        <f t="shared" si="34"/>
        <v/>
      </c>
      <c r="AB116"/>
      <c r="AC116" s="27" t="str">
        <f t="shared" si="35"/>
        <v/>
      </c>
      <c r="AD116" s="10" t="str">
        <f t="shared" si="36"/>
        <v/>
      </c>
      <c r="AE116" s="10" t="str">
        <f t="shared" si="37"/>
        <v/>
      </c>
      <c r="AF116" s="10" t="str">
        <f t="shared" si="38"/>
        <v/>
      </c>
      <c r="AG116"/>
      <c r="AH116" t="str">
        <f t="shared" si="39"/>
        <v/>
      </c>
      <c r="AI116" t="str">
        <f t="shared" si="40"/>
        <v/>
      </c>
      <c r="AK116" cm="1">
        <f t="array" ref="AK116">IFERROR(IF(INDEX($A:$A,ROW())="","",INDEX($A:$A,ROW())),"")</f>
        <v>115</v>
      </c>
      <c r="AL116" t="str" cm="1">
        <f t="array" ref="AL116">IFERROR(INDEX(tblTrades[sol_invested],ROW()-1),"")</f>
        <v/>
      </c>
      <c r="AM116" s="6" t="str" cm="1">
        <f t="array" ref="AM116">IFERROR(INDEX(tblAnalysis[P&amp;L SOL],ROW()-1),"")</f>
        <v/>
      </c>
      <c r="AN116" t="str" cm="1">
        <f t="array" ref="AN116">IFERROR(IF(INDEX(tblTrades[sol_invested],ROW()-1)&gt;0.5,INDEX(tblAnalysis[Token],ROW()-1)&amp;" ("&amp;TEXT(INDEX(tblTrades[sol_invested],ROW()-1),"0.0")&amp;" SOL)",""),"")</f>
        <v/>
      </c>
      <c r="AO116" s="7" t="e" cm="1">
        <f t="array" ref="AO116">IF(INDEX(tblTrades[sol_invested],ROW()-1)&gt;0.5,INDEX(tblAnalysis[Cum P&amp;L SOL],ROW()-1),"")</f>
        <v>#REF!</v>
      </c>
      <c r="AP116" s="12" t="str" cm="1">
        <f t="array" ref="AP116">IFERROR(INDEX(tblAnalysis[Entry MC ($)],ROW()-1),"")</f>
        <v/>
      </c>
      <c r="AQ116" s="10" t="str" cm="1">
        <f t="array" ref="AQ116">IFERROR(INDEX(tblAnalysis[P&amp;L %],ROW()-1),"")</f>
        <v/>
      </c>
      <c r="AR116" t="str" cm="1">
        <f t="array" ref="AR116">IFERROR(INDEX(tblAnalysis[Hold Time (s)],ROW()-1),"")</f>
        <v/>
      </c>
      <c r="AS116" s="6" t="str" cm="1">
        <f t="array" ref="AS116">IFERROR(INDEX(tblAnalysis[P&amp;L SOL],ROW()-1),"")</f>
        <v/>
      </c>
      <c r="AT116"/>
      <c r="AY116" s="10"/>
      <c r="AZ116" s="10"/>
      <c r="BA116" s="6"/>
      <c r="BB116"/>
      <c r="BF116" t="str">
        <f t="shared" si="41"/>
        <v/>
      </c>
      <c r="BG116" s="27" t="str">
        <f t="shared" si="42"/>
        <v/>
      </c>
      <c r="BH116" t="str">
        <f t="shared" si="43"/>
        <v/>
      </c>
      <c r="BL116" s="29" t="e">
        <f t="shared" si="44"/>
        <v>#N/A</v>
      </c>
      <c r="BM116" s="29" t="e">
        <f t="shared" si="45"/>
        <v>#N/A</v>
      </c>
    </row>
    <row r="117" spans="1:65" x14ac:dyDescent="0.35">
      <c r="A117">
        <f t="shared" si="28"/>
        <v>116</v>
      </c>
      <c r="B117" t="e" cm="1">
        <f t="array" ref="B117">INDEX(tblTrades[token_name],ROW()-1)</f>
        <v>#REF!</v>
      </c>
      <c r="C117" s="27" t="e" cm="1">
        <f t="array" ref="C117">INDEX(tblTrades[entry_date],ROW()-1)</f>
        <v>#REF!</v>
      </c>
      <c r="D117" s="2" t="e" cm="1">
        <f t="array" ref="D117">INDEX(tblTrades[entry_mc_actual],ROW()-1)</f>
        <v>#REF!</v>
      </c>
      <c r="E117" s="2" t="e" cm="1">
        <f t="array" ref="E117">INDEX(tblTrades[exit_mc_actual],ROW()-1)</f>
        <v>#REF!</v>
      </c>
      <c r="F117" s="3" t="e" cm="1">
        <f t="array" ref="F117">INDEX(tblTrades[time_in_trade_seconds],ROW()-1)</f>
        <v>#REF!</v>
      </c>
      <c r="G117" s="4" t="str" cm="1">
        <f t="array" ref="G117">IFERROR(INDEX(tblTrades[pnl_percentage],ROW()-1)*1,"")</f>
        <v/>
      </c>
      <c r="H117" s="5" t="str" cm="1">
        <f t="array" ref="H117">IFERROR(INDEX(tblTrades[pnl_sol],ROW()-1)*1,"")</f>
        <v/>
      </c>
      <c r="I117" t="str">
        <f t="shared" si="29"/>
        <v/>
      </c>
      <c r="J117" t="str">
        <f t="shared" si="30"/>
        <v/>
      </c>
      <c r="K117" t="str">
        <f t="shared" si="31"/>
        <v/>
      </c>
      <c r="L117" s="20" t="str" cm="1">
        <f t="array" ref="L117">IFERROR(INDEX(tblTrades[sol_invested],ROW()-1),"")</f>
        <v/>
      </c>
      <c r="M117" s="1">
        <f>COUNTIFS(tblAnalysis[Token],tblAnalysis[[#This Row],[Token]])</f>
        <v>0</v>
      </c>
      <c r="N117" s="1">
        <f>COUNTIFS($B$2:B117,tblAnalysis[[#This Row],[Token]])</f>
        <v>0</v>
      </c>
      <c r="O117" s="5">
        <f>IFERROR(SUM($H$2:H117),"")</f>
        <v>0.40399999999999997</v>
      </c>
      <c r="P117" s="6"/>
      <c r="Q117" s="27"/>
      <c r="R117" s="6" t="str">
        <f>IF(Q117="","",SUMIFS(tblAnalysis[P&amp;L SOL],tblAnalysis[Date],Q117))</f>
        <v/>
      </c>
      <c r="S117" s="10" t="str">
        <f>IF(Q117="","",SUMIFS(tblAnalysis[P&amp;L %],tblAnalysis[Date],Q117))</f>
        <v/>
      </c>
      <c r="T117" s="6" t="str">
        <f>IF(Q117="","",IFERROR(SUM($R$2:R117),""))</f>
        <v/>
      </c>
      <c r="U117" t="str">
        <f>IF(Q117="","",COUNTIFS(tblAnalysis[Date],Q117))</f>
        <v/>
      </c>
      <c r="W117" s="27" t="str">
        <f t="shared" si="32"/>
        <v/>
      </c>
      <c r="X117" s="6" t="str">
        <f t="shared" si="33"/>
        <v/>
      </c>
      <c r="Y117" s="6" t="str">
        <f>IF(Q117="","",MAX(X117,_xlfn.MAXIFS(tblAnalysis[Cum P&amp;L SOL],tblAnalysis[Date],Q117)))</f>
        <v/>
      </c>
      <c r="Z117" s="6" t="str">
        <f>IF(Q117="","",MIN(X117,_xlfn.MINIFS(tblAnalysis[Cum P&amp;L SOL],tblAnalysis[Date],Q117)))</f>
        <v/>
      </c>
      <c r="AA117" s="6" t="str">
        <f t="shared" si="34"/>
        <v/>
      </c>
      <c r="AB117"/>
      <c r="AC117" s="27" t="str">
        <f t="shared" si="35"/>
        <v/>
      </c>
      <c r="AD117" s="10" t="str">
        <f t="shared" si="36"/>
        <v/>
      </c>
      <c r="AE117" s="10" t="str">
        <f t="shared" si="37"/>
        <v/>
      </c>
      <c r="AF117" s="10" t="str">
        <f t="shared" si="38"/>
        <v/>
      </c>
      <c r="AG117"/>
      <c r="AH117" t="str">
        <f t="shared" si="39"/>
        <v/>
      </c>
      <c r="AI117" t="str">
        <f t="shared" si="40"/>
        <v/>
      </c>
      <c r="AK117" cm="1">
        <f t="array" ref="AK117">IFERROR(IF(INDEX($A:$A,ROW())="","",INDEX($A:$A,ROW())),"")</f>
        <v>116</v>
      </c>
      <c r="AL117" t="str" cm="1">
        <f t="array" ref="AL117">IFERROR(INDEX(tblTrades[sol_invested],ROW()-1),"")</f>
        <v/>
      </c>
      <c r="AM117" s="6" t="str" cm="1">
        <f t="array" ref="AM117">IFERROR(INDEX(tblAnalysis[P&amp;L SOL],ROW()-1),"")</f>
        <v/>
      </c>
      <c r="AN117" t="str" cm="1">
        <f t="array" ref="AN117">IFERROR(IF(INDEX(tblTrades[sol_invested],ROW()-1)&gt;0.5,INDEX(tblAnalysis[Token],ROW()-1)&amp;" ("&amp;TEXT(INDEX(tblTrades[sol_invested],ROW()-1),"0.0")&amp;" SOL)",""),"")</f>
        <v/>
      </c>
      <c r="AO117" s="7" t="e" cm="1">
        <f t="array" ref="AO117">IF(INDEX(tblTrades[sol_invested],ROW()-1)&gt;0.5,INDEX(tblAnalysis[Cum P&amp;L SOL],ROW()-1),"")</f>
        <v>#REF!</v>
      </c>
      <c r="AP117" s="12" t="str" cm="1">
        <f t="array" ref="AP117">IFERROR(INDEX(tblAnalysis[Entry MC ($)],ROW()-1),"")</f>
        <v/>
      </c>
      <c r="AQ117" s="10" t="str" cm="1">
        <f t="array" ref="AQ117">IFERROR(INDEX(tblAnalysis[P&amp;L %],ROW()-1),"")</f>
        <v/>
      </c>
      <c r="AR117" t="str" cm="1">
        <f t="array" ref="AR117">IFERROR(INDEX(tblAnalysis[Hold Time (s)],ROW()-1),"")</f>
        <v/>
      </c>
      <c r="AS117" s="6" t="str" cm="1">
        <f t="array" ref="AS117">IFERROR(INDEX(tblAnalysis[P&amp;L SOL],ROW()-1),"")</f>
        <v/>
      </c>
      <c r="AT117"/>
      <c r="AY117" s="10"/>
      <c r="AZ117" s="10"/>
      <c r="BA117" s="6"/>
      <c r="BB117"/>
      <c r="BF117" t="str">
        <f t="shared" si="41"/>
        <v/>
      </c>
      <c r="BG117" s="27" t="str">
        <f t="shared" si="42"/>
        <v/>
      </c>
      <c r="BH117" t="str">
        <f t="shared" si="43"/>
        <v/>
      </c>
      <c r="BL117" s="29" t="e">
        <f t="shared" si="44"/>
        <v>#N/A</v>
      </c>
      <c r="BM117" s="29" t="e">
        <f t="shared" si="45"/>
        <v>#N/A</v>
      </c>
    </row>
    <row r="118" spans="1:65" x14ac:dyDescent="0.35">
      <c r="A118">
        <f t="shared" si="28"/>
        <v>117</v>
      </c>
      <c r="B118" t="e" cm="1">
        <f t="array" ref="B118">INDEX(tblTrades[token_name],ROW()-1)</f>
        <v>#REF!</v>
      </c>
      <c r="C118" s="27" t="e" cm="1">
        <f t="array" ref="C118">INDEX(tblTrades[entry_date],ROW()-1)</f>
        <v>#REF!</v>
      </c>
      <c r="D118" s="2" t="e" cm="1">
        <f t="array" ref="D118">INDEX(tblTrades[entry_mc_actual],ROW()-1)</f>
        <v>#REF!</v>
      </c>
      <c r="E118" s="2" t="e" cm="1">
        <f t="array" ref="E118">INDEX(tblTrades[exit_mc_actual],ROW()-1)</f>
        <v>#REF!</v>
      </c>
      <c r="F118" s="3" t="e" cm="1">
        <f t="array" ref="F118">INDEX(tblTrades[time_in_trade_seconds],ROW()-1)</f>
        <v>#REF!</v>
      </c>
      <c r="G118" s="4" t="str" cm="1">
        <f t="array" ref="G118">IFERROR(INDEX(tblTrades[pnl_percentage],ROW()-1)*1,"")</f>
        <v/>
      </c>
      <c r="H118" s="5" t="str" cm="1">
        <f t="array" ref="H118">IFERROR(INDEX(tblTrades[pnl_sol],ROW()-1)*1,"")</f>
        <v/>
      </c>
      <c r="I118" t="str">
        <f t="shared" si="29"/>
        <v/>
      </c>
      <c r="J118" t="str">
        <f t="shared" si="30"/>
        <v/>
      </c>
      <c r="K118" t="str">
        <f t="shared" si="31"/>
        <v/>
      </c>
      <c r="L118" s="20" t="str" cm="1">
        <f t="array" ref="L118">IFERROR(INDEX(tblTrades[sol_invested],ROW()-1),"")</f>
        <v/>
      </c>
      <c r="M118" s="1">
        <f>COUNTIFS(tblAnalysis[Token],tblAnalysis[[#This Row],[Token]])</f>
        <v>0</v>
      </c>
      <c r="N118" s="1">
        <f>COUNTIFS($B$2:B118,tblAnalysis[[#This Row],[Token]])</f>
        <v>0</v>
      </c>
      <c r="O118" s="5">
        <f>IFERROR(SUM($H$2:H118),"")</f>
        <v>0.40399999999999997</v>
      </c>
      <c r="P118" s="6"/>
      <c r="Q118" s="27"/>
      <c r="R118" s="6" t="str">
        <f>IF(Q118="","",SUMIFS(tblAnalysis[P&amp;L SOL],tblAnalysis[Date],Q118))</f>
        <v/>
      </c>
      <c r="S118" s="10" t="str">
        <f>IF(Q118="","",SUMIFS(tblAnalysis[P&amp;L %],tblAnalysis[Date],Q118))</f>
        <v/>
      </c>
      <c r="T118" s="6" t="str">
        <f>IF(Q118="","",IFERROR(SUM($R$2:R118),""))</f>
        <v/>
      </c>
      <c r="U118" t="str">
        <f>IF(Q118="","",COUNTIFS(tblAnalysis[Date],Q118))</f>
        <v/>
      </c>
      <c r="W118" s="27" t="str">
        <f t="shared" si="32"/>
        <v/>
      </c>
      <c r="X118" s="6" t="str">
        <f t="shared" si="33"/>
        <v/>
      </c>
      <c r="Y118" s="6" t="str">
        <f>IF(Q118="","",MAX(X118,_xlfn.MAXIFS(tblAnalysis[Cum P&amp;L SOL],tblAnalysis[Date],Q118)))</f>
        <v/>
      </c>
      <c r="Z118" s="6" t="str">
        <f>IF(Q118="","",MIN(X118,_xlfn.MINIFS(tblAnalysis[Cum P&amp;L SOL],tblAnalysis[Date],Q118)))</f>
        <v/>
      </c>
      <c r="AA118" s="6" t="str">
        <f t="shared" si="34"/>
        <v/>
      </c>
      <c r="AB118"/>
      <c r="AC118" s="27" t="str">
        <f t="shared" si="35"/>
        <v/>
      </c>
      <c r="AD118" s="10" t="str">
        <f t="shared" si="36"/>
        <v/>
      </c>
      <c r="AE118" s="10" t="str">
        <f t="shared" si="37"/>
        <v/>
      </c>
      <c r="AF118" s="10" t="str">
        <f t="shared" si="38"/>
        <v/>
      </c>
      <c r="AG118"/>
      <c r="AH118" t="str">
        <f t="shared" si="39"/>
        <v/>
      </c>
      <c r="AI118" t="str">
        <f t="shared" si="40"/>
        <v/>
      </c>
      <c r="AK118" cm="1">
        <f t="array" ref="AK118">IFERROR(IF(INDEX($A:$A,ROW())="","",INDEX($A:$A,ROW())),"")</f>
        <v>117</v>
      </c>
      <c r="AL118" t="str" cm="1">
        <f t="array" ref="AL118">IFERROR(INDEX(tblTrades[sol_invested],ROW()-1),"")</f>
        <v/>
      </c>
      <c r="AM118" s="6" t="str" cm="1">
        <f t="array" ref="AM118">IFERROR(INDEX(tblAnalysis[P&amp;L SOL],ROW()-1),"")</f>
        <v/>
      </c>
      <c r="AN118" t="str" cm="1">
        <f t="array" ref="AN118">IFERROR(IF(INDEX(tblTrades[sol_invested],ROW()-1)&gt;0.5,INDEX(tblAnalysis[Token],ROW()-1)&amp;" ("&amp;TEXT(INDEX(tblTrades[sol_invested],ROW()-1),"0.0")&amp;" SOL)",""),"")</f>
        <v/>
      </c>
      <c r="AO118" s="7" t="e" cm="1">
        <f t="array" ref="AO118">IF(INDEX(tblTrades[sol_invested],ROW()-1)&gt;0.5,INDEX(tblAnalysis[Cum P&amp;L SOL],ROW()-1),"")</f>
        <v>#REF!</v>
      </c>
      <c r="AP118" s="12" t="str" cm="1">
        <f t="array" ref="AP118">IFERROR(INDEX(tblAnalysis[Entry MC ($)],ROW()-1),"")</f>
        <v/>
      </c>
      <c r="AQ118" s="10" t="str" cm="1">
        <f t="array" ref="AQ118">IFERROR(INDEX(tblAnalysis[P&amp;L %],ROW()-1),"")</f>
        <v/>
      </c>
      <c r="AR118" t="str" cm="1">
        <f t="array" ref="AR118">IFERROR(INDEX(tblAnalysis[Hold Time (s)],ROW()-1),"")</f>
        <v/>
      </c>
      <c r="AS118" s="6" t="str" cm="1">
        <f t="array" ref="AS118">IFERROR(INDEX(tblAnalysis[P&amp;L SOL],ROW()-1),"")</f>
        <v/>
      </c>
      <c r="AT118"/>
      <c r="AY118" s="10"/>
      <c r="AZ118" s="10"/>
      <c r="BA118" s="6"/>
      <c r="BB118"/>
      <c r="BF118" t="str">
        <f t="shared" si="41"/>
        <v/>
      </c>
      <c r="BG118" s="27" t="str">
        <f t="shared" si="42"/>
        <v/>
      </c>
      <c r="BH118" t="str">
        <f t="shared" si="43"/>
        <v/>
      </c>
      <c r="BL118" s="29" t="e">
        <f t="shared" si="44"/>
        <v>#N/A</v>
      </c>
      <c r="BM118" s="29" t="e">
        <f t="shared" si="45"/>
        <v>#N/A</v>
      </c>
    </row>
    <row r="119" spans="1:65" x14ac:dyDescent="0.35">
      <c r="A119">
        <f t="shared" si="28"/>
        <v>118</v>
      </c>
      <c r="B119" t="e" cm="1">
        <f t="array" ref="B119">INDEX(tblTrades[token_name],ROW()-1)</f>
        <v>#REF!</v>
      </c>
      <c r="C119" s="27" t="e" cm="1">
        <f t="array" ref="C119">INDEX(tblTrades[entry_date],ROW()-1)</f>
        <v>#REF!</v>
      </c>
      <c r="D119" s="2" t="e" cm="1">
        <f t="array" ref="D119">INDEX(tblTrades[entry_mc_actual],ROW()-1)</f>
        <v>#REF!</v>
      </c>
      <c r="E119" s="2" t="e" cm="1">
        <f t="array" ref="E119">INDEX(tblTrades[exit_mc_actual],ROW()-1)</f>
        <v>#REF!</v>
      </c>
      <c r="F119" s="3" t="e" cm="1">
        <f t="array" ref="F119">INDEX(tblTrades[time_in_trade_seconds],ROW()-1)</f>
        <v>#REF!</v>
      </c>
      <c r="G119" s="4" t="str" cm="1">
        <f t="array" ref="G119">IFERROR(INDEX(tblTrades[pnl_percentage],ROW()-1)*1,"")</f>
        <v/>
      </c>
      <c r="H119" s="5" t="str" cm="1">
        <f t="array" ref="H119">IFERROR(INDEX(tblTrades[pnl_sol],ROW()-1)*1,"")</f>
        <v/>
      </c>
      <c r="I119" t="str">
        <f t="shared" si="29"/>
        <v/>
      </c>
      <c r="J119" t="str">
        <f t="shared" si="30"/>
        <v/>
      </c>
      <c r="K119" t="str">
        <f t="shared" si="31"/>
        <v/>
      </c>
      <c r="L119" s="20" t="str" cm="1">
        <f t="array" ref="L119">IFERROR(INDEX(tblTrades[sol_invested],ROW()-1),"")</f>
        <v/>
      </c>
      <c r="M119" s="1">
        <f>COUNTIFS(tblAnalysis[Token],tblAnalysis[[#This Row],[Token]])</f>
        <v>0</v>
      </c>
      <c r="N119" s="1">
        <f>COUNTIFS($B$2:B119,tblAnalysis[[#This Row],[Token]])</f>
        <v>0</v>
      </c>
      <c r="O119" s="5">
        <f>IFERROR(SUM($H$2:H119),"")</f>
        <v>0.40399999999999997</v>
      </c>
      <c r="P119" s="6"/>
      <c r="Q119" s="27"/>
      <c r="R119" s="6" t="str">
        <f>IF(Q119="","",SUMIFS(tblAnalysis[P&amp;L SOL],tblAnalysis[Date],Q119))</f>
        <v/>
      </c>
      <c r="S119" s="10" t="str">
        <f>IF(Q119="","",SUMIFS(tblAnalysis[P&amp;L %],tblAnalysis[Date],Q119))</f>
        <v/>
      </c>
      <c r="T119" s="6" t="str">
        <f>IF(Q119="","",IFERROR(SUM($R$2:R119),""))</f>
        <v/>
      </c>
      <c r="U119" t="str">
        <f>IF(Q119="","",COUNTIFS(tblAnalysis[Date],Q119))</f>
        <v/>
      </c>
      <c r="W119" s="27" t="str">
        <f t="shared" si="32"/>
        <v/>
      </c>
      <c r="X119" s="6" t="str">
        <f t="shared" si="33"/>
        <v/>
      </c>
      <c r="Y119" s="6" t="str">
        <f>IF(Q119="","",MAX(X119,_xlfn.MAXIFS(tblAnalysis[Cum P&amp;L SOL],tblAnalysis[Date],Q119)))</f>
        <v/>
      </c>
      <c r="Z119" s="6" t="str">
        <f>IF(Q119="","",MIN(X119,_xlfn.MINIFS(tblAnalysis[Cum P&amp;L SOL],tblAnalysis[Date],Q119)))</f>
        <v/>
      </c>
      <c r="AA119" s="6" t="str">
        <f t="shared" si="34"/>
        <v/>
      </c>
      <c r="AB119"/>
      <c r="AC119" s="27" t="str">
        <f t="shared" si="35"/>
        <v/>
      </c>
      <c r="AD119" s="10" t="str">
        <f t="shared" si="36"/>
        <v/>
      </c>
      <c r="AE119" s="10" t="str">
        <f t="shared" si="37"/>
        <v/>
      </c>
      <c r="AF119" s="10" t="str">
        <f t="shared" si="38"/>
        <v/>
      </c>
      <c r="AG119"/>
      <c r="AH119" t="str">
        <f t="shared" si="39"/>
        <v/>
      </c>
      <c r="AI119" t="str">
        <f t="shared" si="40"/>
        <v/>
      </c>
      <c r="AK119" cm="1">
        <f t="array" ref="AK119">IFERROR(IF(INDEX($A:$A,ROW())="","",INDEX($A:$A,ROW())),"")</f>
        <v>118</v>
      </c>
      <c r="AL119" t="str" cm="1">
        <f t="array" ref="AL119">IFERROR(INDEX(tblTrades[sol_invested],ROW()-1),"")</f>
        <v/>
      </c>
      <c r="AM119" s="6" t="str" cm="1">
        <f t="array" ref="AM119">IFERROR(INDEX(tblAnalysis[P&amp;L SOL],ROW()-1),"")</f>
        <v/>
      </c>
      <c r="AN119" t="str" cm="1">
        <f t="array" ref="AN119">IFERROR(IF(INDEX(tblTrades[sol_invested],ROW()-1)&gt;0.5,INDEX(tblAnalysis[Token],ROW()-1)&amp;" ("&amp;TEXT(INDEX(tblTrades[sol_invested],ROW()-1),"0.0")&amp;" SOL)",""),"")</f>
        <v/>
      </c>
      <c r="AO119" s="7" t="e" cm="1">
        <f t="array" ref="AO119">IF(INDEX(tblTrades[sol_invested],ROW()-1)&gt;0.5,INDEX(tblAnalysis[Cum P&amp;L SOL],ROW()-1),"")</f>
        <v>#REF!</v>
      </c>
      <c r="AP119" s="12" t="str" cm="1">
        <f t="array" ref="AP119">IFERROR(INDEX(tblAnalysis[Entry MC ($)],ROW()-1),"")</f>
        <v/>
      </c>
      <c r="AQ119" s="10" t="str" cm="1">
        <f t="array" ref="AQ119">IFERROR(INDEX(tblAnalysis[P&amp;L %],ROW()-1),"")</f>
        <v/>
      </c>
      <c r="AR119" t="str" cm="1">
        <f t="array" ref="AR119">IFERROR(INDEX(tblAnalysis[Hold Time (s)],ROW()-1),"")</f>
        <v/>
      </c>
      <c r="AS119" s="6" t="str" cm="1">
        <f t="array" ref="AS119">IFERROR(INDEX(tblAnalysis[P&amp;L SOL],ROW()-1),"")</f>
        <v/>
      </c>
      <c r="AT119"/>
      <c r="AY119" s="10"/>
      <c r="AZ119" s="10"/>
      <c r="BA119" s="6"/>
      <c r="BB119"/>
      <c r="BF119" t="str">
        <f t="shared" si="41"/>
        <v/>
      </c>
      <c r="BG119" s="27" t="str">
        <f t="shared" si="42"/>
        <v/>
      </c>
      <c r="BH119" t="str">
        <f t="shared" si="43"/>
        <v/>
      </c>
      <c r="BL119" s="29" t="e">
        <f t="shared" si="44"/>
        <v>#N/A</v>
      </c>
      <c r="BM119" s="29" t="e">
        <f t="shared" si="45"/>
        <v>#N/A</v>
      </c>
    </row>
    <row r="120" spans="1:65" x14ac:dyDescent="0.35">
      <c r="A120">
        <f t="shared" si="28"/>
        <v>119</v>
      </c>
      <c r="B120" t="e" cm="1">
        <f t="array" ref="B120">INDEX(tblTrades[token_name],ROW()-1)</f>
        <v>#REF!</v>
      </c>
      <c r="C120" s="27" t="e" cm="1">
        <f t="array" ref="C120">INDEX(tblTrades[entry_date],ROW()-1)</f>
        <v>#REF!</v>
      </c>
      <c r="D120" s="2" t="e" cm="1">
        <f t="array" ref="D120">INDEX(tblTrades[entry_mc_actual],ROW()-1)</f>
        <v>#REF!</v>
      </c>
      <c r="E120" s="2" t="e" cm="1">
        <f t="array" ref="E120">INDEX(tblTrades[exit_mc_actual],ROW()-1)</f>
        <v>#REF!</v>
      </c>
      <c r="F120" s="3" t="e" cm="1">
        <f t="array" ref="F120">INDEX(tblTrades[time_in_trade_seconds],ROW()-1)</f>
        <v>#REF!</v>
      </c>
      <c r="G120" s="4" t="str" cm="1">
        <f t="array" ref="G120">IFERROR(INDEX(tblTrades[pnl_percentage],ROW()-1)*1,"")</f>
        <v/>
      </c>
      <c r="H120" s="5" t="str" cm="1">
        <f t="array" ref="H120">IFERROR(INDEX(tblTrades[pnl_sol],ROW()-1)*1,"")</f>
        <v/>
      </c>
      <c r="I120" t="str">
        <f t="shared" si="29"/>
        <v/>
      </c>
      <c r="J120" t="str">
        <f t="shared" si="30"/>
        <v/>
      </c>
      <c r="K120" t="str">
        <f t="shared" si="31"/>
        <v/>
      </c>
      <c r="L120" s="20" t="str" cm="1">
        <f t="array" ref="L120">IFERROR(INDEX(tblTrades[sol_invested],ROW()-1),"")</f>
        <v/>
      </c>
      <c r="M120" s="1">
        <f>COUNTIFS(tblAnalysis[Token],tblAnalysis[[#This Row],[Token]])</f>
        <v>0</v>
      </c>
      <c r="N120" s="1">
        <f>COUNTIFS($B$2:B120,tblAnalysis[[#This Row],[Token]])</f>
        <v>0</v>
      </c>
      <c r="O120" s="5">
        <f>IFERROR(SUM($H$2:H120),"")</f>
        <v>0.40399999999999997</v>
      </c>
      <c r="P120" s="6"/>
      <c r="Q120" s="27"/>
      <c r="R120" s="6" t="str">
        <f>IF(Q120="","",SUMIFS(tblAnalysis[P&amp;L SOL],tblAnalysis[Date],Q120))</f>
        <v/>
      </c>
      <c r="S120" s="10" t="str">
        <f>IF(Q120="","",SUMIFS(tblAnalysis[P&amp;L %],tblAnalysis[Date],Q120))</f>
        <v/>
      </c>
      <c r="T120" s="6" t="str">
        <f>IF(Q120="","",IFERROR(SUM($R$2:R120),""))</f>
        <v/>
      </c>
      <c r="U120" t="str">
        <f>IF(Q120="","",COUNTIFS(tblAnalysis[Date],Q120))</f>
        <v/>
      </c>
      <c r="W120" s="27" t="str">
        <f t="shared" si="32"/>
        <v/>
      </c>
      <c r="X120" s="6" t="str">
        <f t="shared" si="33"/>
        <v/>
      </c>
      <c r="Y120" s="6" t="str">
        <f>IF(Q120="","",MAX(X120,_xlfn.MAXIFS(tblAnalysis[Cum P&amp;L SOL],tblAnalysis[Date],Q120)))</f>
        <v/>
      </c>
      <c r="Z120" s="6" t="str">
        <f>IF(Q120="","",MIN(X120,_xlfn.MINIFS(tblAnalysis[Cum P&amp;L SOL],tblAnalysis[Date],Q120)))</f>
        <v/>
      </c>
      <c r="AA120" s="6" t="str">
        <f t="shared" si="34"/>
        <v/>
      </c>
      <c r="AB120"/>
      <c r="AC120" s="27" t="str">
        <f t="shared" si="35"/>
        <v/>
      </c>
      <c r="AD120" s="10" t="str">
        <f t="shared" si="36"/>
        <v/>
      </c>
      <c r="AE120" s="10" t="str">
        <f t="shared" si="37"/>
        <v/>
      </c>
      <c r="AF120" s="10" t="str">
        <f t="shared" si="38"/>
        <v/>
      </c>
      <c r="AG120"/>
      <c r="AH120" t="str">
        <f t="shared" si="39"/>
        <v/>
      </c>
      <c r="AI120" t="str">
        <f t="shared" si="40"/>
        <v/>
      </c>
      <c r="AK120" cm="1">
        <f t="array" ref="AK120">IFERROR(IF(INDEX($A:$A,ROW())="","",INDEX($A:$A,ROW())),"")</f>
        <v>119</v>
      </c>
      <c r="AL120" t="str" cm="1">
        <f t="array" ref="AL120">IFERROR(INDEX(tblTrades[sol_invested],ROW()-1),"")</f>
        <v/>
      </c>
      <c r="AM120" s="6" t="str" cm="1">
        <f t="array" ref="AM120">IFERROR(INDEX(tblAnalysis[P&amp;L SOL],ROW()-1),"")</f>
        <v/>
      </c>
      <c r="AN120" t="str" cm="1">
        <f t="array" ref="AN120">IFERROR(IF(INDEX(tblTrades[sol_invested],ROW()-1)&gt;0.5,INDEX(tblAnalysis[Token],ROW()-1)&amp;" ("&amp;TEXT(INDEX(tblTrades[sol_invested],ROW()-1),"0.0")&amp;" SOL)",""),"")</f>
        <v/>
      </c>
      <c r="AO120" s="7" t="e" cm="1">
        <f t="array" ref="AO120">IF(INDEX(tblTrades[sol_invested],ROW()-1)&gt;0.5,INDEX(tblAnalysis[Cum P&amp;L SOL],ROW()-1),"")</f>
        <v>#REF!</v>
      </c>
      <c r="AP120" s="12" t="str" cm="1">
        <f t="array" ref="AP120">IFERROR(INDEX(tblAnalysis[Entry MC ($)],ROW()-1),"")</f>
        <v/>
      </c>
      <c r="AQ120" s="10" t="str" cm="1">
        <f t="array" ref="AQ120">IFERROR(INDEX(tblAnalysis[P&amp;L %],ROW()-1),"")</f>
        <v/>
      </c>
      <c r="AR120" t="str" cm="1">
        <f t="array" ref="AR120">IFERROR(INDEX(tblAnalysis[Hold Time (s)],ROW()-1),"")</f>
        <v/>
      </c>
      <c r="AS120" s="6" t="str" cm="1">
        <f t="array" ref="AS120">IFERROR(INDEX(tblAnalysis[P&amp;L SOL],ROW()-1),"")</f>
        <v/>
      </c>
      <c r="AT120"/>
      <c r="AY120" s="10"/>
      <c r="AZ120" s="10"/>
      <c r="BA120" s="6"/>
      <c r="BB120"/>
      <c r="BF120" t="str">
        <f t="shared" si="41"/>
        <v/>
      </c>
      <c r="BG120" s="27" t="str">
        <f t="shared" si="42"/>
        <v/>
      </c>
      <c r="BH120" t="str">
        <f t="shared" si="43"/>
        <v/>
      </c>
      <c r="BL120" s="29" t="e">
        <f t="shared" si="44"/>
        <v>#N/A</v>
      </c>
      <c r="BM120" s="29" t="e">
        <f t="shared" si="45"/>
        <v>#N/A</v>
      </c>
    </row>
    <row r="121" spans="1:65" x14ac:dyDescent="0.35">
      <c r="A121">
        <f t="shared" si="28"/>
        <v>120</v>
      </c>
      <c r="B121" t="e" cm="1">
        <f t="array" ref="B121">INDEX(tblTrades[token_name],ROW()-1)</f>
        <v>#REF!</v>
      </c>
      <c r="C121" s="27" t="e" cm="1">
        <f t="array" ref="C121">INDEX(tblTrades[entry_date],ROW()-1)</f>
        <v>#REF!</v>
      </c>
      <c r="D121" s="2" t="e" cm="1">
        <f t="array" ref="D121">INDEX(tblTrades[entry_mc_actual],ROW()-1)</f>
        <v>#REF!</v>
      </c>
      <c r="E121" s="2" t="e" cm="1">
        <f t="array" ref="E121">INDEX(tblTrades[exit_mc_actual],ROW()-1)</f>
        <v>#REF!</v>
      </c>
      <c r="F121" s="3" t="e" cm="1">
        <f t="array" ref="F121">INDEX(tblTrades[time_in_trade_seconds],ROW()-1)</f>
        <v>#REF!</v>
      </c>
      <c r="G121" s="4" t="str" cm="1">
        <f t="array" ref="G121">IFERROR(INDEX(tblTrades[pnl_percentage],ROW()-1)*1,"")</f>
        <v/>
      </c>
      <c r="H121" s="5" t="str" cm="1">
        <f t="array" ref="H121">IFERROR(INDEX(tblTrades[pnl_sol],ROW()-1)*1,"")</f>
        <v/>
      </c>
      <c r="I121" t="str">
        <f t="shared" si="29"/>
        <v/>
      </c>
      <c r="J121" t="str">
        <f t="shared" si="30"/>
        <v/>
      </c>
      <c r="K121" t="str">
        <f t="shared" si="31"/>
        <v/>
      </c>
      <c r="L121" s="20" t="str" cm="1">
        <f t="array" ref="L121">IFERROR(INDEX(tblTrades[sol_invested],ROW()-1),"")</f>
        <v/>
      </c>
      <c r="M121" s="1">
        <f>COUNTIFS(tblAnalysis[Token],tblAnalysis[[#This Row],[Token]])</f>
        <v>0</v>
      </c>
      <c r="N121" s="1">
        <f>COUNTIFS($B$2:B121,tblAnalysis[[#This Row],[Token]])</f>
        <v>0</v>
      </c>
      <c r="O121" s="5">
        <f>IFERROR(SUM($H$2:H121),"")</f>
        <v>0.40399999999999997</v>
      </c>
      <c r="P121" s="6"/>
      <c r="Q121" s="27"/>
      <c r="R121" s="6" t="str">
        <f>IF(Q121="","",SUMIFS(tblAnalysis[P&amp;L SOL],tblAnalysis[Date],Q121))</f>
        <v/>
      </c>
      <c r="S121" s="10" t="str">
        <f>IF(Q121="","",SUMIFS(tblAnalysis[P&amp;L %],tblAnalysis[Date],Q121))</f>
        <v/>
      </c>
      <c r="T121" s="6" t="str">
        <f>IF(Q121="","",IFERROR(SUM($R$2:R121),""))</f>
        <v/>
      </c>
      <c r="U121" t="str">
        <f>IF(Q121="","",COUNTIFS(tblAnalysis[Date],Q121))</f>
        <v/>
      </c>
      <c r="W121" s="27" t="str">
        <f t="shared" si="32"/>
        <v/>
      </c>
      <c r="X121" s="6" t="str">
        <f t="shared" si="33"/>
        <v/>
      </c>
      <c r="Y121" s="6" t="str">
        <f>IF(Q121="","",MAX(X121,_xlfn.MAXIFS(tblAnalysis[Cum P&amp;L SOL],tblAnalysis[Date],Q121)))</f>
        <v/>
      </c>
      <c r="Z121" s="6" t="str">
        <f>IF(Q121="","",MIN(X121,_xlfn.MINIFS(tblAnalysis[Cum P&amp;L SOL],tblAnalysis[Date],Q121)))</f>
        <v/>
      </c>
      <c r="AA121" s="6" t="str">
        <f t="shared" si="34"/>
        <v/>
      </c>
      <c r="AB121"/>
      <c r="AC121" s="27" t="str">
        <f t="shared" si="35"/>
        <v/>
      </c>
      <c r="AD121" s="10" t="str">
        <f t="shared" si="36"/>
        <v/>
      </c>
      <c r="AE121" s="10" t="str">
        <f t="shared" si="37"/>
        <v/>
      </c>
      <c r="AF121" s="10" t="str">
        <f t="shared" si="38"/>
        <v/>
      </c>
      <c r="AG121"/>
      <c r="AH121" t="str">
        <f t="shared" si="39"/>
        <v/>
      </c>
      <c r="AI121" t="str">
        <f t="shared" si="40"/>
        <v/>
      </c>
      <c r="AK121" cm="1">
        <f t="array" ref="AK121">IFERROR(IF(INDEX($A:$A,ROW())="","",INDEX($A:$A,ROW())),"")</f>
        <v>120</v>
      </c>
      <c r="AL121" t="str" cm="1">
        <f t="array" ref="AL121">IFERROR(INDEX(tblTrades[sol_invested],ROW()-1),"")</f>
        <v/>
      </c>
      <c r="AM121" s="6" t="str" cm="1">
        <f t="array" ref="AM121">IFERROR(INDEX(tblAnalysis[P&amp;L SOL],ROW()-1),"")</f>
        <v/>
      </c>
      <c r="AN121" t="str" cm="1">
        <f t="array" ref="AN121">IFERROR(IF(INDEX(tblTrades[sol_invested],ROW()-1)&gt;0.5,INDEX(tblAnalysis[Token],ROW()-1)&amp;" ("&amp;TEXT(INDEX(tblTrades[sol_invested],ROW()-1),"0.0")&amp;" SOL)",""),"")</f>
        <v/>
      </c>
      <c r="AO121" s="7" t="e" cm="1">
        <f t="array" ref="AO121">IF(INDEX(tblTrades[sol_invested],ROW()-1)&gt;0.5,INDEX(tblAnalysis[Cum P&amp;L SOL],ROW()-1),"")</f>
        <v>#REF!</v>
      </c>
      <c r="AP121" s="12" t="str" cm="1">
        <f t="array" ref="AP121">IFERROR(INDEX(tblAnalysis[Entry MC ($)],ROW()-1),"")</f>
        <v/>
      </c>
      <c r="AQ121" s="10" t="str" cm="1">
        <f t="array" ref="AQ121">IFERROR(INDEX(tblAnalysis[P&amp;L %],ROW()-1),"")</f>
        <v/>
      </c>
      <c r="AR121" t="str" cm="1">
        <f t="array" ref="AR121">IFERROR(INDEX(tblAnalysis[Hold Time (s)],ROW()-1),"")</f>
        <v/>
      </c>
      <c r="AS121" s="6" t="str" cm="1">
        <f t="array" ref="AS121">IFERROR(INDEX(tblAnalysis[P&amp;L SOL],ROW()-1),"")</f>
        <v/>
      </c>
      <c r="AT121"/>
      <c r="AY121" s="10"/>
      <c r="AZ121" s="10"/>
      <c r="BA121" s="6"/>
      <c r="BB121"/>
      <c r="BF121" t="str">
        <f t="shared" si="41"/>
        <v/>
      </c>
      <c r="BG121" s="27" t="str">
        <f t="shared" si="42"/>
        <v/>
      </c>
      <c r="BH121" t="str">
        <f t="shared" si="43"/>
        <v/>
      </c>
      <c r="BL121" s="29" t="e">
        <f t="shared" si="44"/>
        <v>#N/A</v>
      </c>
      <c r="BM121" s="29" t="e">
        <f t="shared" si="45"/>
        <v>#N/A</v>
      </c>
    </row>
    <row r="122" spans="1:65" x14ac:dyDescent="0.35">
      <c r="A122">
        <f t="shared" si="28"/>
        <v>121</v>
      </c>
      <c r="B122" t="e" cm="1">
        <f t="array" ref="B122">INDEX(tblTrades[token_name],ROW()-1)</f>
        <v>#REF!</v>
      </c>
      <c r="C122" s="27" t="e" cm="1">
        <f t="array" ref="C122">INDEX(tblTrades[entry_date],ROW()-1)</f>
        <v>#REF!</v>
      </c>
      <c r="D122" s="2" t="e" cm="1">
        <f t="array" ref="D122">INDEX(tblTrades[entry_mc_actual],ROW()-1)</f>
        <v>#REF!</v>
      </c>
      <c r="E122" s="2" t="e" cm="1">
        <f t="array" ref="E122">INDEX(tblTrades[exit_mc_actual],ROW()-1)</f>
        <v>#REF!</v>
      </c>
      <c r="F122" s="3" t="e" cm="1">
        <f t="array" ref="F122">INDEX(tblTrades[time_in_trade_seconds],ROW()-1)</f>
        <v>#REF!</v>
      </c>
      <c r="G122" s="4" t="str" cm="1">
        <f t="array" ref="G122">IFERROR(INDEX(tblTrades[pnl_percentage],ROW()-1)*1,"")</f>
        <v/>
      </c>
      <c r="H122" s="5" t="str" cm="1">
        <f t="array" ref="H122">IFERROR(INDEX(tblTrades[pnl_sol],ROW()-1)*1,"")</f>
        <v/>
      </c>
      <c r="I122" t="str">
        <f t="shared" si="29"/>
        <v/>
      </c>
      <c r="J122" t="str">
        <f t="shared" si="30"/>
        <v/>
      </c>
      <c r="K122" t="str">
        <f t="shared" si="31"/>
        <v/>
      </c>
      <c r="L122" s="20" t="str" cm="1">
        <f t="array" ref="L122">IFERROR(INDEX(tblTrades[sol_invested],ROW()-1),"")</f>
        <v/>
      </c>
      <c r="M122" s="1">
        <f>COUNTIFS(tblAnalysis[Token],tblAnalysis[[#This Row],[Token]])</f>
        <v>0</v>
      </c>
      <c r="N122" s="1">
        <f>COUNTIFS($B$2:B122,tblAnalysis[[#This Row],[Token]])</f>
        <v>0</v>
      </c>
      <c r="O122" s="5">
        <f>IFERROR(SUM($H$2:H122),"")</f>
        <v>0.40399999999999997</v>
      </c>
      <c r="P122" s="6"/>
      <c r="Q122" s="27"/>
      <c r="R122" s="6" t="str">
        <f>IF(Q122="","",SUMIFS(tblAnalysis[P&amp;L SOL],tblAnalysis[Date],Q122))</f>
        <v/>
      </c>
      <c r="S122" s="10" t="str">
        <f>IF(Q122="","",SUMIFS(tblAnalysis[P&amp;L %],tblAnalysis[Date],Q122))</f>
        <v/>
      </c>
      <c r="T122" s="6" t="str">
        <f>IF(Q122="","",IFERROR(SUM($R$2:R122),""))</f>
        <v/>
      </c>
      <c r="U122" t="str">
        <f>IF(Q122="","",COUNTIFS(tblAnalysis[Date],Q122))</f>
        <v/>
      </c>
      <c r="W122" s="27" t="str">
        <f t="shared" si="32"/>
        <v/>
      </c>
      <c r="X122" s="6" t="str">
        <f t="shared" si="33"/>
        <v/>
      </c>
      <c r="Y122" s="6" t="str">
        <f>IF(Q122="","",MAX(X122,_xlfn.MAXIFS(tblAnalysis[Cum P&amp;L SOL],tblAnalysis[Date],Q122)))</f>
        <v/>
      </c>
      <c r="Z122" s="6" t="str">
        <f>IF(Q122="","",MIN(X122,_xlfn.MINIFS(tblAnalysis[Cum P&amp;L SOL],tblAnalysis[Date],Q122)))</f>
        <v/>
      </c>
      <c r="AA122" s="6" t="str">
        <f t="shared" si="34"/>
        <v/>
      </c>
      <c r="AB122"/>
      <c r="AC122" s="27" t="str">
        <f t="shared" si="35"/>
        <v/>
      </c>
      <c r="AD122" s="10" t="str">
        <f t="shared" si="36"/>
        <v/>
      </c>
      <c r="AE122" s="10" t="str">
        <f t="shared" si="37"/>
        <v/>
      </c>
      <c r="AF122" s="10" t="str">
        <f t="shared" si="38"/>
        <v/>
      </c>
      <c r="AG122"/>
      <c r="AH122" t="str">
        <f t="shared" si="39"/>
        <v/>
      </c>
      <c r="AI122" t="str">
        <f t="shared" si="40"/>
        <v/>
      </c>
      <c r="AK122" cm="1">
        <f t="array" ref="AK122">IFERROR(IF(INDEX($A:$A,ROW())="","",INDEX($A:$A,ROW())),"")</f>
        <v>121</v>
      </c>
      <c r="AL122" t="str" cm="1">
        <f t="array" ref="AL122">IFERROR(INDEX(tblTrades[sol_invested],ROW()-1),"")</f>
        <v/>
      </c>
      <c r="AM122" s="6" t="str" cm="1">
        <f t="array" ref="AM122">IFERROR(INDEX(tblAnalysis[P&amp;L SOL],ROW()-1),"")</f>
        <v/>
      </c>
      <c r="AN122" t="str" cm="1">
        <f t="array" ref="AN122">IFERROR(IF(INDEX(tblTrades[sol_invested],ROW()-1)&gt;0.5,INDEX(tblAnalysis[Token],ROW()-1)&amp;" ("&amp;TEXT(INDEX(tblTrades[sol_invested],ROW()-1),"0.0")&amp;" SOL)",""),"")</f>
        <v/>
      </c>
      <c r="AO122" s="7" t="e" cm="1">
        <f t="array" ref="AO122">IF(INDEX(tblTrades[sol_invested],ROW()-1)&gt;0.5,INDEX(tblAnalysis[Cum P&amp;L SOL],ROW()-1),"")</f>
        <v>#REF!</v>
      </c>
      <c r="AP122" s="12" t="str" cm="1">
        <f t="array" ref="AP122">IFERROR(INDEX(tblAnalysis[Entry MC ($)],ROW()-1),"")</f>
        <v/>
      </c>
      <c r="AQ122" s="10" t="str" cm="1">
        <f t="array" ref="AQ122">IFERROR(INDEX(tblAnalysis[P&amp;L %],ROW()-1),"")</f>
        <v/>
      </c>
      <c r="AR122" t="str" cm="1">
        <f t="array" ref="AR122">IFERROR(INDEX(tblAnalysis[Hold Time (s)],ROW()-1),"")</f>
        <v/>
      </c>
      <c r="AS122" s="6" t="str" cm="1">
        <f t="array" ref="AS122">IFERROR(INDEX(tblAnalysis[P&amp;L SOL],ROW()-1),"")</f>
        <v/>
      </c>
      <c r="AT122"/>
      <c r="AY122" s="10"/>
      <c r="AZ122" s="10"/>
      <c r="BA122" s="6"/>
      <c r="BB122"/>
      <c r="BF122" t="str">
        <f t="shared" si="41"/>
        <v/>
      </c>
      <c r="BG122" s="27" t="str">
        <f t="shared" si="42"/>
        <v/>
      </c>
      <c r="BH122" t="str">
        <f t="shared" si="43"/>
        <v/>
      </c>
      <c r="BL122" s="29" t="e">
        <f t="shared" si="44"/>
        <v>#N/A</v>
      </c>
      <c r="BM122" s="29" t="e">
        <f t="shared" si="45"/>
        <v>#N/A</v>
      </c>
    </row>
    <row r="123" spans="1:65" x14ac:dyDescent="0.35">
      <c r="A123">
        <f t="shared" si="28"/>
        <v>122</v>
      </c>
      <c r="B123" t="e" cm="1">
        <f t="array" ref="B123">INDEX(tblTrades[token_name],ROW()-1)</f>
        <v>#REF!</v>
      </c>
      <c r="C123" s="27" t="e" cm="1">
        <f t="array" ref="C123">INDEX(tblTrades[entry_date],ROW()-1)</f>
        <v>#REF!</v>
      </c>
      <c r="D123" s="2" t="e" cm="1">
        <f t="array" ref="D123">INDEX(tblTrades[entry_mc_actual],ROW()-1)</f>
        <v>#REF!</v>
      </c>
      <c r="E123" s="2" t="e" cm="1">
        <f t="array" ref="E123">INDEX(tblTrades[exit_mc_actual],ROW()-1)</f>
        <v>#REF!</v>
      </c>
      <c r="F123" s="3" t="e" cm="1">
        <f t="array" ref="F123">INDEX(tblTrades[time_in_trade_seconds],ROW()-1)</f>
        <v>#REF!</v>
      </c>
      <c r="G123" s="4" t="str" cm="1">
        <f t="array" ref="G123">IFERROR(INDEX(tblTrades[pnl_percentage],ROW()-1)*1,"")</f>
        <v/>
      </c>
      <c r="H123" s="5" t="str" cm="1">
        <f t="array" ref="H123">IFERROR(INDEX(tblTrades[pnl_sol],ROW()-1)*1,"")</f>
        <v/>
      </c>
      <c r="I123" t="str">
        <f t="shared" si="29"/>
        <v/>
      </c>
      <c r="J123" t="str">
        <f t="shared" si="30"/>
        <v/>
      </c>
      <c r="K123" t="str">
        <f t="shared" si="31"/>
        <v/>
      </c>
      <c r="L123" s="20" t="str" cm="1">
        <f t="array" ref="L123">IFERROR(INDEX(tblTrades[sol_invested],ROW()-1),"")</f>
        <v/>
      </c>
      <c r="M123" s="1">
        <f>COUNTIFS(tblAnalysis[Token],tblAnalysis[[#This Row],[Token]])</f>
        <v>0</v>
      </c>
      <c r="N123" s="1">
        <f>COUNTIFS($B$2:B123,tblAnalysis[[#This Row],[Token]])</f>
        <v>0</v>
      </c>
      <c r="O123" s="5">
        <f>IFERROR(SUM($H$2:H123),"")</f>
        <v>0.40399999999999997</v>
      </c>
      <c r="P123" s="6"/>
      <c r="Q123" s="27"/>
      <c r="R123" s="6" t="str">
        <f>IF(Q123="","",SUMIFS(tblAnalysis[P&amp;L SOL],tblAnalysis[Date],Q123))</f>
        <v/>
      </c>
      <c r="S123" s="10" t="str">
        <f>IF(Q123="","",SUMIFS(tblAnalysis[P&amp;L %],tblAnalysis[Date],Q123))</f>
        <v/>
      </c>
      <c r="T123" s="6" t="str">
        <f>IF(Q123="","",IFERROR(SUM($R$2:R123),""))</f>
        <v/>
      </c>
      <c r="U123" t="str">
        <f>IF(Q123="","",COUNTIFS(tblAnalysis[Date],Q123))</f>
        <v/>
      </c>
      <c r="W123" s="27" t="str">
        <f t="shared" si="32"/>
        <v/>
      </c>
      <c r="X123" s="6" t="str">
        <f t="shared" si="33"/>
        <v/>
      </c>
      <c r="Y123" s="6" t="str">
        <f>IF(Q123="","",MAX(X123,_xlfn.MAXIFS(tblAnalysis[Cum P&amp;L SOL],tblAnalysis[Date],Q123)))</f>
        <v/>
      </c>
      <c r="Z123" s="6" t="str">
        <f>IF(Q123="","",MIN(X123,_xlfn.MINIFS(tblAnalysis[Cum P&amp;L SOL],tblAnalysis[Date],Q123)))</f>
        <v/>
      </c>
      <c r="AA123" s="6" t="str">
        <f t="shared" si="34"/>
        <v/>
      </c>
      <c r="AB123"/>
      <c r="AC123" s="27" t="str">
        <f t="shared" si="35"/>
        <v/>
      </c>
      <c r="AD123" s="10" t="str">
        <f t="shared" si="36"/>
        <v/>
      </c>
      <c r="AE123" s="10" t="str">
        <f t="shared" si="37"/>
        <v/>
      </c>
      <c r="AF123" s="10" t="str">
        <f t="shared" si="38"/>
        <v/>
      </c>
      <c r="AG123"/>
      <c r="AH123" t="str">
        <f t="shared" si="39"/>
        <v/>
      </c>
      <c r="AI123" t="str">
        <f t="shared" si="40"/>
        <v/>
      </c>
      <c r="AK123" cm="1">
        <f t="array" ref="AK123">IFERROR(IF(INDEX($A:$A,ROW())="","",INDEX($A:$A,ROW())),"")</f>
        <v>122</v>
      </c>
      <c r="AL123" t="str" cm="1">
        <f t="array" ref="AL123">IFERROR(INDEX(tblTrades[sol_invested],ROW()-1),"")</f>
        <v/>
      </c>
      <c r="AM123" s="6" t="str" cm="1">
        <f t="array" ref="AM123">IFERROR(INDEX(tblAnalysis[P&amp;L SOL],ROW()-1),"")</f>
        <v/>
      </c>
      <c r="AN123" t="str" cm="1">
        <f t="array" ref="AN123">IFERROR(IF(INDEX(tblTrades[sol_invested],ROW()-1)&gt;0.5,INDEX(tblAnalysis[Token],ROW()-1)&amp;" ("&amp;TEXT(INDEX(tblTrades[sol_invested],ROW()-1),"0.0")&amp;" SOL)",""),"")</f>
        <v/>
      </c>
      <c r="AO123" s="7" t="e" cm="1">
        <f t="array" ref="AO123">IF(INDEX(tblTrades[sol_invested],ROW()-1)&gt;0.5,INDEX(tblAnalysis[Cum P&amp;L SOL],ROW()-1),"")</f>
        <v>#REF!</v>
      </c>
      <c r="AP123" s="12" t="str" cm="1">
        <f t="array" ref="AP123">IFERROR(INDEX(tblAnalysis[Entry MC ($)],ROW()-1),"")</f>
        <v/>
      </c>
      <c r="AQ123" s="10" t="str" cm="1">
        <f t="array" ref="AQ123">IFERROR(INDEX(tblAnalysis[P&amp;L %],ROW()-1),"")</f>
        <v/>
      </c>
      <c r="AR123" t="str" cm="1">
        <f t="array" ref="AR123">IFERROR(INDEX(tblAnalysis[Hold Time (s)],ROW()-1),"")</f>
        <v/>
      </c>
      <c r="AS123" s="6" t="str" cm="1">
        <f t="array" ref="AS123">IFERROR(INDEX(tblAnalysis[P&amp;L SOL],ROW()-1),"")</f>
        <v/>
      </c>
      <c r="AT123"/>
      <c r="AY123" s="10"/>
      <c r="AZ123" s="10"/>
      <c r="BA123" s="6"/>
      <c r="BB123"/>
      <c r="BF123" t="str">
        <f t="shared" si="41"/>
        <v/>
      </c>
      <c r="BG123" s="27" t="str">
        <f t="shared" si="42"/>
        <v/>
      </c>
      <c r="BH123" t="str">
        <f t="shared" si="43"/>
        <v/>
      </c>
      <c r="BL123" s="29" t="e">
        <f t="shared" si="44"/>
        <v>#N/A</v>
      </c>
      <c r="BM123" s="29" t="e">
        <f t="shared" si="45"/>
        <v>#N/A</v>
      </c>
    </row>
    <row r="124" spans="1:65" x14ac:dyDescent="0.35">
      <c r="A124">
        <f t="shared" si="28"/>
        <v>123</v>
      </c>
      <c r="B124" t="e" cm="1">
        <f t="array" ref="B124">INDEX(tblTrades[token_name],ROW()-1)</f>
        <v>#REF!</v>
      </c>
      <c r="C124" s="27" t="e" cm="1">
        <f t="array" ref="C124">INDEX(tblTrades[entry_date],ROW()-1)</f>
        <v>#REF!</v>
      </c>
      <c r="D124" s="2" t="e" cm="1">
        <f t="array" ref="D124">INDEX(tblTrades[entry_mc_actual],ROW()-1)</f>
        <v>#REF!</v>
      </c>
      <c r="E124" s="2" t="e" cm="1">
        <f t="array" ref="E124">INDEX(tblTrades[exit_mc_actual],ROW()-1)</f>
        <v>#REF!</v>
      </c>
      <c r="F124" s="3" t="e" cm="1">
        <f t="array" ref="F124">INDEX(tblTrades[time_in_trade_seconds],ROW()-1)</f>
        <v>#REF!</v>
      </c>
      <c r="G124" s="4" t="str" cm="1">
        <f t="array" ref="G124">IFERROR(INDEX(tblTrades[pnl_percentage],ROW()-1)*1,"")</f>
        <v/>
      </c>
      <c r="H124" s="5" t="str" cm="1">
        <f t="array" ref="H124">IFERROR(INDEX(tblTrades[pnl_sol],ROW()-1)*1,"")</f>
        <v/>
      </c>
      <c r="I124" t="str">
        <f t="shared" si="29"/>
        <v/>
      </c>
      <c r="J124" t="str">
        <f t="shared" si="30"/>
        <v/>
      </c>
      <c r="K124" t="str">
        <f t="shared" si="31"/>
        <v/>
      </c>
      <c r="L124" s="20" t="str" cm="1">
        <f t="array" ref="L124">IFERROR(INDEX(tblTrades[sol_invested],ROW()-1),"")</f>
        <v/>
      </c>
      <c r="M124" s="1">
        <f>COUNTIFS(tblAnalysis[Token],tblAnalysis[[#This Row],[Token]])</f>
        <v>0</v>
      </c>
      <c r="N124" s="1">
        <f>COUNTIFS($B$2:B124,tblAnalysis[[#This Row],[Token]])</f>
        <v>0</v>
      </c>
      <c r="O124" s="5">
        <f>IFERROR(SUM($H$2:H124),"")</f>
        <v>0.40399999999999997</v>
      </c>
      <c r="P124" s="6"/>
      <c r="Q124" s="27"/>
      <c r="R124" s="6" t="str">
        <f>IF(Q124="","",SUMIFS(tblAnalysis[P&amp;L SOL],tblAnalysis[Date],Q124))</f>
        <v/>
      </c>
      <c r="S124" s="10" t="str">
        <f>IF(Q124="","",SUMIFS(tblAnalysis[P&amp;L %],tblAnalysis[Date],Q124))</f>
        <v/>
      </c>
      <c r="T124" s="6" t="str">
        <f>IF(Q124="","",IFERROR(SUM($R$2:R124),""))</f>
        <v/>
      </c>
      <c r="U124" t="str">
        <f>IF(Q124="","",COUNTIFS(tblAnalysis[Date],Q124))</f>
        <v/>
      </c>
      <c r="W124" s="27" t="str">
        <f t="shared" si="32"/>
        <v/>
      </c>
      <c r="X124" s="6" t="str">
        <f t="shared" si="33"/>
        <v/>
      </c>
      <c r="Y124" s="6" t="str">
        <f>IF(Q124="","",MAX(X124,_xlfn.MAXIFS(tblAnalysis[Cum P&amp;L SOL],tblAnalysis[Date],Q124)))</f>
        <v/>
      </c>
      <c r="Z124" s="6" t="str">
        <f>IF(Q124="","",MIN(X124,_xlfn.MINIFS(tblAnalysis[Cum P&amp;L SOL],tblAnalysis[Date],Q124)))</f>
        <v/>
      </c>
      <c r="AA124" s="6" t="str">
        <f t="shared" si="34"/>
        <v/>
      </c>
      <c r="AB124"/>
      <c r="AC124" s="27" t="str">
        <f t="shared" si="35"/>
        <v/>
      </c>
      <c r="AD124" s="10" t="str">
        <f t="shared" si="36"/>
        <v/>
      </c>
      <c r="AE124" s="10" t="str">
        <f t="shared" si="37"/>
        <v/>
      </c>
      <c r="AF124" s="10" t="str">
        <f t="shared" si="38"/>
        <v/>
      </c>
      <c r="AG124"/>
      <c r="AH124" t="str">
        <f t="shared" si="39"/>
        <v/>
      </c>
      <c r="AI124" t="str">
        <f t="shared" si="40"/>
        <v/>
      </c>
      <c r="AK124" cm="1">
        <f t="array" ref="AK124">IFERROR(IF(INDEX($A:$A,ROW())="","",INDEX($A:$A,ROW())),"")</f>
        <v>123</v>
      </c>
      <c r="AL124" t="str" cm="1">
        <f t="array" ref="AL124">IFERROR(INDEX(tblTrades[sol_invested],ROW()-1),"")</f>
        <v/>
      </c>
      <c r="AM124" s="6" t="str" cm="1">
        <f t="array" ref="AM124">IFERROR(INDEX(tblAnalysis[P&amp;L SOL],ROW()-1),"")</f>
        <v/>
      </c>
      <c r="AN124" t="str" cm="1">
        <f t="array" ref="AN124">IFERROR(IF(INDEX(tblTrades[sol_invested],ROW()-1)&gt;0.5,INDEX(tblAnalysis[Token],ROW()-1)&amp;" ("&amp;TEXT(INDEX(tblTrades[sol_invested],ROW()-1),"0.0")&amp;" SOL)",""),"")</f>
        <v/>
      </c>
      <c r="AO124" s="7" t="e" cm="1">
        <f t="array" ref="AO124">IF(INDEX(tblTrades[sol_invested],ROW()-1)&gt;0.5,INDEX(tblAnalysis[Cum P&amp;L SOL],ROW()-1),"")</f>
        <v>#REF!</v>
      </c>
      <c r="AP124" s="12" t="str" cm="1">
        <f t="array" ref="AP124">IFERROR(INDEX(tblAnalysis[Entry MC ($)],ROW()-1),"")</f>
        <v/>
      </c>
      <c r="AQ124" s="10" t="str" cm="1">
        <f t="array" ref="AQ124">IFERROR(INDEX(tblAnalysis[P&amp;L %],ROW()-1),"")</f>
        <v/>
      </c>
      <c r="AR124" t="str" cm="1">
        <f t="array" ref="AR124">IFERROR(INDEX(tblAnalysis[Hold Time (s)],ROW()-1),"")</f>
        <v/>
      </c>
      <c r="AS124" s="6" t="str" cm="1">
        <f t="array" ref="AS124">IFERROR(INDEX(tblAnalysis[P&amp;L SOL],ROW()-1),"")</f>
        <v/>
      </c>
      <c r="AT124"/>
      <c r="AY124" s="10"/>
      <c r="AZ124" s="10"/>
      <c r="BA124" s="6"/>
      <c r="BB124"/>
      <c r="BF124" t="str">
        <f t="shared" si="41"/>
        <v/>
      </c>
      <c r="BG124" s="27" t="str">
        <f t="shared" si="42"/>
        <v/>
      </c>
      <c r="BH124" t="str">
        <f t="shared" si="43"/>
        <v/>
      </c>
      <c r="BL124" s="29" t="e">
        <f t="shared" si="44"/>
        <v>#N/A</v>
      </c>
      <c r="BM124" s="29" t="e">
        <f t="shared" si="45"/>
        <v>#N/A</v>
      </c>
    </row>
    <row r="125" spans="1:65" x14ac:dyDescent="0.35">
      <c r="A125">
        <f t="shared" si="28"/>
        <v>124</v>
      </c>
      <c r="B125" t="e" cm="1">
        <f t="array" ref="B125">INDEX(tblTrades[token_name],ROW()-1)</f>
        <v>#REF!</v>
      </c>
      <c r="C125" s="27" t="e" cm="1">
        <f t="array" ref="C125">INDEX(tblTrades[entry_date],ROW()-1)</f>
        <v>#REF!</v>
      </c>
      <c r="D125" s="2" t="e" cm="1">
        <f t="array" ref="D125">INDEX(tblTrades[entry_mc_actual],ROW()-1)</f>
        <v>#REF!</v>
      </c>
      <c r="E125" s="2" t="e" cm="1">
        <f t="array" ref="E125">INDEX(tblTrades[exit_mc_actual],ROW()-1)</f>
        <v>#REF!</v>
      </c>
      <c r="F125" s="3" t="e" cm="1">
        <f t="array" ref="F125">INDEX(tblTrades[time_in_trade_seconds],ROW()-1)</f>
        <v>#REF!</v>
      </c>
      <c r="G125" s="4" t="str" cm="1">
        <f t="array" ref="G125">IFERROR(INDEX(tblTrades[pnl_percentage],ROW()-1)*1,"")</f>
        <v/>
      </c>
      <c r="H125" s="5" t="str" cm="1">
        <f t="array" ref="H125">IFERROR(INDEX(tblTrades[pnl_sol],ROW()-1)*1,"")</f>
        <v/>
      </c>
      <c r="I125" t="str">
        <f t="shared" si="29"/>
        <v/>
      </c>
      <c r="J125" t="str">
        <f t="shared" si="30"/>
        <v/>
      </c>
      <c r="K125" t="str">
        <f t="shared" si="31"/>
        <v/>
      </c>
      <c r="L125" s="20" t="str" cm="1">
        <f t="array" ref="L125">IFERROR(INDEX(tblTrades[sol_invested],ROW()-1),"")</f>
        <v/>
      </c>
      <c r="M125" s="1">
        <f>COUNTIFS(tblAnalysis[Token],tblAnalysis[[#This Row],[Token]])</f>
        <v>0</v>
      </c>
      <c r="N125" s="1">
        <f>COUNTIFS($B$2:B125,tblAnalysis[[#This Row],[Token]])</f>
        <v>0</v>
      </c>
      <c r="O125" s="5">
        <f>IFERROR(SUM($H$2:H125),"")</f>
        <v>0.40399999999999997</v>
      </c>
      <c r="P125" s="6"/>
      <c r="Q125" s="27"/>
      <c r="R125" s="6" t="str">
        <f>IF(Q125="","",SUMIFS(tblAnalysis[P&amp;L SOL],tblAnalysis[Date],Q125))</f>
        <v/>
      </c>
      <c r="S125" s="10" t="str">
        <f>IF(Q125="","",SUMIFS(tblAnalysis[P&amp;L %],tblAnalysis[Date],Q125))</f>
        <v/>
      </c>
      <c r="T125" s="6" t="str">
        <f>IF(Q125="","",IFERROR(SUM($R$2:R125),""))</f>
        <v/>
      </c>
      <c r="U125" t="str">
        <f>IF(Q125="","",COUNTIFS(tblAnalysis[Date],Q125))</f>
        <v/>
      </c>
      <c r="W125" s="27" t="str">
        <f t="shared" si="32"/>
        <v/>
      </c>
      <c r="X125" s="6" t="str">
        <f t="shared" si="33"/>
        <v/>
      </c>
      <c r="Y125" s="6" t="str">
        <f>IF(Q125="","",MAX(X125,_xlfn.MAXIFS(tblAnalysis[Cum P&amp;L SOL],tblAnalysis[Date],Q125)))</f>
        <v/>
      </c>
      <c r="Z125" s="6" t="str">
        <f>IF(Q125="","",MIN(X125,_xlfn.MINIFS(tblAnalysis[Cum P&amp;L SOL],tblAnalysis[Date],Q125)))</f>
        <v/>
      </c>
      <c r="AA125" s="6" t="str">
        <f t="shared" si="34"/>
        <v/>
      </c>
      <c r="AB125"/>
      <c r="AC125" s="27" t="str">
        <f t="shared" si="35"/>
        <v/>
      </c>
      <c r="AD125" s="10" t="str">
        <f t="shared" si="36"/>
        <v/>
      </c>
      <c r="AE125" s="10" t="str">
        <f t="shared" si="37"/>
        <v/>
      </c>
      <c r="AF125" s="10" t="str">
        <f t="shared" si="38"/>
        <v/>
      </c>
      <c r="AG125"/>
      <c r="AH125" t="str">
        <f t="shared" si="39"/>
        <v/>
      </c>
      <c r="AI125" t="str">
        <f t="shared" si="40"/>
        <v/>
      </c>
      <c r="AK125" cm="1">
        <f t="array" ref="AK125">IFERROR(IF(INDEX($A:$A,ROW())="","",INDEX($A:$A,ROW())),"")</f>
        <v>124</v>
      </c>
      <c r="AL125" t="str" cm="1">
        <f t="array" ref="AL125">IFERROR(INDEX(tblTrades[sol_invested],ROW()-1),"")</f>
        <v/>
      </c>
      <c r="AM125" s="6" t="str" cm="1">
        <f t="array" ref="AM125">IFERROR(INDEX(tblAnalysis[P&amp;L SOL],ROW()-1),"")</f>
        <v/>
      </c>
      <c r="AN125" t="str" cm="1">
        <f t="array" ref="AN125">IFERROR(IF(INDEX(tblTrades[sol_invested],ROW()-1)&gt;0.5,INDEX(tblAnalysis[Token],ROW()-1)&amp;" ("&amp;TEXT(INDEX(tblTrades[sol_invested],ROW()-1),"0.0")&amp;" SOL)",""),"")</f>
        <v/>
      </c>
      <c r="AO125" s="7" t="e" cm="1">
        <f t="array" ref="AO125">IF(INDEX(tblTrades[sol_invested],ROW()-1)&gt;0.5,INDEX(tblAnalysis[Cum P&amp;L SOL],ROW()-1),"")</f>
        <v>#REF!</v>
      </c>
      <c r="AP125" s="12" t="str" cm="1">
        <f t="array" ref="AP125">IFERROR(INDEX(tblAnalysis[Entry MC ($)],ROW()-1),"")</f>
        <v/>
      </c>
      <c r="AQ125" s="10" t="str" cm="1">
        <f t="array" ref="AQ125">IFERROR(INDEX(tblAnalysis[P&amp;L %],ROW()-1),"")</f>
        <v/>
      </c>
      <c r="AR125" t="str" cm="1">
        <f t="array" ref="AR125">IFERROR(INDEX(tblAnalysis[Hold Time (s)],ROW()-1),"")</f>
        <v/>
      </c>
      <c r="AS125" s="6" t="str" cm="1">
        <f t="array" ref="AS125">IFERROR(INDEX(tblAnalysis[P&amp;L SOL],ROW()-1),"")</f>
        <v/>
      </c>
      <c r="AT125"/>
      <c r="AY125" s="10"/>
      <c r="AZ125" s="10"/>
      <c r="BA125" s="6"/>
      <c r="BB125"/>
      <c r="BF125" t="str">
        <f t="shared" si="41"/>
        <v/>
      </c>
      <c r="BG125" s="27" t="str">
        <f t="shared" si="42"/>
        <v/>
      </c>
      <c r="BH125" t="str">
        <f t="shared" si="43"/>
        <v/>
      </c>
      <c r="BL125" s="29" t="e">
        <f t="shared" si="44"/>
        <v>#N/A</v>
      </c>
      <c r="BM125" s="29" t="e">
        <f t="shared" si="45"/>
        <v>#N/A</v>
      </c>
    </row>
    <row r="126" spans="1:65" x14ac:dyDescent="0.35">
      <c r="A126">
        <f t="shared" si="28"/>
        <v>125</v>
      </c>
      <c r="B126" t="e" cm="1">
        <f t="array" ref="B126">INDEX(tblTrades[token_name],ROW()-1)</f>
        <v>#REF!</v>
      </c>
      <c r="C126" s="27" t="e" cm="1">
        <f t="array" ref="C126">INDEX(tblTrades[entry_date],ROW()-1)</f>
        <v>#REF!</v>
      </c>
      <c r="D126" s="2" t="e" cm="1">
        <f t="array" ref="D126">INDEX(tblTrades[entry_mc_actual],ROW()-1)</f>
        <v>#REF!</v>
      </c>
      <c r="E126" s="2" t="e" cm="1">
        <f t="array" ref="E126">INDEX(tblTrades[exit_mc_actual],ROW()-1)</f>
        <v>#REF!</v>
      </c>
      <c r="F126" s="3" t="e" cm="1">
        <f t="array" ref="F126">INDEX(tblTrades[time_in_trade_seconds],ROW()-1)</f>
        <v>#REF!</v>
      </c>
      <c r="G126" s="4" t="str" cm="1">
        <f t="array" ref="G126">IFERROR(INDEX(tblTrades[pnl_percentage],ROW()-1)*1,"")</f>
        <v/>
      </c>
      <c r="H126" s="5" t="str" cm="1">
        <f t="array" ref="H126">IFERROR(INDEX(tblTrades[pnl_sol],ROW()-1)*1,"")</f>
        <v/>
      </c>
      <c r="I126" t="str">
        <f t="shared" si="29"/>
        <v/>
      </c>
      <c r="J126" t="str">
        <f t="shared" si="30"/>
        <v/>
      </c>
      <c r="K126" t="str">
        <f t="shared" si="31"/>
        <v/>
      </c>
      <c r="L126" s="20" t="str" cm="1">
        <f t="array" ref="L126">IFERROR(INDEX(tblTrades[sol_invested],ROW()-1),"")</f>
        <v/>
      </c>
      <c r="M126" s="1">
        <f>COUNTIFS(tblAnalysis[Token],tblAnalysis[[#This Row],[Token]])</f>
        <v>0</v>
      </c>
      <c r="N126" s="1">
        <f>COUNTIFS($B$2:B126,tblAnalysis[[#This Row],[Token]])</f>
        <v>0</v>
      </c>
      <c r="O126" s="5">
        <f>IFERROR(SUM($H$2:H126),"")</f>
        <v>0.40399999999999997</v>
      </c>
      <c r="P126" s="6"/>
      <c r="Q126" s="27"/>
      <c r="R126" s="6" t="str">
        <f>IF(Q126="","",SUMIFS(tblAnalysis[P&amp;L SOL],tblAnalysis[Date],Q126))</f>
        <v/>
      </c>
      <c r="S126" s="10" t="str">
        <f>IF(Q126="","",SUMIFS(tblAnalysis[P&amp;L %],tblAnalysis[Date],Q126))</f>
        <v/>
      </c>
      <c r="T126" s="6" t="str">
        <f>IF(Q126="","",IFERROR(SUM($R$2:R126),""))</f>
        <v/>
      </c>
      <c r="U126" t="str">
        <f>IF(Q126="","",COUNTIFS(tblAnalysis[Date],Q126))</f>
        <v/>
      </c>
      <c r="W126" s="27" t="str">
        <f t="shared" si="32"/>
        <v/>
      </c>
      <c r="X126" s="6" t="str">
        <f t="shared" si="33"/>
        <v/>
      </c>
      <c r="Y126" s="6" t="str">
        <f>IF(Q126="","",MAX(X126,_xlfn.MAXIFS(tblAnalysis[Cum P&amp;L SOL],tblAnalysis[Date],Q126)))</f>
        <v/>
      </c>
      <c r="Z126" s="6" t="str">
        <f>IF(Q126="","",MIN(X126,_xlfn.MINIFS(tblAnalysis[Cum P&amp;L SOL],tblAnalysis[Date],Q126)))</f>
        <v/>
      </c>
      <c r="AA126" s="6" t="str">
        <f t="shared" si="34"/>
        <v/>
      </c>
      <c r="AB126"/>
      <c r="AC126" s="27" t="str">
        <f t="shared" si="35"/>
        <v/>
      </c>
      <c r="AD126" s="10" t="str">
        <f t="shared" si="36"/>
        <v/>
      </c>
      <c r="AE126" s="10" t="str">
        <f t="shared" si="37"/>
        <v/>
      </c>
      <c r="AF126" s="10" t="str">
        <f t="shared" si="38"/>
        <v/>
      </c>
      <c r="AG126"/>
      <c r="AH126" t="str">
        <f t="shared" si="39"/>
        <v/>
      </c>
      <c r="AI126" t="str">
        <f t="shared" si="40"/>
        <v/>
      </c>
      <c r="AK126" cm="1">
        <f t="array" ref="AK126">IFERROR(IF(INDEX($A:$A,ROW())="","",INDEX($A:$A,ROW())),"")</f>
        <v>125</v>
      </c>
      <c r="AL126" t="str" cm="1">
        <f t="array" ref="AL126">IFERROR(INDEX(tblTrades[sol_invested],ROW()-1),"")</f>
        <v/>
      </c>
      <c r="AM126" s="6" t="str" cm="1">
        <f t="array" ref="AM126">IFERROR(INDEX(tblAnalysis[P&amp;L SOL],ROW()-1),"")</f>
        <v/>
      </c>
      <c r="AN126" t="str" cm="1">
        <f t="array" ref="AN126">IFERROR(IF(INDEX(tblTrades[sol_invested],ROW()-1)&gt;0.5,INDEX(tblAnalysis[Token],ROW()-1)&amp;" ("&amp;TEXT(INDEX(tblTrades[sol_invested],ROW()-1),"0.0")&amp;" SOL)",""),"")</f>
        <v/>
      </c>
      <c r="AO126" s="7" t="e" cm="1">
        <f t="array" ref="AO126">IF(INDEX(tblTrades[sol_invested],ROW()-1)&gt;0.5,INDEX(tblAnalysis[Cum P&amp;L SOL],ROW()-1),"")</f>
        <v>#REF!</v>
      </c>
      <c r="AP126" s="12" t="str" cm="1">
        <f t="array" ref="AP126">IFERROR(INDEX(tblAnalysis[Entry MC ($)],ROW()-1),"")</f>
        <v/>
      </c>
      <c r="AQ126" s="10" t="str" cm="1">
        <f t="array" ref="AQ126">IFERROR(INDEX(tblAnalysis[P&amp;L %],ROW()-1),"")</f>
        <v/>
      </c>
      <c r="AR126" t="str" cm="1">
        <f t="array" ref="AR126">IFERROR(INDEX(tblAnalysis[Hold Time (s)],ROW()-1),"")</f>
        <v/>
      </c>
      <c r="AS126" s="6" t="str" cm="1">
        <f t="array" ref="AS126">IFERROR(INDEX(tblAnalysis[P&amp;L SOL],ROW()-1),"")</f>
        <v/>
      </c>
      <c r="AT126"/>
      <c r="AY126" s="10"/>
      <c r="AZ126" s="10"/>
      <c r="BA126" s="6"/>
      <c r="BB126"/>
      <c r="BF126" t="str">
        <f t="shared" si="41"/>
        <v/>
      </c>
      <c r="BG126" s="27" t="str">
        <f t="shared" si="42"/>
        <v/>
      </c>
      <c r="BH126" t="str">
        <f t="shared" si="43"/>
        <v/>
      </c>
      <c r="BL126" s="29" t="e">
        <f t="shared" si="44"/>
        <v>#N/A</v>
      </c>
      <c r="BM126" s="29" t="e">
        <f t="shared" si="45"/>
        <v>#N/A</v>
      </c>
    </row>
    <row r="127" spans="1:65" x14ac:dyDescent="0.35">
      <c r="A127">
        <f t="shared" si="28"/>
        <v>126</v>
      </c>
      <c r="B127" t="e" cm="1">
        <f t="array" ref="B127">INDEX(tblTrades[token_name],ROW()-1)</f>
        <v>#REF!</v>
      </c>
      <c r="C127" s="27" t="e" cm="1">
        <f t="array" ref="C127">INDEX(tblTrades[entry_date],ROW()-1)</f>
        <v>#REF!</v>
      </c>
      <c r="D127" s="2" t="e" cm="1">
        <f t="array" ref="D127">INDEX(tblTrades[entry_mc_actual],ROW()-1)</f>
        <v>#REF!</v>
      </c>
      <c r="E127" s="2" t="e" cm="1">
        <f t="array" ref="E127">INDEX(tblTrades[exit_mc_actual],ROW()-1)</f>
        <v>#REF!</v>
      </c>
      <c r="F127" s="3" t="e" cm="1">
        <f t="array" ref="F127">INDEX(tblTrades[time_in_trade_seconds],ROW()-1)</f>
        <v>#REF!</v>
      </c>
      <c r="G127" s="4" t="str" cm="1">
        <f t="array" ref="G127">IFERROR(INDEX(tblTrades[pnl_percentage],ROW()-1)*1,"")</f>
        <v/>
      </c>
      <c r="H127" s="5" t="str" cm="1">
        <f t="array" ref="H127">IFERROR(INDEX(tblTrades[pnl_sol],ROW()-1)*1,"")</f>
        <v/>
      </c>
      <c r="I127" t="str">
        <f t="shared" si="29"/>
        <v/>
      </c>
      <c r="J127" t="str">
        <f t="shared" si="30"/>
        <v/>
      </c>
      <c r="K127" t="str">
        <f t="shared" si="31"/>
        <v/>
      </c>
      <c r="L127" s="20" t="str" cm="1">
        <f t="array" ref="L127">IFERROR(INDEX(tblTrades[sol_invested],ROW()-1),"")</f>
        <v/>
      </c>
      <c r="M127" s="1">
        <f>COUNTIFS(tblAnalysis[Token],tblAnalysis[[#This Row],[Token]])</f>
        <v>0</v>
      </c>
      <c r="N127" s="1">
        <f>COUNTIFS($B$2:B127,tblAnalysis[[#This Row],[Token]])</f>
        <v>0</v>
      </c>
      <c r="O127" s="5">
        <f>IFERROR(SUM($H$2:H127),"")</f>
        <v>0.40399999999999997</v>
      </c>
      <c r="P127" s="6"/>
      <c r="Q127" s="27"/>
      <c r="R127" s="6" t="str">
        <f>IF(Q127="","",SUMIFS(tblAnalysis[P&amp;L SOL],tblAnalysis[Date],Q127))</f>
        <v/>
      </c>
      <c r="S127" s="10" t="str">
        <f>IF(Q127="","",SUMIFS(tblAnalysis[P&amp;L %],tblAnalysis[Date],Q127))</f>
        <v/>
      </c>
      <c r="T127" s="6" t="str">
        <f>IF(Q127="","",IFERROR(SUM($R$2:R127),""))</f>
        <v/>
      </c>
      <c r="U127" t="str">
        <f>IF(Q127="","",COUNTIFS(tblAnalysis[Date],Q127))</f>
        <v/>
      </c>
      <c r="W127" s="27" t="str">
        <f t="shared" si="32"/>
        <v/>
      </c>
      <c r="X127" s="6" t="str">
        <f t="shared" si="33"/>
        <v/>
      </c>
      <c r="Y127" s="6" t="str">
        <f>IF(Q127="","",MAX(X127,_xlfn.MAXIFS(tblAnalysis[Cum P&amp;L SOL],tblAnalysis[Date],Q127)))</f>
        <v/>
      </c>
      <c r="Z127" s="6" t="str">
        <f>IF(Q127="","",MIN(X127,_xlfn.MINIFS(tblAnalysis[Cum P&amp;L SOL],tblAnalysis[Date],Q127)))</f>
        <v/>
      </c>
      <c r="AA127" s="6" t="str">
        <f t="shared" si="34"/>
        <v/>
      </c>
      <c r="AB127"/>
      <c r="AC127" s="27" t="str">
        <f t="shared" si="35"/>
        <v/>
      </c>
      <c r="AD127" s="10" t="str">
        <f t="shared" si="36"/>
        <v/>
      </c>
      <c r="AE127" s="10" t="str">
        <f t="shared" si="37"/>
        <v/>
      </c>
      <c r="AF127" s="10" t="str">
        <f t="shared" si="38"/>
        <v/>
      </c>
      <c r="AG127"/>
      <c r="AH127" t="str">
        <f t="shared" si="39"/>
        <v/>
      </c>
      <c r="AI127" t="str">
        <f t="shared" si="40"/>
        <v/>
      </c>
      <c r="AK127" cm="1">
        <f t="array" ref="AK127">IFERROR(IF(INDEX($A:$A,ROW())="","",INDEX($A:$A,ROW())),"")</f>
        <v>126</v>
      </c>
      <c r="AL127" t="str" cm="1">
        <f t="array" ref="AL127">IFERROR(INDEX(tblTrades[sol_invested],ROW()-1),"")</f>
        <v/>
      </c>
      <c r="AM127" s="6" t="str" cm="1">
        <f t="array" ref="AM127">IFERROR(INDEX(tblAnalysis[P&amp;L SOL],ROW()-1),"")</f>
        <v/>
      </c>
      <c r="AN127" t="str" cm="1">
        <f t="array" ref="AN127">IFERROR(IF(INDEX(tblTrades[sol_invested],ROW()-1)&gt;0.5,INDEX(tblAnalysis[Token],ROW()-1)&amp;" ("&amp;TEXT(INDEX(tblTrades[sol_invested],ROW()-1),"0.0")&amp;" SOL)",""),"")</f>
        <v/>
      </c>
      <c r="AO127" s="7" t="e" cm="1">
        <f t="array" ref="AO127">IF(INDEX(tblTrades[sol_invested],ROW()-1)&gt;0.5,INDEX(tblAnalysis[Cum P&amp;L SOL],ROW()-1),"")</f>
        <v>#REF!</v>
      </c>
      <c r="AP127" s="12" t="str" cm="1">
        <f t="array" ref="AP127">IFERROR(INDEX(tblAnalysis[Entry MC ($)],ROW()-1),"")</f>
        <v/>
      </c>
      <c r="AQ127" s="10" t="str" cm="1">
        <f t="array" ref="AQ127">IFERROR(INDEX(tblAnalysis[P&amp;L %],ROW()-1),"")</f>
        <v/>
      </c>
      <c r="AR127" t="str" cm="1">
        <f t="array" ref="AR127">IFERROR(INDEX(tblAnalysis[Hold Time (s)],ROW()-1),"")</f>
        <v/>
      </c>
      <c r="AS127" s="6" t="str" cm="1">
        <f t="array" ref="AS127">IFERROR(INDEX(tblAnalysis[P&amp;L SOL],ROW()-1),"")</f>
        <v/>
      </c>
      <c r="AT127"/>
      <c r="AY127" s="10"/>
      <c r="AZ127" s="10"/>
      <c r="BA127" s="6"/>
      <c r="BB127"/>
      <c r="BF127" t="str">
        <f t="shared" si="41"/>
        <v/>
      </c>
      <c r="BG127" s="27" t="str">
        <f t="shared" si="42"/>
        <v/>
      </c>
      <c r="BH127" t="str">
        <f t="shared" si="43"/>
        <v/>
      </c>
      <c r="BL127" s="29" t="e">
        <f t="shared" si="44"/>
        <v>#N/A</v>
      </c>
      <c r="BM127" s="29" t="e">
        <f t="shared" si="45"/>
        <v>#N/A</v>
      </c>
    </row>
    <row r="128" spans="1:65" x14ac:dyDescent="0.35">
      <c r="A128">
        <f t="shared" si="28"/>
        <v>127</v>
      </c>
      <c r="B128" t="e" cm="1">
        <f t="array" ref="B128">INDEX(tblTrades[token_name],ROW()-1)</f>
        <v>#REF!</v>
      </c>
      <c r="C128" s="27" t="e" cm="1">
        <f t="array" ref="C128">INDEX(tblTrades[entry_date],ROW()-1)</f>
        <v>#REF!</v>
      </c>
      <c r="D128" s="2" t="e" cm="1">
        <f t="array" ref="D128">INDEX(tblTrades[entry_mc_actual],ROW()-1)</f>
        <v>#REF!</v>
      </c>
      <c r="E128" s="2" t="e" cm="1">
        <f t="array" ref="E128">INDEX(tblTrades[exit_mc_actual],ROW()-1)</f>
        <v>#REF!</v>
      </c>
      <c r="F128" s="3" t="e" cm="1">
        <f t="array" ref="F128">INDEX(tblTrades[time_in_trade_seconds],ROW()-1)</f>
        <v>#REF!</v>
      </c>
      <c r="G128" s="4" t="str" cm="1">
        <f t="array" ref="G128">IFERROR(INDEX(tblTrades[pnl_percentage],ROW()-1)*1,"")</f>
        <v/>
      </c>
      <c r="H128" s="5" t="str" cm="1">
        <f t="array" ref="H128">IFERROR(INDEX(tblTrades[pnl_sol],ROW()-1)*1,"")</f>
        <v/>
      </c>
      <c r="I128" t="str">
        <f t="shared" si="29"/>
        <v/>
      </c>
      <c r="J128" t="str">
        <f t="shared" si="30"/>
        <v/>
      </c>
      <c r="K128" t="str">
        <f t="shared" si="31"/>
        <v/>
      </c>
      <c r="L128" s="20" t="str" cm="1">
        <f t="array" ref="L128">IFERROR(INDEX(tblTrades[sol_invested],ROW()-1),"")</f>
        <v/>
      </c>
      <c r="M128" s="1">
        <f>COUNTIFS(tblAnalysis[Token],tblAnalysis[[#This Row],[Token]])</f>
        <v>0</v>
      </c>
      <c r="N128" s="1">
        <f>COUNTIFS($B$2:B128,tblAnalysis[[#This Row],[Token]])</f>
        <v>0</v>
      </c>
      <c r="O128" s="5">
        <f>IFERROR(SUM($H$2:H128),"")</f>
        <v>0.40399999999999997</v>
      </c>
      <c r="P128" s="6"/>
      <c r="Q128" s="27"/>
      <c r="R128" s="6" t="str">
        <f>IF(Q128="","",SUMIFS(tblAnalysis[P&amp;L SOL],tblAnalysis[Date],Q128))</f>
        <v/>
      </c>
      <c r="S128" s="10" t="str">
        <f>IF(Q128="","",SUMIFS(tblAnalysis[P&amp;L %],tblAnalysis[Date],Q128))</f>
        <v/>
      </c>
      <c r="T128" s="6" t="str">
        <f>IF(Q128="","",IFERROR(SUM($R$2:R128),""))</f>
        <v/>
      </c>
      <c r="U128" t="str">
        <f>IF(Q128="","",COUNTIFS(tblAnalysis[Date],Q128))</f>
        <v/>
      </c>
      <c r="W128" s="27" t="str">
        <f t="shared" si="32"/>
        <v/>
      </c>
      <c r="X128" s="6" t="str">
        <f t="shared" si="33"/>
        <v/>
      </c>
      <c r="Y128" s="6" t="str">
        <f>IF(Q128="","",MAX(X128,_xlfn.MAXIFS(tblAnalysis[Cum P&amp;L SOL],tblAnalysis[Date],Q128)))</f>
        <v/>
      </c>
      <c r="Z128" s="6" t="str">
        <f>IF(Q128="","",MIN(X128,_xlfn.MINIFS(tblAnalysis[Cum P&amp;L SOL],tblAnalysis[Date],Q128)))</f>
        <v/>
      </c>
      <c r="AA128" s="6" t="str">
        <f t="shared" si="34"/>
        <v/>
      </c>
      <c r="AB128"/>
      <c r="AC128" s="27" t="str">
        <f t="shared" si="35"/>
        <v/>
      </c>
      <c r="AD128" s="10" t="str">
        <f t="shared" si="36"/>
        <v/>
      </c>
      <c r="AE128" s="10" t="str">
        <f t="shared" si="37"/>
        <v/>
      </c>
      <c r="AF128" s="10" t="str">
        <f t="shared" si="38"/>
        <v/>
      </c>
      <c r="AG128"/>
      <c r="AH128" t="str">
        <f t="shared" si="39"/>
        <v/>
      </c>
      <c r="AI128" t="str">
        <f t="shared" si="40"/>
        <v/>
      </c>
      <c r="AK128" cm="1">
        <f t="array" ref="AK128">IFERROR(IF(INDEX($A:$A,ROW())="","",INDEX($A:$A,ROW())),"")</f>
        <v>127</v>
      </c>
      <c r="AL128" t="str" cm="1">
        <f t="array" ref="AL128">IFERROR(INDEX(tblTrades[sol_invested],ROW()-1),"")</f>
        <v/>
      </c>
      <c r="AM128" s="6" t="str" cm="1">
        <f t="array" ref="AM128">IFERROR(INDEX(tblAnalysis[P&amp;L SOL],ROW()-1),"")</f>
        <v/>
      </c>
      <c r="AN128" t="str" cm="1">
        <f t="array" ref="AN128">IFERROR(IF(INDEX(tblTrades[sol_invested],ROW()-1)&gt;0.5,INDEX(tblAnalysis[Token],ROW()-1)&amp;" ("&amp;TEXT(INDEX(tblTrades[sol_invested],ROW()-1),"0.0")&amp;" SOL)",""),"")</f>
        <v/>
      </c>
      <c r="AO128" s="7" t="e" cm="1">
        <f t="array" ref="AO128">IF(INDEX(tblTrades[sol_invested],ROW()-1)&gt;0.5,INDEX(tblAnalysis[Cum P&amp;L SOL],ROW()-1),"")</f>
        <v>#REF!</v>
      </c>
      <c r="AP128" s="12" t="str" cm="1">
        <f t="array" ref="AP128">IFERROR(INDEX(tblAnalysis[Entry MC ($)],ROW()-1),"")</f>
        <v/>
      </c>
      <c r="AQ128" s="10" t="str" cm="1">
        <f t="array" ref="AQ128">IFERROR(INDEX(tblAnalysis[P&amp;L %],ROW()-1),"")</f>
        <v/>
      </c>
      <c r="AR128" t="str" cm="1">
        <f t="array" ref="AR128">IFERROR(INDEX(tblAnalysis[Hold Time (s)],ROW()-1),"")</f>
        <v/>
      </c>
      <c r="AS128" s="6" t="str" cm="1">
        <f t="array" ref="AS128">IFERROR(INDEX(tblAnalysis[P&amp;L SOL],ROW()-1),"")</f>
        <v/>
      </c>
      <c r="AT128"/>
      <c r="AY128" s="10"/>
      <c r="AZ128" s="10"/>
      <c r="BA128" s="6"/>
      <c r="BB128"/>
      <c r="BF128" t="str">
        <f t="shared" si="41"/>
        <v/>
      </c>
      <c r="BG128" s="27" t="str">
        <f t="shared" si="42"/>
        <v/>
      </c>
      <c r="BH128" t="str">
        <f t="shared" si="43"/>
        <v/>
      </c>
      <c r="BL128" s="29" t="e">
        <f t="shared" si="44"/>
        <v>#N/A</v>
      </c>
      <c r="BM128" s="29" t="e">
        <f t="shared" si="45"/>
        <v>#N/A</v>
      </c>
    </row>
    <row r="129" spans="1:65" x14ac:dyDescent="0.35">
      <c r="A129">
        <f t="shared" si="28"/>
        <v>128</v>
      </c>
      <c r="B129" t="e" cm="1">
        <f t="array" ref="B129">INDEX(tblTrades[token_name],ROW()-1)</f>
        <v>#REF!</v>
      </c>
      <c r="C129" s="27" t="e" cm="1">
        <f t="array" ref="C129">INDEX(tblTrades[entry_date],ROW()-1)</f>
        <v>#REF!</v>
      </c>
      <c r="D129" s="2" t="e" cm="1">
        <f t="array" ref="D129">INDEX(tblTrades[entry_mc_actual],ROW()-1)</f>
        <v>#REF!</v>
      </c>
      <c r="E129" s="2" t="e" cm="1">
        <f t="array" ref="E129">INDEX(tblTrades[exit_mc_actual],ROW()-1)</f>
        <v>#REF!</v>
      </c>
      <c r="F129" s="3" t="e" cm="1">
        <f t="array" ref="F129">INDEX(tblTrades[time_in_trade_seconds],ROW()-1)</f>
        <v>#REF!</v>
      </c>
      <c r="G129" s="4" t="str" cm="1">
        <f t="array" ref="G129">IFERROR(INDEX(tblTrades[pnl_percentage],ROW()-1)*1,"")</f>
        <v/>
      </c>
      <c r="H129" s="5" t="str" cm="1">
        <f t="array" ref="H129">IFERROR(INDEX(tblTrades[pnl_sol],ROW()-1)*1,"")</f>
        <v/>
      </c>
      <c r="I129" t="str">
        <f t="shared" si="29"/>
        <v/>
      </c>
      <c r="J129" t="str">
        <f t="shared" si="30"/>
        <v/>
      </c>
      <c r="K129" t="str">
        <f t="shared" si="31"/>
        <v/>
      </c>
      <c r="L129" s="20" t="str" cm="1">
        <f t="array" ref="L129">IFERROR(INDEX(tblTrades[sol_invested],ROW()-1),"")</f>
        <v/>
      </c>
      <c r="M129" s="1">
        <f>COUNTIFS(tblAnalysis[Token],tblAnalysis[[#This Row],[Token]])</f>
        <v>0</v>
      </c>
      <c r="N129" s="1">
        <f>COUNTIFS($B$2:B129,tblAnalysis[[#This Row],[Token]])</f>
        <v>0</v>
      </c>
      <c r="O129" s="5">
        <f>IFERROR(SUM($H$2:H129),"")</f>
        <v>0.40399999999999997</v>
      </c>
      <c r="P129" s="6"/>
      <c r="Q129" s="27"/>
      <c r="R129" s="6" t="str">
        <f>IF(Q129="","",SUMIFS(tblAnalysis[P&amp;L SOL],tblAnalysis[Date],Q129))</f>
        <v/>
      </c>
      <c r="S129" s="10" t="str">
        <f>IF(Q129="","",SUMIFS(tblAnalysis[P&amp;L %],tblAnalysis[Date],Q129))</f>
        <v/>
      </c>
      <c r="T129" s="6" t="str">
        <f>IF(Q129="","",IFERROR(SUM($R$2:R129),""))</f>
        <v/>
      </c>
      <c r="U129" t="str">
        <f>IF(Q129="","",COUNTIFS(tblAnalysis[Date],Q129))</f>
        <v/>
      </c>
      <c r="W129" s="27" t="str">
        <f t="shared" si="32"/>
        <v/>
      </c>
      <c r="X129" s="6" t="str">
        <f t="shared" si="33"/>
        <v/>
      </c>
      <c r="Y129" s="6" t="str">
        <f>IF(Q129="","",MAX(X129,_xlfn.MAXIFS(tblAnalysis[Cum P&amp;L SOL],tblAnalysis[Date],Q129)))</f>
        <v/>
      </c>
      <c r="Z129" s="6" t="str">
        <f>IF(Q129="","",MIN(X129,_xlfn.MINIFS(tblAnalysis[Cum P&amp;L SOL],tblAnalysis[Date],Q129)))</f>
        <v/>
      </c>
      <c r="AA129" s="6" t="str">
        <f t="shared" si="34"/>
        <v/>
      </c>
      <c r="AB129"/>
      <c r="AC129" s="27" t="str">
        <f t="shared" si="35"/>
        <v/>
      </c>
      <c r="AD129" s="10" t="str">
        <f t="shared" si="36"/>
        <v/>
      </c>
      <c r="AE129" s="10" t="str">
        <f t="shared" si="37"/>
        <v/>
      </c>
      <c r="AF129" s="10" t="str">
        <f t="shared" si="38"/>
        <v/>
      </c>
      <c r="AG129"/>
      <c r="AH129" t="str">
        <f t="shared" si="39"/>
        <v/>
      </c>
      <c r="AI129" t="str">
        <f t="shared" si="40"/>
        <v/>
      </c>
      <c r="AK129" cm="1">
        <f t="array" ref="AK129">IFERROR(IF(INDEX($A:$A,ROW())="","",INDEX($A:$A,ROW())),"")</f>
        <v>128</v>
      </c>
      <c r="AL129" t="str" cm="1">
        <f t="array" ref="AL129">IFERROR(INDEX(tblTrades[sol_invested],ROW()-1),"")</f>
        <v/>
      </c>
      <c r="AM129" s="6" t="str" cm="1">
        <f t="array" ref="AM129">IFERROR(INDEX(tblAnalysis[P&amp;L SOL],ROW()-1),"")</f>
        <v/>
      </c>
      <c r="AN129" t="str" cm="1">
        <f t="array" ref="AN129">IFERROR(IF(INDEX(tblTrades[sol_invested],ROW()-1)&gt;0.5,INDEX(tblAnalysis[Token],ROW()-1)&amp;" ("&amp;TEXT(INDEX(tblTrades[sol_invested],ROW()-1),"0.0")&amp;" SOL)",""),"")</f>
        <v/>
      </c>
      <c r="AO129" s="7" t="e" cm="1">
        <f t="array" ref="AO129">IF(INDEX(tblTrades[sol_invested],ROW()-1)&gt;0.5,INDEX(tblAnalysis[Cum P&amp;L SOL],ROW()-1),"")</f>
        <v>#REF!</v>
      </c>
      <c r="AP129" s="12" t="str" cm="1">
        <f t="array" ref="AP129">IFERROR(INDEX(tblAnalysis[Entry MC ($)],ROW()-1),"")</f>
        <v/>
      </c>
      <c r="AQ129" s="10" t="str" cm="1">
        <f t="array" ref="AQ129">IFERROR(INDEX(tblAnalysis[P&amp;L %],ROW()-1),"")</f>
        <v/>
      </c>
      <c r="AR129" t="str" cm="1">
        <f t="array" ref="AR129">IFERROR(INDEX(tblAnalysis[Hold Time (s)],ROW()-1),"")</f>
        <v/>
      </c>
      <c r="AS129" s="6" t="str" cm="1">
        <f t="array" ref="AS129">IFERROR(INDEX(tblAnalysis[P&amp;L SOL],ROW()-1),"")</f>
        <v/>
      </c>
      <c r="AT129"/>
      <c r="AY129" s="10"/>
      <c r="AZ129" s="10"/>
      <c r="BA129" s="6"/>
      <c r="BB129"/>
      <c r="BF129" t="str">
        <f t="shared" si="41"/>
        <v/>
      </c>
      <c r="BG129" s="27" t="str">
        <f t="shared" si="42"/>
        <v/>
      </c>
      <c r="BH129" t="str">
        <f t="shared" si="43"/>
        <v/>
      </c>
      <c r="BL129" s="29" t="e">
        <f t="shared" si="44"/>
        <v>#N/A</v>
      </c>
      <c r="BM129" s="29" t="e">
        <f t="shared" si="45"/>
        <v>#N/A</v>
      </c>
    </row>
    <row r="130" spans="1:65" x14ac:dyDescent="0.35">
      <c r="A130">
        <f t="shared" ref="A130:A185" si="46">ROW()-1</f>
        <v>129</v>
      </c>
      <c r="B130" t="e" cm="1">
        <f t="array" ref="B130">INDEX(tblTrades[token_name],ROW()-1)</f>
        <v>#REF!</v>
      </c>
      <c r="C130" s="27" t="e" cm="1">
        <f t="array" ref="C130">INDEX(tblTrades[entry_date],ROW()-1)</f>
        <v>#REF!</v>
      </c>
      <c r="D130" s="2" t="e" cm="1">
        <f t="array" ref="D130">INDEX(tblTrades[entry_mc_actual],ROW()-1)</f>
        <v>#REF!</v>
      </c>
      <c r="E130" s="2" t="e" cm="1">
        <f t="array" ref="E130">INDEX(tblTrades[exit_mc_actual],ROW()-1)</f>
        <v>#REF!</v>
      </c>
      <c r="F130" s="3" t="e" cm="1">
        <f t="array" ref="F130">INDEX(tblTrades[time_in_trade_seconds],ROW()-1)</f>
        <v>#REF!</v>
      </c>
      <c r="G130" s="4" t="str" cm="1">
        <f t="array" ref="G130">IFERROR(INDEX(tblTrades[pnl_percentage],ROW()-1)*1,"")</f>
        <v/>
      </c>
      <c r="H130" s="5" t="str" cm="1">
        <f t="array" ref="H130">IFERROR(INDEX(tblTrades[pnl_sol],ROW()-1)*1,"")</f>
        <v/>
      </c>
      <c r="I130" t="str">
        <f t="shared" ref="I130:I185" si="47">IF(ISNUMBER(G130),IF(G130&gt;0,1,0),"")</f>
        <v/>
      </c>
      <c r="J130" t="str">
        <f t="shared" ref="J130:J185" si="48">IF(ISNUMBER(D130),IF(D130&lt;2000,"Under 2K",IF(D130&lt;5000,"2-5K",IF(D130&lt;10000,"5-10K",IF(D130&lt;20000,"10-20K","20K+")))),"")</f>
        <v/>
      </c>
      <c r="K130" t="str">
        <f t="shared" ref="K130:K185" si="49">IF(ISNUMBER(F130),IF(F130=0,"Unknown (0s)",IF(F130&lt;=15,"1-15s",IF(F130&lt;=45,"15-45s",IF(F130&lt;=90,"45-90s","90s+")))),"")</f>
        <v/>
      </c>
      <c r="L130" s="20" t="str" cm="1">
        <f t="array" ref="L130">IFERROR(INDEX(tblTrades[sol_invested],ROW()-1),"")</f>
        <v/>
      </c>
      <c r="M130" s="1">
        <f>COUNTIFS(tblAnalysis[Token],tblAnalysis[[#This Row],[Token]])</f>
        <v>0</v>
      </c>
      <c r="N130" s="1">
        <f>COUNTIFS($B$2:B130,tblAnalysis[[#This Row],[Token]])</f>
        <v>0</v>
      </c>
      <c r="O130" s="5">
        <f>IFERROR(SUM($H$2:H130),"")</f>
        <v>0.40399999999999997</v>
      </c>
      <c r="P130" s="6"/>
      <c r="Q130" s="27"/>
      <c r="R130" s="6" t="str">
        <f>IF(Q130="","",SUMIFS(tblAnalysis[P&amp;L SOL],tblAnalysis[Date],Q130))</f>
        <v/>
      </c>
      <c r="S130" s="10" t="str">
        <f>IF(Q130="","",SUMIFS(tblAnalysis[P&amp;L %],tblAnalysis[Date],Q130))</f>
        <v/>
      </c>
      <c r="T130" s="6" t="str">
        <f>IF(Q130="","",IFERROR(SUM($R$2:R130),""))</f>
        <v/>
      </c>
      <c r="U130" t="str">
        <f>IF(Q130="","",COUNTIFS(tblAnalysis[Date],Q130))</f>
        <v/>
      </c>
      <c r="W130" s="27" t="str">
        <f t="shared" si="32"/>
        <v/>
      </c>
      <c r="X130" s="6" t="str">
        <f t="shared" si="33"/>
        <v/>
      </c>
      <c r="Y130" s="6" t="str">
        <f>IF(Q130="","",MAX(X130,_xlfn.MAXIFS(tblAnalysis[Cum P&amp;L SOL],tblAnalysis[Date],Q130)))</f>
        <v/>
      </c>
      <c r="Z130" s="6" t="str">
        <f>IF(Q130="","",MIN(X130,_xlfn.MINIFS(tblAnalysis[Cum P&amp;L SOL],tblAnalysis[Date],Q130)))</f>
        <v/>
      </c>
      <c r="AA130" s="6" t="str">
        <f t="shared" si="34"/>
        <v/>
      </c>
      <c r="AB130"/>
      <c r="AC130" s="27" t="str">
        <f t="shared" si="35"/>
        <v/>
      </c>
      <c r="AD130" s="10" t="str">
        <f t="shared" si="36"/>
        <v/>
      </c>
      <c r="AE130" s="10" t="str">
        <f t="shared" si="37"/>
        <v/>
      </c>
      <c r="AF130" s="10" t="str">
        <f t="shared" si="38"/>
        <v/>
      </c>
      <c r="AG130"/>
      <c r="AH130" t="str">
        <f t="shared" si="39"/>
        <v/>
      </c>
      <c r="AI130" t="str">
        <f t="shared" si="40"/>
        <v/>
      </c>
      <c r="AK130" cm="1">
        <f t="array" ref="AK130">IFERROR(IF(INDEX($A:$A,ROW())="","",INDEX($A:$A,ROW())),"")</f>
        <v>129</v>
      </c>
      <c r="AL130" t="str" cm="1">
        <f t="array" ref="AL130">IFERROR(INDEX(tblTrades[sol_invested],ROW()-1),"")</f>
        <v/>
      </c>
      <c r="AM130" s="6" t="str" cm="1">
        <f t="array" ref="AM130">IFERROR(INDEX(tblAnalysis[P&amp;L SOL],ROW()-1),"")</f>
        <v/>
      </c>
      <c r="AN130" t="str" cm="1">
        <f t="array" ref="AN130">IFERROR(IF(INDEX(tblTrades[sol_invested],ROW()-1)&gt;0.5,INDEX(tblAnalysis[Token],ROW()-1)&amp;" ("&amp;TEXT(INDEX(tblTrades[sol_invested],ROW()-1),"0.0")&amp;" SOL)",""),"")</f>
        <v/>
      </c>
      <c r="AO130" s="7" t="e" cm="1">
        <f t="array" ref="AO130">IF(INDEX(tblTrades[sol_invested],ROW()-1)&gt;0.5,INDEX(tblAnalysis[Cum P&amp;L SOL],ROW()-1),"")</f>
        <v>#REF!</v>
      </c>
      <c r="AP130" s="12" t="str" cm="1">
        <f t="array" ref="AP130">IFERROR(INDEX(tblAnalysis[Entry MC ($)],ROW()-1),"")</f>
        <v/>
      </c>
      <c r="AQ130" s="10" t="str" cm="1">
        <f t="array" ref="AQ130">IFERROR(INDEX(tblAnalysis[P&amp;L %],ROW()-1),"")</f>
        <v/>
      </c>
      <c r="AR130" t="str" cm="1">
        <f t="array" ref="AR130">IFERROR(INDEX(tblAnalysis[Hold Time (s)],ROW()-1),"")</f>
        <v/>
      </c>
      <c r="AS130" s="6" t="str" cm="1">
        <f t="array" ref="AS130">IFERROR(INDEX(tblAnalysis[P&amp;L SOL],ROW()-1),"")</f>
        <v/>
      </c>
      <c r="AT130"/>
      <c r="AY130" s="10"/>
      <c r="AZ130" s="10"/>
      <c r="BA130" s="6"/>
      <c r="BB130"/>
      <c r="BF130" t="str">
        <f t="shared" si="41"/>
        <v/>
      </c>
      <c r="BG130" s="27" t="str">
        <f t="shared" si="42"/>
        <v/>
      </c>
      <c r="BH130" t="str">
        <f t="shared" si="43"/>
        <v/>
      </c>
      <c r="BL130" s="29" t="e">
        <f t="shared" si="44"/>
        <v>#N/A</v>
      </c>
      <c r="BM130" s="29" t="e">
        <f t="shared" si="45"/>
        <v>#N/A</v>
      </c>
    </row>
    <row r="131" spans="1:65" x14ac:dyDescent="0.35">
      <c r="A131">
        <f t="shared" si="46"/>
        <v>130</v>
      </c>
      <c r="B131" t="e" cm="1">
        <f t="array" ref="B131">INDEX(tblTrades[token_name],ROW()-1)</f>
        <v>#REF!</v>
      </c>
      <c r="C131" s="27" t="e" cm="1">
        <f t="array" ref="C131">INDEX(tblTrades[entry_date],ROW()-1)</f>
        <v>#REF!</v>
      </c>
      <c r="D131" s="2" t="e" cm="1">
        <f t="array" ref="D131">INDEX(tblTrades[entry_mc_actual],ROW()-1)</f>
        <v>#REF!</v>
      </c>
      <c r="E131" s="2" t="e" cm="1">
        <f t="array" ref="E131">INDEX(tblTrades[exit_mc_actual],ROW()-1)</f>
        <v>#REF!</v>
      </c>
      <c r="F131" s="3" t="e" cm="1">
        <f t="array" ref="F131">INDEX(tblTrades[time_in_trade_seconds],ROW()-1)</f>
        <v>#REF!</v>
      </c>
      <c r="G131" s="4" t="str" cm="1">
        <f t="array" ref="G131">IFERROR(INDEX(tblTrades[pnl_percentage],ROW()-1)*1,"")</f>
        <v/>
      </c>
      <c r="H131" s="5" t="str" cm="1">
        <f t="array" ref="H131">IFERROR(INDEX(tblTrades[pnl_sol],ROW()-1)*1,"")</f>
        <v/>
      </c>
      <c r="I131" t="str">
        <f t="shared" si="47"/>
        <v/>
      </c>
      <c r="J131" t="str">
        <f t="shared" si="48"/>
        <v/>
      </c>
      <c r="K131" t="str">
        <f t="shared" si="49"/>
        <v/>
      </c>
      <c r="L131" s="20" t="str" cm="1">
        <f t="array" ref="L131">IFERROR(INDEX(tblTrades[sol_invested],ROW()-1),"")</f>
        <v/>
      </c>
      <c r="M131" s="1">
        <f>COUNTIFS(tblAnalysis[Token],tblAnalysis[[#This Row],[Token]])</f>
        <v>0</v>
      </c>
      <c r="N131" s="1">
        <f>COUNTIFS($B$2:B131,tblAnalysis[[#This Row],[Token]])</f>
        <v>0</v>
      </c>
      <c r="O131" s="5">
        <f>IFERROR(SUM($H$2:H131),"")</f>
        <v>0.40399999999999997</v>
      </c>
      <c r="P131" s="6"/>
      <c r="Q131" s="27"/>
      <c r="R131" s="6" t="str">
        <f>IF(Q131="","",SUMIFS(tblAnalysis[P&amp;L SOL],tblAnalysis[Date],Q131))</f>
        <v/>
      </c>
      <c r="S131" s="10" t="str">
        <f>IF(Q131="","",SUMIFS(tblAnalysis[P&amp;L %],tblAnalysis[Date],Q131))</f>
        <v/>
      </c>
      <c r="T131" s="6" t="str">
        <f>IF(Q131="","",IFERROR(SUM($R$2:R131),""))</f>
        <v/>
      </c>
      <c r="U131" t="str">
        <f>IF(Q131="","",COUNTIFS(tblAnalysis[Date],Q131))</f>
        <v/>
      </c>
      <c r="W131" s="27" t="str">
        <f t="shared" ref="W131:W194" si="50">IF(Q131="","",Q131)</f>
        <v/>
      </c>
      <c r="X131" s="6" t="str">
        <f t="shared" ref="X131:X194" si="51">IF(Q131="","",IF(ROW()=2,0,AA130))</f>
        <v/>
      </c>
      <c r="Y131" s="6" t="str">
        <f>IF(Q131="","",MAX(X131,_xlfn.MAXIFS(tblAnalysis[Cum P&amp;L SOL],tblAnalysis[Date],Q131)))</f>
        <v/>
      </c>
      <c r="Z131" s="6" t="str">
        <f>IF(Q131="","",MIN(X131,_xlfn.MINIFS(tblAnalysis[Cum P&amp;L SOL],tblAnalysis[Date],Q131)))</f>
        <v/>
      </c>
      <c r="AA131" s="6" t="str">
        <f t="shared" ref="AA131:AA194" si="52">IF(Q131="","",T131)</f>
        <v/>
      </c>
      <c r="AB131"/>
      <c r="AC131" s="27" t="str">
        <f t="shared" ref="AC131:AC194" si="53">IF(Q131="","",Q131)</f>
        <v/>
      </c>
      <c r="AD131" s="10" t="str">
        <f t="shared" ref="AD131:AD194" si="54">IF(Q131="","",(Y131-X131)/$BK$1)</f>
        <v/>
      </c>
      <c r="AE131" s="10" t="str">
        <f t="shared" ref="AE131:AE194" si="55">IF(Q131="","",(Z131-X131)/$BK$1)</f>
        <v/>
      </c>
      <c r="AF131" s="10" t="str">
        <f t="shared" ref="AF131:AF194" si="56">IF(Q131="","",(AA131-X131)/$BK$1)</f>
        <v/>
      </c>
      <c r="AG131"/>
      <c r="AH131" t="str">
        <f t="shared" ref="AH131:AH194" si="57">IF(Q131="","",IF(AA131&gt;=X131,U131,0))</f>
        <v/>
      </c>
      <c r="AI131" t="str">
        <f t="shared" ref="AI131:AI194" si="58">IF(Q131="","",IF(AA131&lt;X131,U131,0))</f>
        <v/>
      </c>
      <c r="AK131" cm="1">
        <f t="array" ref="AK131">IFERROR(IF(INDEX($A:$A,ROW())="","",INDEX($A:$A,ROW())),"")</f>
        <v>130</v>
      </c>
      <c r="AL131" t="str" cm="1">
        <f t="array" ref="AL131">IFERROR(INDEX(tblTrades[sol_invested],ROW()-1),"")</f>
        <v/>
      </c>
      <c r="AM131" s="6" t="str" cm="1">
        <f t="array" ref="AM131">IFERROR(INDEX(tblAnalysis[P&amp;L SOL],ROW()-1),"")</f>
        <v/>
      </c>
      <c r="AN131" t="str" cm="1">
        <f t="array" ref="AN131">IFERROR(IF(INDEX(tblTrades[sol_invested],ROW()-1)&gt;0.5,INDEX(tblAnalysis[Token],ROW()-1)&amp;" ("&amp;TEXT(INDEX(tblTrades[sol_invested],ROW()-1),"0.0")&amp;" SOL)",""),"")</f>
        <v/>
      </c>
      <c r="AO131" s="7" t="e" cm="1">
        <f t="array" ref="AO131">IF(INDEX(tblTrades[sol_invested],ROW()-1)&gt;0.5,INDEX(tblAnalysis[Cum P&amp;L SOL],ROW()-1),"")</f>
        <v>#REF!</v>
      </c>
      <c r="AP131" s="12" t="str" cm="1">
        <f t="array" ref="AP131">IFERROR(INDEX(tblAnalysis[Entry MC ($)],ROW()-1),"")</f>
        <v/>
      </c>
      <c r="AQ131" s="10" t="str" cm="1">
        <f t="array" ref="AQ131">IFERROR(INDEX(tblAnalysis[P&amp;L %],ROW()-1),"")</f>
        <v/>
      </c>
      <c r="AR131" t="str" cm="1">
        <f t="array" ref="AR131">IFERROR(INDEX(tblAnalysis[Hold Time (s)],ROW()-1),"")</f>
        <v/>
      </c>
      <c r="AS131" s="6" t="str" cm="1">
        <f t="array" ref="AS131">IFERROR(INDEX(tblAnalysis[P&amp;L SOL],ROW()-1),"")</f>
        <v/>
      </c>
      <c r="AT131"/>
      <c r="AY131" s="10"/>
      <c r="AZ131" s="10"/>
      <c r="BA131" s="6"/>
      <c r="BB131"/>
      <c r="BF131" t="str">
        <f t="shared" ref="BF131:BF194" si="59">IF(W131="","","("&amp;U131&amp;")")</f>
        <v/>
      </c>
      <c r="BG131" s="27" t="str">
        <f t="shared" ref="BG131:BG194" si="60">IF(W131="","",W131)</f>
        <v/>
      </c>
      <c r="BH131" t="str">
        <f t="shared" ref="BH131:BH194" si="61">IF(W131="","",-2.5)</f>
        <v/>
      </c>
      <c r="BL131" s="29" t="e">
        <f t="shared" ref="BL131:BL157" si="62">IF(ISNUMBER(G131),IF(G131&gt;0,G131,NA()),NA())</f>
        <v>#N/A</v>
      </c>
      <c r="BM131" s="29" t="e">
        <f t="shared" ref="BM131:BM157" si="63">IF(ISNUMBER(G131),IF(G131&lt;=0,G131,NA()),NA())</f>
        <v>#N/A</v>
      </c>
    </row>
    <row r="132" spans="1:65" x14ac:dyDescent="0.35">
      <c r="A132">
        <f t="shared" si="46"/>
        <v>131</v>
      </c>
      <c r="B132" t="e" cm="1">
        <f t="array" ref="B132">INDEX(tblTrades[token_name],ROW()-1)</f>
        <v>#REF!</v>
      </c>
      <c r="C132" s="27" t="e" cm="1">
        <f t="array" ref="C132">INDEX(tblTrades[entry_date],ROW()-1)</f>
        <v>#REF!</v>
      </c>
      <c r="D132" s="2" t="e" cm="1">
        <f t="array" ref="D132">INDEX(tblTrades[entry_mc_actual],ROW()-1)</f>
        <v>#REF!</v>
      </c>
      <c r="E132" s="2" t="e" cm="1">
        <f t="array" ref="E132">INDEX(tblTrades[exit_mc_actual],ROW()-1)</f>
        <v>#REF!</v>
      </c>
      <c r="F132" s="3" t="e" cm="1">
        <f t="array" ref="F132">INDEX(tblTrades[time_in_trade_seconds],ROW()-1)</f>
        <v>#REF!</v>
      </c>
      <c r="G132" s="4" t="str" cm="1">
        <f t="array" ref="G132">IFERROR(INDEX(tblTrades[pnl_percentage],ROW()-1)*1,"")</f>
        <v/>
      </c>
      <c r="H132" s="5" t="str" cm="1">
        <f t="array" ref="H132">IFERROR(INDEX(tblTrades[pnl_sol],ROW()-1)*1,"")</f>
        <v/>
      </c>
      <c r="I132" t="str">
        <f t="shared" si="47"/>
        <v/>
      </c>
      <c r="J132" t="str">
        <f t="shared" si="48"/>
        <v/>
      </c>
      <c r="K132" t="str">
        <f t="shared" si="49"/>
        <v/>
      </c>
      <c r="L132" s="20" t="str" cm="1">
        <f t="array" ref="L132">IFERROR(INDEX(tblTrades[sol_invested],ROW()-1),"")</f>
        <v/>
      </c>
      <c r="M132" s="1">
        <f>COUNTIFS(tblAnalysis[Token],tblAnalysis[[#This Row],[Token]])</f>
        <v>0</v>
      </c>
      <c r="N132" s="1">
        <f>COUNTIFS($B$2:B132,tblAnalysis[[#This Row],[Token]])</f>
        <v>0</v>
      </c>
      <c r="O132" s="5">
        <f>IFERROR(SUM($H$2:H132),"")</f>
        <v>0.40399999999999997</v>
      </c>
      <c r="P132" s="6"/>
      <c r="Q132" s="27"/>
      <c r="R132" s="6" t="str">
        <f>IF(Q132="","",SUMIFS(tblAnalysis[P&amp;L SOL],tblAnalysis[Date],Q132))</f>
        <v/>
      </c>
      <c r="S132" s="10" t="str">
        <f>IF(Q132="","",SUMIFS(tblAnalysis[P&amp;L %],tblAnalysis[Date],Q132))</f>
        <v/>
      </c>
      <c r="T132" s="6" t="str">
        <f>IF(Q132="","",IFERROR(SUM($R$2:R132),""))</f>
        <v/>
      </c>
      <c r="U132" t="str">
        <f>IF(Q132="","",COUNTIFS(tblAnalysis[Date],Q132))</f>
        <v/>
      </c>
      <c r="W132" s="27" t="str">
        <f t="shared" si="50"/>
        <v/>
      </c>
      <c r="X132" s="6" t="str">
        <f t="shared" si="51"/>
        <v/>
      </c>
      <c r="Y132" s="6" t="str">
        <f>IF(Q132="","",MAX(X132,_xlfn.MAXIFS(tblAnalysis[Cum P&amp;L SOL],tblAnalysis[Date],Q132)))</f>
        <v/>
      </c>
      <c r="Z132" s="6" t="str">
        <f>IF(Q132="","",MIN(X132,_xlfn.MINIFS(tblAnalysis[Cum P&amp;L SOL],tblAnalysis[Date],Q132)))</f>
        <v/>
      </c>
      <c r="AA132" s="6" t="str">
        <f t="shared" si="52"/>
        <v/>
      </c>
      <c r="AB132"/>
      <c r="AC132" s="27" t="str">
        <f t="shared" si="53"/>
        <v/>
      </c>
      <c r="AD132" s="10" t="str">
        <f t="shared" si="54"/>
        <v/>
      </c>
      <c r="AE132" s="10" t="str">
        <f t="shared" si="55"/>
        <v/>
      </c>
      <c r="AF132" s="10" t="str">
        <f t="shared" si="56"/>
        <v/>
      </c>
      <c r="AG132"/>
      <c r="AH132" t="str">
        <f t="shared" si="57"/>
        <v/>
      </c>
      <c r="AI132" t="str">
        <f t="shared" si="58"/>
        <v/>
      </c>
      <c r="AK132" cm="1">
        <f t="array" ref="AK132">IFERROR(IF(INDEX($A:$A,ROW())="","",INDEX($A:$A,ROW())),"")</f>
        <v>131</v>
      </c>
      <c r="AL132" t="str" cm="1">
        <f t="array" ref="AL132">IFERROR(INDEX(tblTrades[sol_invested],ROW()-1),"")</f>
        <v/>
      </c>
      <c r="AM132" s="6" t="str" cm="1">
        <f t="array" ref="AM132">IFERROR(INDEX(tblAnalysis[P&amp;L SOL],ROW()-1),"")</f>
        <v/>
      </c>
      <c r="AN132" t="str" cm="1">
        <f t="array" ref="AN132">IFERROR(IF(INDEX(tblTrades[sol_invested],ROW()-1)&gt;0.5,INDEX(tblAnalysis[Token],ROW()-1)&amp;" ("&amp;TEXT(INDEX(tblTrades[sol_invested],ROW()-1),"0.0")&amp;" SOL)",""),"")</f>
        <v/>
      </c>
      <c r="AO132" s="7" t="e" cm="1">
        <f t="array" ref="AO132">IF(INDEX(tblTrades[sol_invested],ROW()-1)&gt;0.5,INDEX(tblAnalysis[Cum P&amp;L SOL],ROW()-1),"")</f>
        <v>#REF!</v>
      </c>
      <c r="AP132" s="12" t="str" cm="1">
        <f t="array" ref="AP132">IFERROR(INDEX(tblAnalysis[Entry MC ($)],ROW()-1),"")</f>
        <v/>
      </c>
      <c r="AQ132" s="10" t="str" cm="1">
        <f t="array" ref="AQ132">IFERROR(INDEX(tblAnalysis[P&amp;L %],ROW()-1),"")</f>
        <v/>
      </c>
      <c r="AR132" t="str" cm="1">
        <f t="array" ref="AR132">IFERROR(INDEX(tblAnalysis[Hold Time (s)],ROW()-1),"")</f>
        <v/>
      </c>
      <c r="AS132" s="6" t="str" cm="1">
        <f t="array" ref="AS132">IFERROR(INDEX(tblAnalysis[P&amp;L SOL],ROW()-1),"")</f>
        <v/>
      </c>
      <c r="AT132"/>
      <c r="AY132" s="10"/>
      <c r="AZ132" s="10"/>
      <c r="BA132" s="6"/>
      <c r="BB132"/>
      <c r="BF132" t="str">
        <f t="shared" si="59"/>
        <v/>
      </c>
      <c r="BG132" s="27" t="str">
        <f t="shared" si="60"/>
        <v/>
      </c>
      <c r="BH132" t="str">
        <f t="shared" si="61"/>
        <v/>
      </c>
      <c r="BL132" s="29" t="e">
        <f t="shared" si="62"/>
        <v>#N/A</v>
      </c>
      <c r="BM132" s="29" t="e">
        <f t="shared" si="63"/>
        <v>#N/A</v>
      </c>
    </row>
    <row r="133" spans="1:65" x14ac:dyDescent="0.35">
      <c r="A133">
        <f t="shared" si="46"/>
        <v>132</v>
      </c>
      <c r="B133" t="e" cm="1">
        <f t="array" ref="B133">INDEX(tblTrades[token_name],ROW()-1)</f>
        <v>#REF!</v>
      </c>
      <c r="C133" s="27" t="e" cm="1">
        <f t="array" ref="C133">INDEX(tblTrades[entry_date],ROW()-1)</f>
        <v>#REF!</v>
      </c>
      <c r="D133" s="2" t="e" cm="1">
        <f t="array" ref="D133">INDEX(tblTrades[entry_mc_actual],ROW()-1)</f>
        <v>#REF!</v>
      </c>
      <c r="E133" s="2" t="e" cm="1">
        <f t="array" ref="E133">INDEX(tblTrades[exit_mc_actual],ROW()-1)</f>
        <v>#REF!</v>
      </c>
      <c r="F133" s="3" t="e" cm="1">
        <f t="array" ref="F133">INDEX(tblTrades[time_in_trade_seconds],ROW()-1)</f>
        <v>#REF!</v>
      </c>
      <c r="G133" s="4" t="str" cm="1">
        <f t="array" ref="G133">IFERROR(INDEX(tblTrades[pnl_percentage],ROW()-1)*1,"")</f>
        <v/>
      </c>
      <c r="H133" s="5" t="str" cm="1">
        <f t="array" ref="H133">IFERROR(INDEX(tblTrades[pnl_sol],ROW()-1)*1,"")</f>
        <v/>
      </c>
      <c r="I133" t="str">
        <f t="shared" si="47"/>
        <v/>
      </c>
      <c r="J133" t="str">
        <f t="shared" si="48"/>
        <v/>
      </c>
      <c r="K133" t="str">
        <f t="shared" si="49"/>
        <v/>
      </c>
      <c r="L133" s="20" t="str" cm="1">
        <f t="array" ref="L133">IFERROR(INDEX(tblTrades[sol_invested],ROW()-1),"")</f>
        <v/>
      </c>
      <c r="M133" s="1">
        <f>COUNTIFS(tblAnalysis[Token],tblAnalysis[[#This Row],[Token]])</f>
        <v>0</v>
      </c>
      <c r="N133" s="1">
        <f>COUNTIFS($B$2:B133,tblAnalysis[[#This Row],[Token]])</f>
        <v>0</v>
      </c>
      <c r="O133" s="5">
        <f>IFERROR(SUM($H$2:H133),"")</f>
        <v>0.40399999999999997</v>
      </c>
      <c r="P133" s="6"/>
      <c r="Q133" s="27"/>
      <c r="R133" s="6" t="str">
        <f>IF(Q133="","",SUMIFS(tblAnalysis[P&amp;L SOL],tblAnalysis[Date],Q133))</f>
        <v/>
      </c>
      <c r="S133" s="10" t="str">
        <f>IF(Q133="","",SUMIFS(tblAnalysis[P&amp;L %],tblAnalysis[Date],Q133))</f>
        <v/>
      </c>
      <c r="T133" s="6" t="str">
        <f>IF(Q133="","",IFERROR(SUM($R$2:R133),""))</f>
        <v/>
      </c>
      <c r="U133" t="str">
        <f>IF(Q133="","",COUNTIFS(tblAnalysis[Date],Q133))</f>
        <v/>
      </c>
      <c r="W133" s="27" t="str">
        <f t="shared" si="50"/>
        <v/>
      </c>
      <c r="X133" s="6" t="str">
        <f t="shared" si="51"/>
        <v/>
      </c>
      <c r="Y133" s="6" t="str">
        <f>IF(Q133="","",MAX(X133,_xlfn.MAXIFS(tblAnalysis[Cum P&amp;L SOL],tblAnalysis[Date],Q133)))</f>
        <v/>
      </c>
      <c r="Z133" s="6" t="str">
        <f>IF(Q133="","",MIN(X133,_xlfn.MINIFS(tblAnalysis[Cum P&amp;L SOL],tblAnalysis[Date],Q133)))</f>
        <v/>
      </c>
      <c r="AA133" s="6" t="str">
        <f t="shared" si="52"/>
        <v/>
      </c>
      <c r="AB133"/>
      <c r="AC133" s="27" t="str">
        <f t="shared" si="53"/>
        <v/>
      </c>
      <c r="AD133" s="10" t="str">
        <f t="shared" si="54"/>
        <v/>
      </c>
      <c r="AE133" s="10" t="str">
        <f t="shared" si="55"/>
        <v/>
      </c>
      <c r="AF133" s="10" t="str">
        <f t="shared" si="56"/>
        <v/>
      </c>
      <c r="AG133"/>
      <c r="AH133" t="str">
        <f t="shared" si="57"/>
        <v/>
      </c>
      <c r="AI133" t="str">
        <f t="shared" si="58"/>
        <v/>
      </c>
      <c r="AK133" cm="1">
        <f t="array" ref="AK133">IFERROR(IF(INDEX($A:$A,ROW())="","",INDEX($A:$A,ROW())),"")</f>
        <v>132</v>
      </c>
      <c r="AL133" t="str" cm="1">
        <f t="array" ref="AL133">IFERROR(INDEX(tblTrades[sol_invested],ROW()-1),"")</f>
        <v/>
      </c>
      <c r="AM133" s="6" t="str" cm="1">
        <f t="array" ref="AM133">IFERROR(INDEX(tblAnalysis[P&amp;L SOL],ROW()-1),"")</f>
        <v/>
      </c>
      <c r="AN133" t="str" cm="1">
        <f t="array" ref="AN133">IFERROR(IF(INDEX(tblTrades[sol_invested],ROW()-1)&gt;0.5,INDEX(tblAnalysis[Token],ROW()-1)&amp;" ("&amp;TEXT(INDEX(tblTrades[sol_invested],ROW()-1),"0.0")&amp;" SOL)",""),"")</f>
        <v/>
      </c>
      <c r="AO133" s="7" t="e" cm="1">
        <f t="array" ref="AO133">IF(INDEX(tblTrades[sol_invested],ROW()-1)&gt;0.5,INDEX(tblAnalysis[Cum P&amp;L SOL],ROW()-1),"")</f>
        <v>#REF!</v>
      </c>
      <c r="AP133" s="12" t="str" cm="1">
        <f t="array" ref="AP133">IFERROR(INDEX(tblAnalysis[Entry MC ($)],ROW()-1),"")</f>
        <v/>
      </c>
      <c r="AQ133" s="10" t="str" cm="1">
        <f t="array" ref="AQ133">IFERROR(INDEX(tblAnalysis[P&amp;L %],ROW()-1),"")</f>
        <v/>
      </c>
      <c r="AR133" t="str" cm="1">
        <f t="array" ref="AR133">IFERROR(INDEX(tblAnalysis[Hold Time (s)],ROW()-1),"")</f>
        <v/>
      </c>
      <c r="AS133" s="6" t="str" cm="1">
        <f t="array" ref="AS133">IFERROR(INDEX(tblAnalysis[P&amp;L SOL],ROW()-1),"")</f>
        <v/>
      </c>
      <c r="AT133"/>
      <c r="AY133" s="10"/>
      <c r="AZ133" s="10"/>
      <c r="BA133" s="6"/>
      <c r="BB133"/>
      <c r="BF133" t="str">
        <f t="shared" si="59"/>
        <v/>
      </c>
      <c r="BG133" s="27" t="str">
        <f t="shared" si="60"/>
        <v/>
      </c>
      <c r="BH133" t="str">
        <f t="shared" si="61"/>
        <v/>
      </c>
      <c r="BL133" s="29" t="e">
        <f t="shared" si="62"/>
        <v>#N/A</v>
      </c>
      <c r="BM133" s="29" t="e">
        <f t="shared" si="63"/>
        <v>#N/A</v>
      </c>
    </row>
    <row r="134" spans="1:65" x14ac:dyDescent="0.35">
      <c r="A134">
        <f t="shared" si="46"/>
        <v>133</v>
      </c>
      <c r="B134" t="e" cm="1">
        <f t="array" ref="B134">INDEX(tblTrades[token_name],ROW()-1)</f>
        <v>#REF!</v>
      </c>
      <c r="C134" s="27" t="e" cm="1">
        <f t="array" ref="C134">INDEX(tblTrades[entry_date],ROW()-1)</f>
        <v>#REF!</v>
      </c>
      <c r="D134" s="2" t="e" cm="1">
        <f t="array" ref="D134">INDEX(tblTrades[entry_mc_actual],ROW()-1)</f>
        <v>#REF!</v>
      </c>
      <c r="E134" s="2" t="e" cm="1">
        <f t="array" ref="E134">INDEX(tblTrades[exit_mc_actual],ROW()-1)</f>
        <v>#REF!</v>
      </c>
      <c r="F134" s="3" t="e" cm="1">
        <f t="array" ref="F134">INDEX(tblTrades[time_in_trade_seconds],ROW()-1)</f>
        <v>#REF!</v>
      </c>
      <c r="G134" s="4" t="str" cm="1">
        <f t="array" ref="G134">IFERROR(INDEX(tblTrades[pnl_percentage],ROW()-1)*1,"")</f>
        <v/>
      </c>
      <c r="H134" s="5" t="str" cm="1">
        <f t="array" ref="H134">IFERROR(INDEX(tblTrades[pnl_sol],ROW()-1)*1,"")</f>
        <v/>
      </c>
      <c r="I134" t="str">
        <f t="shared" si="47"/>
        <v/>
      </c>
      <c r="J134" t="str">
        <f t="shared" si="48"/>
        <v/>
      </c>
      <c r="K134" t="str">
        <f t="shared" si="49"/>
        <v/>
      </c>
      <c r="L134" s="20" t="str" cm="1">
        <f t="array" ref="L134">IFERROR(INDEX(tblTrades[sol_invested],ROW()-1),"")</f>
        <v/>
      </c>
      <c r="M134" s="1">
        <f>COUNTIFS(tblAnalysis[Token],tblAnalysis[[#This Row],[Token]])</f>
        <v>0</v>
      </c>
      <c r="N134" s="1">
        <f>COUNTIFS($B$2:B134,tblAnalysis[[#This Row],[Token]])</f>
        <v>0</v>
      </c>
      <c r="O134" s="5">
        <f>IFERROR(SUM($H$2:H134),"")</f>
        <v>0.40399999999999997</v>
      </c>
      <c r="P134" s="6"/>
      <c r="Q134" s="27"/>
      <c r="R134" s="6" t="str">
        <f>IF(Q134="","",SUMIFS(tblAnalysis[P&amp;L SOL],tblAnalysis[Date],Q134))</f>
        <v/>
      </c>
      <c r="S134" s="10" t="str">
        <f>IF(Q134="","",SUMIFS(tblAnalysis[P&amp;L %],tblAnalysis[Date],Q134))</f>
        <v/>
      </c>
      <c r="T134" s="6" t="str">
        <f>IF(Q134="","",IFERROR(SUM($R$2:R134),""))</f>
        <v/>
      </c>
      <c r="U134" t="str">
        <f>IF(Q134="","",COUNTIFS(tblAnalysis[Date],Q134))</f>
        <v/>
      </c>
      <c r="W134" s="27" t="str">
        <f t="shared" si="50"/>
        <v/>
      </c>
      <c r="X134" s="6" t="str">
        <f t="shared" si="51"/>
        <v/>
      </c>
      <c r="Y134" s="6" t="str">
        <f>IF(Q134="","",MAX(X134,_xlfn.MAXIFS(tblAnalysis[Cum P&amp;L SOL],tblAnalysis[Date],Q134)))</f>
        <v/>
      </c>
      <c r="Z134" s="6" t="str">
        <f>IF(Q134="","",MIN(X134,_xlfn.MINIFS(tblAnalysis[Cum P&amp;L SOL],tblAnalysis[Date],Q134)))</f>
        <v/>
      </c>
      <c r="AA134" s="6" t="str">
        <f t="shared" si="52"/>
        <v/>
      </c>
      <c r="AB134"/>
      <c r="AC134" s="27" t="str">
        <f t="shared" si="53"/>
        <v/>
      </c>
      <c r="AD134" s="10" t="str">
        <f t="shared" si="54"/>
        <v/>
      </c>
      <c r="AE134" s="10" t="str">
        <f t="shared" si="55"/>
        <v/>
      </c>
      <c r="AF134" s="10" t="str">
        <f t="shared" si="56"/>
        <v/>
      </c>
      <c r="AG134"/>
      <c r="AH134" t="str">
        <f t="shared" si="57"/>
        <v/>
      </c>
      <c r="AI134" t="str">
        <f t="shared" si="58"/>
        <v/>
      </c>
      <c r="AK134" cm="1">
        <f t="array" ref="AK134">IFERROR(IF(INDEX($A:$A,ROW())="","",INDEX($A:$A,ROW())),"")</f>
        <v>133</v>
      </c>
      <c r="AL134" t="str" cm="1">
        <f t="array" ref="AL134">IFERROR(INDEX(tblTrades[sol_invested],ROW()-1),"")</f>
        <v/>
      </c>
      <c r="AM134" s="6" t="str" cm="1">
        <f t="array" ref="AM134">IFERROR(INDEX(tblAnalysis[P&amp;L SOL],ROW()-1),"")</f>
        <v/>
      </c>
      <c r="AN134" t="str" cm="1">
        <f t="array" ref="AN134">IFERROR(IF(INDEX(tblTrades[sol_invested],ROW()-1)&gt;0.5,INDEX(tblAnalysis[Token],ROW()-1)&amp;" ("&amp;TEXT(INDEX(tblTrades[sol_invested],ROW()-1),"0.0")&amp;" SOL)",""),"")</f>
        <v/>
      </c>
      <c r="AO134" s="7" t="e" cm="1">
        <f t="array" ref="AO134">IF(INDEX(tblTrades[sol_invested],ROW()-1)&gt;0.5,INDEX(tblAnalysis[Cum P&amp;L SOL],ROW()-1),"")</f>
        <v>#REF!</v>
      </c>
      <c r="AP134" s="12" t="str" cm="1">
        <f t="array" ref="AP134">IFERROR(INDEX(tblAnalysis[Entry MC ($)],ROW()-1),"")</f>
        <v/>
      </c>
      <c r="AQ134" s="10" t="str" cm="1">
        <f t="array" ref="AQ134">IFERROR(INDEX(tblAnalysis[P&amp;L %],ROW()-1),"")</f>
        <v/>
      </c>
      <c r="AR134" t="str" cm="1">
        <f t="array" ref="AR134">IFERROR(INDEX(tblAnalysis[Hold Time (s)],ROW()-1),"")</f>
        <v/>
      </c>
      <c r="AS134" s="6" t="str" cm="1">
        <f t="array" ref="AS134">IFERROR(INDEX(tblAnalysis[P&amp;L SOL],ROW()-1),"")</f>
        <v/>
      </c>
      <c r="AT134"/>
      <c r="AY134" s="10"/>
      <c r="AZ134" s="10"/>
      <c r="BA134" s="6"/>
      <c r="BB134"/>
      <c r="BF134" t="str">
        <f t="shared" si="59"/>
        <v/>
      </c>
      <c r="BG134" s="27" t="str">
        <f t="shared" si="60"/>
        <v/>
      </c>
      <c r="BH134" t="str">
        <f t="shared" si="61"/>
        <v/>
      </c>
      <c r="BL134" s="29" t="e">
        <f t="shared" si="62"/>
        <v>#N/A</v>
      </c>
      <c r="BM134" s="29" t="e">
        <f t="shared" si="63"/>
        <v>#N/A</v>
      </c>
    </row>
    <row r="135" spans="1:65" x14ac:dyDescent="0.35">
      <c r="A135">
        <f t="shared" si="46"/>
        <v>134</v>
      </c>
      <c r="B135" t="e" cm="1">
        <f t="array" ref="B135">INDEX(tblTrades[token_name],ROW()-1)</f>
        <v>#REF!</v>
      </c>
      <c r="C135" s="27" t="e" cm="1">
        <f t="array" ref="C135">INDEX(tblTrades[entry_date],ROW()-1)</f>
        <v>#REF!</v>
      </c>
      <c r="D135" s="2" t="e" cm="1">
        <f t="array" ref="D135">INDEX(tblTrades[entry_mc_actual],ROW()-1)</f>
        <v>#REF!</v>
      </c>
      <c r="E135" s="2" t="e" cm="1">
        <f t="array" ref="E135">INDEX(tblTrades[exit_mc_actual],ROW()-1)</f>
        <v>#REF!</v>
      </c>
      <c r="F135" s="3" t="e" cm="1">
        <f t="array" ref="F135">INDEX(tblTrades[time_in_trade_seconds],ROW()-1)</f>
        <v>#REF!</v>
      </c>
      <c r="G135" s="4" t="str" cm="1">
        <f t="array" ref="G135">IFERROR(INDEX(tblTrades[pnl_percentage],ROW()-1)*1,"")</f>
        <v/>
      </c>
      <c r="H135" s="5" t="str" cm="1">
        <f t="array" ref="H135">IFERROR(INDEX(tblTrades[pnl_sol],ROW()-1)*1,"")</f>
        <v/>
      </c>
      <c r="I135" t="str">
        <f t="shared" si="47"/>
        <v/>
      </c>
      <c r="J135" t="str">
        <f t="shared" si="48"/>
        <v/>
      </c>
      <c r="K135" t="str">
        <f t="shared" si="49"/>
        <v/>
      </c>
      <c r="L135" s="20" t="str" cm="1">
        <f t="array" ref="L135">IFERROR(INDEX(tblTrades[sol_invested],ROW()-1),"")</f>
        <v/>
      </c>
      <c r="M135" s="1">
        <f>COUNTIFS(tblAnalysis[Token],tblAnalysis[[#This Row],[Token]])</f>
        <v>0</v>
      </c>
      <c r="N135" s="1">
        <f>COUNTIFS($B$2:B135,tblAnalysis[[#This Row],[Token]])</f>
        <v>0</v>
      </c>
      <c r="O135" s="5">
        <f>IFERROR(SUM($H$2:H135),"")</f>
        <v>0.40399999999999997</v>
      </c>
      <c r="P135" s="6"/>
      <c r="Q135" s="27"/>
      <c r="R135" s="6" t="str">
        <f>IF(Q135="","",SUMIFS(tblAnalysis[P&amp;L SOL],tblAnalysis[Date],Q135))</f>
        <v/>
      </c>
      <c r="S135" s="10" t="str">
        <f>IF(Q135="","",SUMIFS(tblAnalysis[P&amp;L %],tblAnalysis[Date],Q135))</f>
        <v/>
      </c>
      <c r="T135" s="6" t="str">
        <f>IF(Q135="","",IFERROR(SUM($R$2:R135),""))</f>
        <v/>
      </c>
      <c r="U135" t="str">
        <f>IF(Q135="","",COUNTIFS(tblAnalysis[Date],Q135))</f>
        <v/>
      </c>
      <c r="W135" s="27" t="str">
        <f t="shared" si="50"/>
        <v/>
      </c>
      <c r="X135" s="6" t="str">
        <f t="shared" si="51"/>
        <v/>
      </c>
      <c r="Y135" s="6" t="str">
        <f>IF(Q135="","",MAX(X135,_xlfn.MAXIFS(tblAnalysis[Cum P&amp;L SOL],tblAnalysis[Date],Q135)))</f>
        <v/>
      </c>
      <c r="Z135" s="6" t="str">
        <f>IF(Q135="","",MIN(X135,_xlfn.MINIFS(tblAnalysis[Cum P&amp;L SOL],tblAnalysis[Date],Q135)))</f>
        <v/>
      </c>
      <c r="AA135" s="6" t="str">
        <f t="shared" si="52"/>
        <v/>
      </c>
      <c r="AB135"/>
      <c r="AC135" s="27" t="str">
        <f t="shared" si="53"/>
        <v/>
      </c>
      <c r="AD135" s="10" t="str">
        <f t="shared" si="54"/>
        <v/>
      </c>
      <c r="AE135" s="10" t="str">
        <f t="shared" si="55"/>
        <v/>
      </c>
      <c r="AF135" s="10" t="str">
        <f t="shared" si="56"/>
        <v/>
      </c>
      <c r="AG135"/>
      <c r="AH135" t="str">
        <f t="shared" si="57"/>
        <v/>
      </c>
      <c r="AI135" t="str">
        <f t="shared" si="58"/>
        <v/>
      </c>
      <c r="AK135" cm="1">
        <f t="array" ref="AK135">IFERROR(IF(INDEX($A:$A,ROW())="","",INDEX($A:$A,ROW())),"")</f>
        <v>134</v>
      </c>
      <c r="AL135" t="str" cm="1">
        <f t="array" ref="AL135">IFERROR(INDEX(tblTrades[sol_invested],ROW()-1),"")</f>
        <v/>
      </c>
      <c r="AM135" s="6" t="str" cm="1">
        <f t="array" ref="AM135">IFERROR(INDEX(tblAnalysis[P&amp;L SOL],ROW()-1),"")</f>
        <v/>
      </c>
      <c r="AN135" t="str" cm="1">
        <f t="array" ref="AN135">IFERROR(IF(INDEX(tblTrades[sol_invested],ROW()-1)&gt;0.5,INDEX(tblAnalysis[Token],ROW()-1)&amp;" ("&amp;TEXT(INDEX(tblTrades[sol_invested],ROW()-1),"0.0")&amp;" SOL)",""),"")</f>
        <v/>
      </c>
      <c r="AO135" s="7" t="e" cm="1">
        <f t="array" ref="AO135">IF(INDEX(tblTrades[sol_invested],ROW()-1)&gt;0.5,INDEX(tblAnalysis[Cum P&amp;L SOL],ROW()-1),"")</f>
        <v>#REF!</v>
      </c>
      <c r="AP135" s="12" t="str" cm="1">
        <f t="array" ref="AP135">IFERROR(INDEX(tblAnalysis[Entry MC ($)],ROW()-1),"")</f>
        <v/>
      </c>
      <c r="AQ135" s="10" t="str" cm="1">
        <f t="array" ref="AQ135">IFERROR(INDEX(tblAnalysis[P&amp;L %],ROW()-1),"")</f>
        <v/>
      </c>
      <c r="AR135" t="str" cm="1">
        <f t="array" ref="AR135">IFERROR(INDEX(tblAnalysis[Hold Time (s)],ROW()-1),"")</f>
        <v/>
      </c>
      <c r="AS135" s="6" t="str" cm="1">
        <f t="array" ref="AS135">IFERROR(INDEX(tblAnalysis[P&amp;L SOL],ROW()-1),"")</f>
        <v/>
      </c>
      <c r="AT135"/>
      <c r="AY135" s="10"/>
      <c r="AZ135" s="10"/>
      <c r="BA135" s="6"/>
      <c r="BB135"/>
      <c r="BF135" t="str">
        <f t="shared" si="59"/>
        <v/>
      </c>
      <c r="BG135" s="27" t="str">
        <f t="shared" si="60"/>
        <v/>
      </c>
      <c r="BH135" t="str">
        <f t="shared" si="61"/>
        <v/>
      </c>
      <c r="BL135" s="29" t="e">
        <f t="shared" si="62"/>
        <v>#N/A</v>
      </c>
      <c r="BM135" s="29" t="e">
        <f t="shared" si="63"/>
        <v>#N/A</v>
      </c>
    </row>
    <row r="136" spans="1:65" x14ac:dyDescent="0.35">
      <c r="A136">
        <f t="shared" si="46"/>
        <v>135</v>
      </c>
      <c r="B136" t="e" cm="1">
        <f t="array" ref="B136">INDEX(tblTrades[token_name],ROW()-1)</f>
        <v>#REF!</v>
      </c>
      <c r="C136" s="27" t="e" cm="1">
        <f t="array" ref="C136">INDEX(tblTrades[entry_date],ROW()-1)</f>
        <v>#REF!</v>
      </c>
      <c r="D136" s="2" t="e" cm="1">
        <f t="array" ref="D136">INDEX(tblTrades[entry_mc_actual],ROW()-1)</f>
        <v>#REF!</v>
      </c>
      <c r="E136" s="2" t="e" cm="1">
        <f t="array" ref="E136">INDEX(tblTrades[exit_mc_actual],ROW()-1)</f>
        <v>#REF!</v>
      </c>
      <c r="F136" s="3" t="e" cm="1">
        <f t="array" ref="F136">INDEX(tblTrades[time_in_trade_seconds],ROW()-1)</f>
        <v>#REF!</v>
      </c>
      <c r="G136" s="4" t="str" cm="1">
        <f t="array" ref="G136">IFERROR(INDEX(tblTrades[pnl_percentage],ROW()-1)*1,"")</f>
        <v/>
      </c>
      <c r="H136" s="5" t="str" cm="1">
        <f t="array" ref="H136">IFERROR(INDEX(tblTrades[pnl_sol],ROW()-1)*1,"")</f>
        <v/>
      </c>
      <c r="I136" t="str">
        <f t="shared" si="47"/>
        <v/>
      </c>
      <c r="J136" t="str">
        <f t="shared" si="48"/>
        <v/>
      </c>
      <c r="K136" t="str">
        <f t="shared" si="49"/>
        <v/>
      </c>
      <c r="L136" s="20" t="str" cm="1">
        <f t="array" ref="L136">IFERROR(INDEX(tblTrades[sol_invested],ROW()-1),"")</f>
        <v/>
      </c>
      <c r="M136" s="1">
        <f>COUNTIFS(tblAnalysis[Token],tblAnalysis[[#This Row],[Token]])</f>
        <v>0</v>
      </c>
      <c r="N136" s="1">
        <f>COUNTIFS($B$2:B136,tblAnalysis[[#This Row],[Token]])</f>
        <v>0</v>
      </c>
      <c r="O136" s="5">
        <f>IFERROR(SUM($H$2:H136),"")</f>
        <v>0.40399999999999997</v>
      </c>
      <c r="P136" s="6"/>
      <c r="Q136" s="27"/>
      <c r="R136" s="6" t="str">
        <f>IF(Q136="","",SUMIFS(tblAnalysis[P&amp;L SOL],tblAnalysis[Date],Q136))</f>
        <v/>
      </c>
      <c r="S136" s="10" t="str">
        <f>IF(Q136="","",SUMIFS(tblAnalysis[P&amp;L %],tblAnalysis[Date],Q136))</f>
        <v/>
      </c>
      <c r="T136" s="6" t="str">
        <f>IF(Q136="","",IFERROR(SUM($R$2:R136),""))</f>
        <v/>
      </c>
      <c r="U136" t="str">
        <f>IF(Q136="","",COUNTIFS(tblAnalysis[Date],Q136))</f>
        <v/>
      </c>
      <c r="W136" s="27" t="str">
        <f t="shared" si="50"/>
        <v/>
      </c>
      <c r="X136" s="6" t="str">
        <f t="shared" si="51"/>
        <v/>
      </c>
      <c r="Y136" s="6" t="str">
        <f>IF(Q136="","",MAX(X136,_xlfn.MAXIFS(tblAnalysis[Cum P&amp;L SOL],tblAnalysis[Date],Q136)))</f>
        <v/>
      </c>
      <c r="Z136" s="6" t="str">
        <f>IF(Q136="","",MIN(X136,_xlfn.MINIFS(tblAnalysis[Cum P&amp;L SOL],tblAnalysis[Date],Q136)))</f>
        <v/>
      </c>
      <c r="AA136" s="6" t="str">
        <f t="shared" si="52"/>
        <v/>
      </c>
      <c r="AB136"/>
      <c r="AC136" s="27" t="str">
        <f t="shared" si="53"/>
        <v/>
      </c>
      <c r="AD136" s="10" t="str">
        <f t="shared" si="54"/>
        <v/>
      </c>
      <c r="AE136" s="10" t="str">
        <f t="shared" si="55"/>
        <v/>
      </c>
      <c r="AF136" s="10" t="str">
        <f t="shared" si="56"/>
        <v/>
      </c>
      <c r="AG136"/>
      <c r="AH136" t="str">
        <f t="shared" si="57"/>
        <v/>
      </c>
      <c r="AI136" t="str">
        <f t="shared" si="58"/>
        <v/>
      </c>
      <c r="AK136" cm="1">
        <f t="array" ref="AK136">IFERROR(IF(INDEX($A:$A,ROW())="","",INDEX($A:$A,ROW())),"")</f>
        <v>135</v>
      </c>
      <c r="AL136" t="str" cm="1">
        <f t="array" ref="AL136">IFERROR(INDEX(tblTrades[sol_invested],ROW()-1),"")</f>
        <v/>
      </c>
      <c r="AM136" s="6" t="str" cm="1">
        <f t="array" ref="AM136">IFERROR(INDEX(tblAnalysis[P&amp;L SOL],ROW()-1),"")</f>
        <v/>
      </c>
      <c r="AN136" t="str" cm="1">
        <f t="array" ref="AN136">IFERROR(IF(INDEX(tblTrades[sol_invested],ROW()-1)&gt;0.5,INDEX(tblAnalysis[Token],ROW()-1)&amp;" ("&amp;TEXT(INDEX(tblTrades[sol_invested],ROW()-1),"0.0")&amp;" SOL)",""),"")</f>
        <v/>
      </c>
      <c r="AO136" s="7" t="e" cm="1">
        <f t="array" ref="AO136">IF(INDEX(tblTrades[sol_invested],ROW()-1)&gt;0.5,INDEX(tblAnalysis[Cum P&amp;L SOL],ROW()-1),"")</f>
        <v>#REF!</v>
      </c>
      <c r="AP136" s="12" t="str" cm="1">
        <f t="array" ref="AP136">IFERROR(INDEX(tblAnalysis[Entry MC ($)],ROW()-1),"")</f>
        <v/>
      </c>
      <c r="AQ136" s="10" t="str" cm="1">
        <f t="array" ref="AQ136">IFERROR(INDEX(tblAnalysis[P&amp;L %],ROW()-1),"")</f>
        <v/>
      </c>
      <c r="AR136" t="str" cm="1">
        <f t="array" ref="AR136">IFERROR(INDEX(tblAnalysis[Hold Time (s)],ROW()-1),"")</f>
        <v/>
      </c>
      <c r="AS136" s="6" t="str" cm="1">
        <f t="array" ref="AS136">IFERROR(INDEX(tblAnalysis[P&amp;L SOL],ROW()-1),"")</f>
        <v/>
      </c>
      <c r="AT136"/>
      <c r="AY136" s="10"/>
      <c r="AZ136" s="10"/>
      <c r="BA136" s="6"/>
      <c r="BB136"/>
      <c r="BF136" t="str">
        <f t="shared" si="59"/>
        <v/>
      </c>
      <c r="BG136" s="27" t="str">
        <f t="shared" si="60"/>
        <v/>
      </c>
      <c r="BH136" t="str">
        <f t="shared" si="61"/>
        <v/>
      </c>
      <c r="BL136" s="29" t="e">
        <f t="shared" si="62"/>
        <v>#N/A</v>
      </c>
      <c r="BM136" s="29" t="e">
        <f t="shared" si="63"/>
        <v>#N/A</v>
      </c>
    </row>
    <row r="137" spans="1:65" x14ac:dyDescent="0.35">
      <c r="A137">
        <f t="shared" si="46"/>
        <v>136</v>
      </c>
      <c r="B137" t="e" cm="1">
        <f t="array" ref="B137">INDEX(tblTrades[token_name],ROW()-1)</f>
        <v>#REF!</v>
      </c>
      <c r="C137" s="27" t="e" cm="1">
        <f t="array" ref="C137">INDEX(tblTrades[entry_date],ROW()-1)</f>
        <v>#REF!</v>
      </c>
      <c r="D137" s="2" t="e" cm="1">
        <f t="array" ref="D137">INDEX(tblTrades[entry_mc_actual],ROW()-1)</f>
        <v>#REF!</v>
      </c>
      <c r="E137" s="2" t="e" cm="1">
        <f t="array" ref="E137">INDEX(tblTrades[exit_mc_actual],ROW()-1)</f>
        <v>#REF!</v>
      </c>
      <c r="F137" s="3" t="e" cm="1">
        <f t="array" ref="F137">INDEX(tblTrades[time_in_trade_seconds],ROW()-1)</f>
        <v>#REF!</v>
      </c>
      <c r="G137" s="4" t="str" cm="1">
        <f t="array" ref="G137">IFERROR(INDEX(tblTrades[pnl_percentage],ROW()-1)*1,"")</f>
        <v/>
      </c>
      <c r="H137" s="5" t="str" cm="1">
        <f t="array" ref="H137">IFERROR(INDEX(tblTrades[pnl_sol],ROW()-1)*1,"")</f>
        <v/>
      </c>
      <c r="I137" t="str">
        <f t="shared" si="47"/>
        <v/>
      </c>
      <c r="J137" t="str">
        <f t="shared" si="48"/>
        <v/>
      </c>
      <c r="K137" t="str">
        <f t="shared" si="49"/>
        <v/>
      </c>
      <c r="L137" s="20" t="str" cm="1">
        <f t="array" ref="L137">IFERROR(INDEX(tblTrades[sol_invested],ROW()-1),"")</f>
        <v/>
      </c>
      <c r="M137" s="1">
        <f>COUNTIFS(tblAnalysis[Token],tblAnalysis[[#This Row],[Token]])</f>
        <v>0</v>
      </c>
      <c r="N137" s="1">
        <f>COUNTIFS($B$2:B137,tblAnalysis[[#This Row],[Token]])</f>
        <v>0</v>
      </c>
      <c r="O137" s="5">
        <f>IFERROR(SUM($H$2:H137),"")</f>
        <v>0.40399999999999997</v>
      </c>
      <c r="P137" s="6"/>
      <c r="Q137" s="27"/>
      <c r="R137" s="6" t="str">
        <f>IF(Q137="","",SUMIFS(tblAnalysis[P&amp;L SOL],tblAnalysis[Date],Q137))</f>
        <v/>
      </c>
      <c r="S137" s="10" t="str">
        <f>IF(Q137="","",SUMIFS(tblAnalysis[P&amp;L %],tblAnalysis[Date],Q137))</f>
        <v/>
      </c>
      <c r="T137" s="6" t="str">
        <f>IF(Q137="","",IFERROR(SUM($R$2:R137),""))</f>
        <v/>
      </c>
      <c r="U137" t="str">
        <f>IF(Q137="","",COUNTIFS(tblAnalysis[Date],Q137))</f>
        <v/>
      </c>
      <c r="W137" s="27" t="str">
        <f t="shared" si="50"/>
        <v/>
      </c>
      <c r="X137" s="6" t="str">
        <f t="shared" si="51"/>
        <v/>
      </c>
      <c r="Y137" s="6" t="str">
        <f>IF(Q137="","",MAX(X137,_xlfn.MAXIFS(tblAnalysis[Cum P&amp;L SOL],tblAnalysis[Date],Q137)))</f>
        <v/>
      </c>
      <c r="Z137" s="6" t="str">
        <f>IF(Q137="","",MIN(X137,_xlfn.MINIFS(tblAnalysis[Cum P&amp;L SOL],tblAnalysis[Date],Q137)))</f>
        <v/>
      </c>
      <c r="AA137" s="6" t="str">
        <f t="shared" si="52"/>
        <v/>
      </c>
      <c r="AB137"/>
      <c r="AC137" s="27" t="str">
        <f t="shared" si="53"/>
        <v/>
      </c>
      <c r="AD137" s="10" t="str">
        <f t="shared" si="54"/>
        <v/>
      </c>
      <c r="AE137" s="10" t="str">
        <f t="shared" si="55"/>
        <v/>
      </c>
      <c r="AF137" s="10" t="str">
        <f t="shared" si="56"/>
        <v/>
      </c>
      <c r="AG137"/>
      <c r="AH137" t="str">
        <f t="shared" si="57"/>
        <v/>
      </c>
      <c r="AI137" t="str">
        <f t="shared" si="58"/>
        <v/>
      </c>
      <c r="AK137" cm="1">
        <f t="array" ref="AK137">IFERROR(IF(INDEX($A:$A,ROW())="","",INDEX($A:$A,ROW())),"")</f>
        <v>136</v>
      </c>
      <c r="AL137" t="str" cm="1">
        <f t="array" ref="AL137">IFERROR(INDEX(tblTrades[sol_invested],ROW()-1),"")</f>
        <v/>
      </c>
      <c r="AM137" s="6" t="str" cm="1">
        <f t="array" ref="AM137">IFERROR(INDEX(tblAnalysis[P&amp;L SOL],ROW()-1),"")</f>
        <v/>
      </c>
      <c r="AN137" t="str" cm="1">
        <f t="array" ref="AN137">IFERROR(IF(INDEX(tblTrades[sol_invested],ROW()-1)&gt;0.5,INDEX(tblAnalysis[Token],ROW()-1)&amp;" ("&amp;TEXT(INDEX(tblTrades[sol_invested],ROW()-1),"0.0")&amp;" SOL)",""),"")</f>
        <v/>
      </c>
      <c r="AO137" s="7" t="e" cm="1">
        <f t="array" ref="AO137">IF(INDEX(tblTrades[sol_invested],ROW()-1)&gt;0.5,INDEX(tblAnalysis[Cum P&amp;L SOL],ROW()-1),"")</f>
        <v>#REF!</v>
      </c>
      <c r="AP137" s="12" t="str" cm="1">
        <f t="array" ref="AP137">IFERROR(INDEX(tblAnalysis[Entry MC ($)],ROW()-1),"")</f>
        <v/>
      </c>
      <c r="AQ137" s="10" t="str" cm="1">
        <f t="array" ref="AQ137">IFERROR(INDEX(tblAnalysis[P&amp;L %],ROW()-1),"")</f>
        <v/>
      </c>
      <c r="AR137" t="str" cm="1">
        <f t="array" ref="AR137">IFERROR(INDEX(tblAnalysis[Hold Time (s)],ROW()-1),"")</f>
        <v/>
      </c>
      <c r="AS137" s="6" t="str" cm="1">
        <f t="array" ref="AS137">IFERROR(INDEX(tblAnalysis[P&amp;L SOL],ROW()-1),"")</f>
        <v/>
      </c>
      <c r="AT137"/>
      <c r="AY137" s="10"/>
      <c r="AZ137" s="10"/>
      <c r="BA137" s="6"/>
      <c r="BB137"/>
      <c r="BF137" t="str">
        <f t="shared" si="59"/>
        <v/>
      </c>
      <c r="BG137" s="27" t="str">
        <f t="shared" si="60"/>
        <v/>
      </c>
      <c r="BH137" t="str">
        <f t="shared" si="61"/>
        <v/>
      </c>
      <c r="BL137" s="29" t="e">
        <f t="shared" si="62"/>
        <v>#N/A</v>
      </c>
      <c r="BM137" s="29" t="e">
        <f t="shared" si="63"/>
        <v>#N/A</v>
      </c>
    </row>
    <row r="138" spans="1:65" x14ac:dyDescent="0.35">
      <c r="A138">
        <f t="shared" si="46"/>
        <v>137</v>
      </c>
      <c r="B138" t="e" cm="1">
        <f t="array" ref="B138">INDEX(tblTrades[token_name],ROW()-1)</f>
        <v>#REF!</v>
      </c>
      <c r="C138" s="27" t="e" cm="1">
        <f t="array" ref="C138">INDEX(tblTrades[entry_date],ROW()-1)</f>
        <v>#REF!</v>
      </c>
      <c r="D138" s="2" t="e" cm="1">
        <f t="array" ref="D138">INDEX(tblTrades[entry_mc_actual],ROW()-1)</f>
        <v>#REF!</v>
      </c>
      <c r="E138" s="2" t="e" cm="1">
        <f t="array" ref="E138">INDEX(tblTrades[exit_mc_actual],ROW()-1)</f>
        <v>#REF!</v>
      </c>
      <c r="F138" s="3" t="e" cm="1">
        <f t="array" ref="F138">INDEX(tblTrades[time_in_trade_seconds],ROW()-1)</f>
        <v>#REF!</v>
      </c>
      <c r="G138" s="4" t="str" cm="1">
        <f t="array" ref="G138">IFERROR(INDEX(tblTrades[pnl_percentage],ROW()-1)*1,"")</f>
        <v/>
      </c>
      <c r="H138" s="5" t="str" cm="1">
        <f t="array" ref="H138">IFERROR(INDEX(tblTrades[pnl_sol],ROW()-1)*1,"")</f>
        <v/>
      </c>
      <c r="I138" t="str">
        <f t="shared" si="47"/>
        <v/>
      </c>
      <c r="J138" t="str">
        <f t="shared" si="48"/>
        <v/>
      </c>
      <c r="K138" t="str">
        <f t="shared" si="49"/>
        <v/>
      </c>
      <c r="L138" s="20" t="str" cm="1">
        <f t="array" ref="L138">IFERROR(INDEX(tblTrades[sol_invested],ROW()-1),"")</f>
        <v/>
      </c>
      <c r="M138" s="1">
        <f>COUNTIFS(tblAnalysis[Token],tblAnalysis[[#This Row],[Token]])</f>
        <v>0</v>
      </c>
      <c r="N138" s="1">
        <f>COUNTIFS($B$2:B138,tblAnalysis[[#This Row],[Token]])</f>
        <v>0</v>
      </c>
      <c r="O138" s="5">
        <f>IFERROR(SUM($H$2:H138),"")</f>
        <v>0.40399999999999997</v>
      </c>
      <c r="P138" s="6"/>
      <c r="Q138" s="27"/>
      <c r="R138" s="6" t="str">
        <f>IF(Q138="","",SUMIFS(tblAnalysis[P&amp;L SOL],tblAnalysis[Date],Q138))</f>
        <v/>
      </c>
      <c r="S138" s="10" t="str">
        <f>IF(Q138="","",SUMIFS(tblAnalysis[P&amp;L %],tblAnalysis[Date],Q138))</f>
        <v/>
      </c>
      <c r="T138" s="6" t="str">
        <f>IF(Q138="","",IFERROR(SUM($R$2:R138),""))</f>
        <v/>
      </c>
      <c r="U138" t="str">
        <f>IF(Q138="","",COUNTIFS(tblAnalysis[Date],Q138))</f>
        <v/>
      </c>
      <c r="W138" s="27" t="str">
        <f t="shared" si="50"/>
        <v/>
      </c>
      <c r="X138" s="6" t="str">
        <f t="shared" si="51"/>
        <v/>
      </c>
      <c r="Y138" s="6" t="str">
        <f>IF(Q138="","",MAX(X138,_xlfn.MAXIFS(tblAnalysis[Cum P&amp;L SOL],tblAnalysis[Date],Q138)))</f>
        <v/>
      </c>
      <c r="Z138" s="6" t="str">
        <f>IF(Q138="","",MIN(X138,_xlfn.MINIFS(tblAnalysis[Cum P&amp;L SOL],tblAnalysis[Date],Q138)))</f>
        <v/>
      </c>
      <c r="AA138" s="6" t="str">
        <f t="shared" si="52"/>
        <v/>
      </c>
      <c r="AB138"/>
      <c r="AC138" s="27" t="str">
        <f t="shared" si="53"/>
        <v/>
      </c>
      <c r="AD138" s="10" t="str">
        <f t="shared" si="54"/>
        <v/>
      </c>
      <c r="AE138" s="10" t="str">
        <f t="shared" si="55"/>
        <v/>
      </c>
      <c r="AF138" s="10" t="str">
        <f t="shared" si="56"/>
        <v/>
      </c>
      <c r="AG138"/>
      <c r="AH138" t="str">
        <f t="shared" si="57"/>
        <v/>
      </c>
      <c r="AI138" t="str">
        <f t="shared" si="58"/>
        <v/>
      </c>
      <c r="AK138" cm="1">
        <f t="array" ref="AK138">IFERROR(IF(INDEX($A:$A,ROW())="","",INDEX($A:$A,ROW())),"")</f>
        <v>137</v>
      </c>
      <c r="AL138" t="str" cm="1">
        <f t="array" ref="AL138">IFERROR(INDEX(tblTrades[sol_invested],ROW()-1),"")</f>
        <v/>
      </c>
      <c r="AM138" s="6" t="str" cm="1">
        <f t="array" ref="AM138">IFERROR(INDEX(tblAnalysis[P&amp;L SOL],ROW()-1),"")</f>
        <v/>
      </c>
      <c r="AN138" t="str" cm="1">
        <f t="array" ref="AN138">IFERROR(IF(INDEX(tblTrades[sol_invested],ROW()-1)&gt;0.5,INDEX(tblAnalysis[Token],ROW()-1)&amp;" ("&amp;TEXT(INDEX(tblTrades[sol_invested],ROW()-1),"0.0")&amp;" SOL)",""),"")</f>
        <v/>
      </c>
      <c r="AO138" s="7" t="e" cm="1">
        <f t="array" ref="AO138">IF(INDEX(tblTrades[sol_invested],ROW()-1)&gt;0.5,INDEX(tblAnalysis[Cum P&amp;L SOL],ROW()-1),"")</f>
        <v>#REF!</v>
      </c>
      <c r="AP138" s="12" t="str" cm="1">
        <f t="array" ref="AP138">IFERROR(INDEX(tblAnalysis[Entry MC ($)],ROW()-1),"")</f>
        <v/>
      </c>
      <c r="AQ138" s="10" t="str" cm="1">
        <f t="array" ref="AQ138">IFERROR(INDEX(tblAnalysis[P&amp;L %],ROW()-1),"")</f>
        <v/>
      </c>
      <c r="AR138" t="str" cm="1">
        <f t="array" ref="AR138">IFERROR(INDEX(tblAnalysis[Hold Time (s)],ROW()-1),"")</f>
        <v/>
      </c>
      <c r="AS138" s="6" t="str" cm="1">
        <f t="array" ref="AS138">IFERROR(INDEX(tblAnalysis[P&amp;L SOL],ROW()-1),"")</f>
        <v/>
      </c>
      <c r="AT138"/>
      <c r="AY138" s="10"/>
      <c r="AZ138" s="10"/>
      <c r="BA138" s="6"/>
      <c r="BB138"/>
      <c r="BF138" t="str">
        <f t="shared" si="59"/>
        <v/>
      </c>
      <c r="BG138" s="27" t="str">
        <f t="shared" si="60"/>
        <v/>
      </c>
      <c r="BH138" t="str">
        <f t="shared" si="61"/>
        <v/>
      </c>
      <c r="BL138" s="29" t="e">
        <f t="shared" si="62"/>
        <v>#N/A</v>
      </c>
      <c r="BM138" s="29" t="e">
        <f t="shared" si="63"/>
        <v>#N/A</v>
      </c>
    </row>
    <row r="139" spans="1:65" x14ac:dyDescent="0.35">
      <c r="A139">
        <f t="shared" si="46"/>
        <v>138</v>
      </c>
      <c r="B139" t="e" cm="1">
        <f t="array" ref="B139">INDEX(tblTrades[token_name],ROW()-1)</f>
        <v>#REF!</v>
      </c>
      <c r="C139" s="27" t="e" cm="1">
        <f t="array" ref="C139">INDEX(tblTrades[entry_date],ROW()-1)</f>
        <v>#REF!</v>
      </c>
      <c r="D139" s="2" t="e" cm="1">
        <f t="array" ref="D139">INDEX(tblTrades[entry_mc_actual],ROW()-1)</f>
        <v>#REF!</v>
      </c>
      <c r="E139" s="2" t="e" cm="1">
        <f t="array" ref="E139">INDEX(tblTrades[exit_mc_actual],ROW()-1)</f>
        <v>#REF!</v>
      </c>
      <c r="F139" s="3" t="e" cm="1">
        <f t="array" ref="F139">INDEX(tblTrades[time_in_trade_seconds],ROW()-1)</f>
        <v>#REF!</v>
      </c>
      <c r="G139" s="4" t="str" cm="1">
        <f t="array" ref="G139">IFERROR(INDEX(tblTrades[pnl_percentage],ROW()-1)*1,"")</f>
        <v/>
      </c>
      <c r="H139" s="5" t="str" cm="1">
        <f t="array" ref="H139">IFERROR(INDEX(tblTrades[pnl_sol],ROW()-1)*1,"")</f>
        <v/>
      </c>
      <c r="I139" t="str">
        <f t="shared" si="47"/>
        <v/>
      </c>
      <c r="J139" t="str">
        <f t="shared" si="48"/>
        <v/>
      </c>
      <c r="K139" t="str">
        <f t="shared" si="49"/>
        <v/>
      </c>
      <c r="L139" s="20" t="str" cm="1">
        <f t="array" ref="L139">IFERROR(INDEX(tblTrades[sol_invested],ROW()-1),"")</f>
        <v/>
      </c>
      <c r="M139" s="1">
        <f>COUNTIFS(tblAnalysis[Token],tblAnalysis[[#This Row],[Token]])</f>
        <v>0</v>
      </c>
      <c r="N139" s="1">
        <f>COUNTIFS($B$2:B139,tblAnalysis[[#This Row],[Token]])</f>
        <v>0</v>
      </c>
      <c r="O139" s="5">
        <f>IFERROR(SUM($H$2:H139),"")</f>
        <v>0.40399999999999997</v>
      </c>
      <c r="P139" s="6"/>
      <c r="Q139" s="27"/>
      <c r="R139" s="6" t="str">
        <f>IF(Q139="","",SUMIFS(tblAnalysis[P&amp;L SOL],tblAnalysis[Date],Q139))</f>
        <v/>
      </c>
      <c r="S139" s="10" t="str">
        <f>IF(Q139="","",SUMIFS(tblAnalysis[P&amp;L %],tblAnalysis[Date],Q139))</f>
        <v/>
      </c>
      <c r="T139" s="6" t="str">
        <f>IF(Q139="","",IFERROR(SUM($R$2:R139),""))</f>
        <v/>
      </c>
      <c r="U139" t="str">
        <f>IF(Q139="","",COUNTIFS(tblAnalysis[Date],Q139))</f>
        <v/>
      </c>
      <c r="W139" s="27" t="str">
        <f t="shared" si="50"/>
        <v/>
      </c>
      <c r="X139" s="6" t="str">
        <f t="shared" si="51"/>
        <v/>
      </c>
      <c r="Y139" s="6" t="str">
        <f>IF(Q139="","",MAX(X139,_xlfn.MAXIFS(tblAnalysis[Cum P&amp;L SOL],tblAnalysis[Date],Q139)))</f>
        <v/>
      </c>
      <c r="Z139" s="6" t="str">
        <f>IF(Q139="","",MIN(X139,_xlfn.MINIFS(tblAnalysis[Cum P&amp;L SOL],tblAnalysis[Date],Q139)))</f>
        <v/>
      </c>
      <c r="AA139" s="6" t="str">
        <f t="shared" si="52"/>
        <v/>
      </c>
      <c r="AB139"/>
      <c r="AC139" s="27" t="str">
        <f t="shared" si="53"/>
        <v/>
      </c>
      <c r="AD139" s="10" t="str">
        <f t="shared" si="54"/>
        <v/>
      </c>
      <c r="AE139" s="10" t="str">
        <f t="shared" si="55"/>
        <v/>
      </c>
      <c r="AF139" s="10" t="str">
        <f t="shared" si="56"/>
        <v/>
      </c>
      <c r="AG139"/>
      <c r="AH139" t="str">
        <f t="shared" si="57"/>
        <v/>
      </c>
      <c r="AI139" t="str">
        <f t="shared" si="58"/>
        <v/>
      </c>
      <c r="AK139" cm="1">
        <f t="array" ref="AK139">IFERROR(IF(INDEX($A:$A,ROW())="","",INDEX($A:$A,ROW())),"")</f>
        <v>138</v>
      </c>
      <c r="AL139" t="str" cm="1">
        <f t="array" ref="AL139">IFERROR(INDEX(tblTrades[sol_invested],ROW()-1),"")</f>
        <v/>
      </c>
      <c r="AM139" s="6" t="str" cm="1">
        <f t="array" ref="AM139">IFERROR(INDEX(tblAnalysis[P&amp;L SOL],ROW()-1),"")</f>
        <v/>
      </c>
      <c r="AN139" t="str" cm="1">
        <f t="array" ref="AN139">IFERROR(IF(INDEX(tblTrades[sol_invested],ROW()-1)&gt;0.5,INDEX(tblAnalysis[Token],ROW()-1)&amp;" ("&amp;TEXT(INDEX(tblTrades[sol_invested],ROW()-1),"0.0")&amp;" SOL)",""),"")</f>
        <v/>
      </c>
      <c r="AO139" s="7" t="e" cm="1">
        <f t="array" ref="AO139">IF(INDEX(tblTrades[sol_invested],ROW()-1)&gt;0.5,INDEX(tblAnalysis[Cum P&amp;L SOL],ROW()-1),"")</f>
        <v>#REF!</v>
      </c>
      <c r="AP139" s="12" t="str" cm="1">
        <f t="array" ref="AP139">IFERROR(INDEX(tblAnalysis[Entry MC ($)],ROW()-1),"")</f>
        <v/>
      </c>
      <c r="AQ139" s="10" t="str" cm="1">
        <f t="array" ref="AQ139">IFERROR(INDEX(tblAnalysis[P&amp;L %],ROW()-1),"")</f>
        <v/>
      </c>
      <c r="AR139" t="str" cm="1">
        <f t="array" ref="AR139">IFERROR(INDEX(tblAnalysis[Hold Time (s)],ROW()-1),"")</f>
        <v/>
      </c>
      <c r="AS139" s="6" t="str" cm="1">
        <f t="array" ref="AS139">IFERROR(INDEX(tblAnalysis[P&amp;L SOL],ROW()-1),"")</f>
        <v/>
      </c>
      <c r="AT139"/>
      <c r="AY139" s="10"/>
      <c r="AZ139" s="10"/>
      <c r="BA139" s="6"/>
      <c r="BB139"/>
      <c r="BF139" t="str">
        <f t="shared" si="59"/>
        <v/>
      </c>
      <c r="BG139" s="27" t="str">
        <f t="shared" si="60"/>
        <v/>
      </c>
      <c r="BH139" t="str">
        <f t="shared" si="61"/>
        <v/>
      </c>
      <c r="BL139" s="29" t="e">
        <f t="shared" si="62"/>
        <v>#N/A</v>
      </c>
      <c r="BM139" s="29" t="e">
        <f t="shared" si="63"/>
        <v>#N/A</v>
      </c>
    </row>
    <row r="140" spans="1:65" x14ac:dyDescent="0.35">
      <c r="A140">
        <f t="shared" si="46"/>
        <v>139</v>
      </c>
      <c r="B140" t="e" cm="1">
        <f t="array" ref="B140">INDEX(tblTrades[token_name],ROW()-1)</f>
        <v>#REF!</v>
      </c>
      <c r="C140" s="27" t="e" cm="1">
        <f t="array" ref="C140">INDEX(tblTrades[entry_date],ROW()-1)</f>
        <v>#REF!</v>
      </c>
      <c r="D140" s="2" t="e" cm="1">
        <f t="array" ref="D140">INDEX(tblTrades[entry_mc_actual],ROW()-1)</f>
        <v>#REF!</v>
      </c>
      <c r="E140" s="2" t="e" cm="1">
        <f t="array" ref="E140">INDEX(tblTrades[exit_mc_actual],ROW()-1)</f>
        <v>#REF!</v>
      </c>
      <c r="F140" s="3" t="e" cm="1">
        <f t="array" ref="F140">INDEX(tblTrades[time_in_trade_seconds],ROW()-1)</f>
        <v>#REF!</v>
      </c>
      <c r="G140" s="4" t="str" cm="1">
        <f t="array" ref="G140">IFERROR(INDEX(tblTrades[pnl_percentage],ROW()-1)*1,"")</f>
        <v/>
      </c>
      <c r="H140" s="5" t="str" cm="1">
        <f t="array" ref="H140">IFERROR(INDEX(tblTrades[pnl_sol],ROW()-1)*1,"")</f>
        <v/>
      </c>
      <c r="I140" t="str">
        <f t="shared" si="47"/>
        <v/>
      </c>
      <c r="J140" t="str">
        <f t="shared" si="48"/>
        <v/>
      </c>
      <c r="K140" t="str">
        <f t="shared" si="49"/>
        <v/>
      </c>
      <c r="L140" s="20" t="str" cm="1">
        <f t="array" ref="L140">IFERROR(INDEX(tblTrades[sol_invested],ROW()-1),"")</f>
        <v/>
      </c>
      <c r="M140" s="1">
        <f>COUNTIFS(tblAnalysis[Token],tblAnalysis[[#This Row],[Token]])</f>
        <v>0</v>
      </c>
      <c r="N140" s="1">
        <f>COUNTIFS($B$2:B140,tblAnalysis[[#This Row],[Token]])</f>
        <v>0</v>
      </c>
      <c r="O140" s="5">
        <f>IFERROR(SUM($H$2:H140),"")</f>
        <v>0.40399999999999997</v>
      </c>
      <c r="P140" s="6"/>
      <c r="Q140" s="27"/>
      <c r="R140" s="6" t="str">
        <f>IF(Q140="","",SUMIFS(tblAnalysis[P&amp;L SOL],tblAnalysis[Date],Q140))</f>
        <v/>
      </c>
      <c r="S140" s="10" t="str">
        <f>IF(Q140="","",SUMIFS(tblAnalysis[P&amp;L %],tblAnalysis[Date],Q140))</f>
        <v/>
      </c>
      <c r="T140" s="6" t="str">
        <f>IF(Q140="","",IFERROR(SUM($R$2:R140),""))</f>
        <v/>
      </c>
      <c r="U140" t="str">
        <f>IF(Q140="","",COUNTIFS(tblAnalysis[Date],Q140))</f>
        <v/>
      </c>
      <c r="W140" s="27" t="str">
        <f t="shared" si="50"/>
        <v/>
      </c>
      <c r="X140" s="6" t="str">
        <f t="shared" si="51"/>
        <v/>
      </c>
      <c r="Y140" s="6" t="str">
        <f>IF(Q140="","",MAX(X140,_xlfn.MAXIFS(tblAnalysis[Cum P&amp;L SOL],tblAnalysis[Date],Q140)))</f>
        <v/>
      </c>
      <c r="Z140" s="6" t="str">
        <f>IF(Q140="","",MIN(X140,_xlfn.MINIFS(tblAnalysis[Cum P&amp;L SOL],tblAnalysis[Date],Q140)))</f>
        <v/>
      </c>
      <c r="AA140" s="6" t="str">
        <f t="shared" si="52"/>
        <v/>
      </c>
      <c r="AB140"/>
      <c r="AC140" s="27" t="str">
        <f t="shared" si="53"/>
        <v/>
      </c>
      <c r="AD140" s="10" t="str">
        <f t="shared" si="54"/>
        <v/>
      </c>
      <c r="AE140" s="10" t="str">
        <f t="shared" si="55"/>
        <v/>
      </c>
      <c r="AF140" s="10" t="str">
        <f t="shared" si="56"/>
        <v/>
      </c>
      <c r="AG140"/>
      <c r="AH140" t="str">
        <f t="shared" si="57"/>
        <v/>
      </c>
      <c r="AI140" t="str">
        <f t="shared" si="58"/>
        <v/>
      </c>
      <c r="AK140" cm="1">
        <f t="array" ref="AK140">IFERROR(IF(INDEX($A:$A,ROW())="","",INDEX($A:$A,ROW())),"")</f>
        <v>139</v>
      </c>
      <c r="AL140" t="str" cm="1">
        <f t="array" ref="AL140">IFERROR(INDEX(tblTrades[sol_invested],ROW()-1),"")</f>
        <v/>
      </c>
      <c r="AM140" s="6" t="str" cm="1">
        <f t="array" ref="AM140">IFERROR(INDEX(tblAnalysis[P&amp;L SOL],ROW()-1),"")</f>
        <v/>
      </c>
      <c r="AN140" t="str" cm="1">
        <f t="array" ref="AN140">IFERROR(IF(INDEX(tblTrades[sol_invested],ROW()-1)&gt;0.5,INDEX(tblAnalysis[Token],ROW()-1)&amp;" ("&amp;TEXT(INDEX(tblTrades[sol_invested],ROW()-1),"0.0")&amp;" SOL)",""),"")</f>
        <v/>
      </c>
      <c r="AO140" s="7" t="e" cm="1">
        <f t="array" ref="AO140">IF(INDEX(tblTrades[sol_invested],ROW()-1)&gt;0.5,INDEX(tblAnalysis[Cum P&amp;L SOL],ROW()-1),"")</f>
        <v>#REF!</v>
      </c>
      <c r="AP140" s="12" t="str" cm="1">
        <f t="array" ref="AP140">IFERROR(INDEX(tblAnalysis[Entry MC ($)],ROW()-1),"")</f>
        <v/>
      </c>
      <c r="AQ140" s="10" t="str" cm="1">
        <f t="array" ref="AQ140">IFERROR(INDEX(tblAnalysis[P&amp;L %],ROW()-1),"")</f>
        <v/>
      </c>
      <c r="AR140" t="str" cm="1">
        <f t="array" ref="AR140">IFERROR(INDEX(tblAnalysis[Hold Time (s)],ROW()-1),"")</f>
        <v/>
      </c>
      <c r="AS140" s="6" t="str" cm="1">
        <f t="array" ref="AS140">IFERROR(INDEX(tblAnalysis[P&amp;L SOL],ROW()-1),"")</f>
        <v/>
      </c>
      <c r="AT140"/>
      <c r="AY140" s="10"/>
      <c r="AZ140" s="10"/>
      <c r="BA140" s="6"/>
      <c r="BB140"/>
      <c r="BF140" t="str">
        <f t="shared" si="59"/>
        <v/>
      </c>
      <c r="BG140" s="27" t="str">
        <f t="shared" si="60"/>
        <v/>
      </c>
      <c r="BH140" t="str">
        <f t="shared" si="61"/>
        <v/>
      </c>
      <c r="BL140" s="29" t="e">
        <f t="shared" si="62"/>
        <v>#N/A</v>
      </c>
      <c r="BM140" s="29" t="e">
        <f t="shared" si="63"/>
        <v>#N/A</v>
      </c>
    </row>
    <row r="141" spans="1:65" x14ac:dyDescent="0.35">
      <c r="A141">
        <f t="shared" si="46"/>
        <v>140</v>
      </c>
      <c r="B141" t="e" cm="1">
        <f t="array" ref="B141">INDEX(tblTrades[token_name],ROW()-1)</f>
        <v>#REF!</v>
      </c>
      <c r="C141" s="27" t="e" cm="1">
        <f t="array" ref="C141">INDEX(tblTrades[entry_date],ROW()-1)</f>
        <v>#REF!</v>
      </c>
      <c r="D141" s="2" t="e" cm="1">
        <f t="array" ref="D141">INDEX(tblTrades[entry_mc_actual],ROW()-1)</f>
        <v>#REF!</v>
      </c>
      <c r="E141" s="2" t="e" cm="1">
        <f t="array" ref="E141">INDEX(tblTrades[exit_mc_actual],ROW()-1)</f>
        <v>#REF!</v>
      </c>
      <c r="F141" s="3" t="e" cm="1">
        <f t="array" ref="F141">INDEX(tblTrades[time_in_trade_seconds],ROW()-1)</f>
        <v>#REF!</v>
      </c>
      <c r="G141" s="4" t="str" cm="1">
        <f t="array" ref="G141">IFERROR(INDEX(tblTrades[pnl_percentage],ROW()-1)*1,"")</f>
        <v/>
      </c>
      <c r="H141" s="5" t="str" cm="1">
        <f t="array" ref="H141">IFERROR(INDEX(tblTrades[pnl_sol],ROW()-1)*1,"")</f>
        <v/>
      </c>
      <c r="I141" t="str">
        <f t="shared" si="47"/>
        <v/>
      </c>
      <c r="J141" t="str">
        <f t="shared" si="48"/>
        <v/>
      </c>
      <c r="K141" t="str">
        <f t="shared" si="49"/>
        <v/>
      </c>
      <c r="L141" s="20" t="str" cm="1">
        <f t="array" ref="L141">IFERROR(INDEX(tblTrades[sol_invested],ROW()-1),"")</f>
        <v/>
      </c>
      <c r="M141" s="1">
        <f>COUNTIFS(tblAnalysis[Token],tblAnalysis[[#This Row],[Token]])</f>
        <v>0</v>
      </c>
      <c r="N141" s="1">
        <f>COUNTIFS($B$2:B141,tblAnalysis[[#This Row],[Token]])</f>
        <v>0</v>
      </c>
      <c r="O141" s="5">
        <f>IFERROR(SUM($H$2:H141),"")</f>
        <v>0.40399999999999997</v>
      </c>
      <c r="P141" s="6"/>
      <c r="Q141" s="27"/>
      <c r="R141" s="6" t="str">
        <f>IF(Q141="","",SUMIFS(tblAnalysis[P&amp;L SOL],tblAnalysis[Date],Q141))</f>
        <v/>
      </c>
      <c r="S141" s="10" t="str">
        <f>IF(Q141="","",SUMIFS(tblAnalysis[P&amp;L %],tblAnalysis[Date],Q141))</f>
        <v/>
      </c>
      <c r="T141" s="6" t="str">
        <f>IF(Q141="","",IFERROR(SUM($R$2:R141),""))</f>
        <v/>
      </c>
      <c r="U141" t="str">
        <f>IF(Q141="","",COUNTIFS(tblAnalysis[Date],Q141))</f>
        <v/>
      </c>
      <c r="W141" s="27" t="str">
        <f t="shared" si="50"/>
        <v/>
      </c>
      <c r="X141" s="6" t="str">
        <f t="shared" si="51"/>
        <v/>
      </c>
      <c r="Y141" s="6" t="str">
        <f>IF(Q141="","",MAX(X141,_xlfn.MAXIFS(tblAnalysis[Cum P&amp;L SOL],tblAnalysis[Date],Q141)))</f>
        <v/>
      </c>
      <c r="Z141" s="6" t="str">
        <f>IF(Q141="","",MIN(X141,_xlfn.MINIFS(tblAnalysis[Cum P&amp;L SOL],tblAnalysis[Date],Q141)))</f>
        <v/>
      </c>
      <c r="AA141" s="6" t="str">
        <f t="shared" si="52"/>
        <v/>
      </c>
      <c r="AB141"/>
      <c r="AC141" s="27" t="str">
        <f t="shared" si="53"/>
        <v/>
      </c>
      <c r="AD141" s="10" t="str">
        <f t="shared" si="54"/>
        <v/>
      </c>
      <c r="AE141" s="10" t="str">
        <f t="shared" si="55"/>
        <v/>
      </c>
      <c r="AF141" s="10" t="str">
        <f t="shared" si="56"/>
        <v/>
      </c>
      <c r="AG141"/>
      <c r="AH141" t="str">
        <f t="shared" si="57"/>
        <v/>
      </c>
      <c r="AI141" t="str">
        <f t="shared" si="58"/>
        <v/>
      </c>
      <c r="AK141" cm="1">
        <f t="array" ref="AK141">IFERROR(IF(INDEX($A:$A,ROW())="","",INDEX($A:$A,ROW())),"")</f>
        <v>140</v>
      </c>
      <c r="AL141" t="str" cm="1">
        <f t="array" ref="AL141">IFERROR(INDEX(tblTrades[sol_invested],ROW()-1),"")</f>
        <v/>
      </c>
      <c r="AM141" s="6" t="str" cm="1">
        <f t="array" ref="AM141">IFERROR(INDEX(tblAnalysis[P&amp;L SOL],ROW()-1),"")</f>
        <v/>
      </c>
      <c r="AN141" t="str" cm="1">
        <f t="array" ref="AN141">IFERROR(IF(INDEX(tblTrades[sol_invested],ROW()-1)&gt;0.5,INDEX(tblAnalysis[Token],ROW()-1)&amp;" ("&amp;TEXT(INDEX(tblTrades[sol_invested],ROW()-1),"0.0")&amp;" SOL)",""),"")</f>
        <v/>
      </c>
      <c r="AO141" s="7" t="e" cm="1">
        <f t="array" ref="AO141">IF(INDEX(tblTrades[sol_invested],ROW()-1)&gt;0.5,INDEX(tblAnalysis[Cum P&amp;L SOL],ROW()-1),"")</f>
        <v>#REF!</v>
      </c>
      <c r="AP141" s="12" t="str" cm="1">
        <f t="array" ref="AP141">IFERROR(INDEX(tblAnalysis[Entry MC ($)],ROW()-1),"")</f>
        <v/>
      </c>
      <c r="AQ141" s="10" t="str" cm="1">
        <f t="array" ref="AQ141">IFERROR(INDEX(tblAnalysis[P&amp;L %],ROW()-1),"")</f>
        <v/>
      </c>
      <c r="AR141" t="str" cm="1">
        <f t="array" ref="AR141">IFERROR(INDEX(tblAnalysis[Hold Time (s)],ROW()-1),"")</f>
        <v/>
      </c>
      <c r="AS141" s="6" t="str" cm="1">
        <f t="array" ref="AS141">IFERROR(INDEX(tblAnalysis[P&amp;L SOL],ROW()-1),"")</f>
        <v/>
      </c>
      <c r="AT141"/>
      <c r="AY141" s="10"/>
      <c r="AZ141" s="10"/>
      <c r="BA141" s="6"/>
      <c r="BB141"/>
      <c r="BF141" t="str">
        <f t="shared" si="59"/>
        <v/>
      </c>
      <c r="BG141" s="27" t="str">
        <f t="shared" si="60"/>
        <v/>
      </c>
      <c r="BH141" t="str">
        <f t="shared" si="61"/>
        <v/>
      </c>
      <c r="BL141" s="29" t="e">
        <f t="shared" si="62"/>
        <v>#N/A</v>
      </c>
      <c r="BM141" s="29" t="e">
        <f t="shared" si="63"/>
        <v>#N/A</v>
      </c>
    </row>
    <row r="142" spans="1:65" x14ac:dyDescent="0.35">
      <c r="A142">
        <f t="shared" si="46"/>
        <v>141</v>
      </c>
      <c r="B142" t="e" cm="1">
        <f t="array" ref="B142">INDEX(tblTrades[token_name],ROW()-1)</f>
        <v>#REF!</v>
      </c>
      <c r="C142" s="27" t="e" cm="1">
        <f t="array" ref="C142">INDEX(tblTrades[entry_date],ROW()-1)</f>
        <v>#REF!</v>
      </c>
      <c r="D142" s="2" t="e" cm="1">
        <f t="array" ref="D142">INDEX(tblTrades[entry_mc_actual],ROW()-1)</f>
        <v>#REF!</v>
      </c>
      <c r="E142" s="2" t="e" cm="1">
        <f t="array" ref="E142">INDEX(tblTrades[exit_mc_actual],ROW()-1)</f>
        <v>#REF!</v>
      </c>
      <c r="F142" s="3" t="e" cm="1">
        <f t="array" ref="F142">INDEX(tblTrades[time_in_trade_seconds],ROW()-1)</f>
        <v>#REF!</v>
      </c>
      <c r="G142" s="4" t="str" cm="1">
        <f t="array" ref="G142">IFERROR(INDEX(tblTrades[pnl_percentage],ROW()-1)*1,"")</f>
        <v/>
      </c>
      <c r="H142" s="5" t="str" cm="1">
        <f t="array" ref="H142">IFERROR(INDEX(tblTrades[pnl_sol],ROW()-1)*1,"")</f>
        <v/>
      </c>
      <c r="I142" t="str">
        <f t="shared" si="47"/>
        <v/>
      </c>
      <c r="J142" t="str">
        <f t="shared" si="48"/>
        <v/>
      </c>
      <c r="K142" t="str">
        <f t="shared" si="49"/>
        <v/>
      </c>
      <c r="L142" s="20" t="str" cm="1">
        <f t="array" ref="L142">IFERROR(INDEX(tblTrades[sol_invested],ROW()-1),"")</f>
        <v/>
      </c>
      <c r="M142" s="1">
        <f>COUNTIFS(tblAnalysis[Token],tblAnalysis[[#This Row],[Token]])</f>
        <v>0</v>
      </c>
      <c r="N142" s="1">
        <f>COUNTIFS($B$2:B142,tblAnalysis[[#This Row],[Token]])</f>
        <v>0</v>
      </c>
      <c r="O142" s="5">
        <f>IFERROR(SUM($H$2:H142),"")</f>
        <v>0.40399999999999997</v>
      </c>
      <c r="P142" s="6"/>
      <c r="Q142" s="27"/>
      <c r="R142" s="6" t="str">
        <f>IF(Q142="","",SUMIFS(tblAnalysis[P&amp;L SOL],tblAnalysis[Date],Q142))</f>
        <v/>
      </c>
      <c r="S142" s="10" t="str">
        <f>IF(Q142="","",SUMIFS(tblAnalysis[P&amp;L %],tblAnalysis[Date],Q142))</f>
        <v/>
      </c>
      <c r="T142" s="6" t="str">
        <f>IF(Q142="","",IFERROR(SUM($R$2:R142),""))</f>
        <v/>
      </c>
      <c r="U142" t="str">
        <f>IF(Q142="","",COUNTIFS(tblAnalysis[Date],Q142))</f>
        <v/>
      </c>
      <c r="W142" s="27" t="str">
        <f t="shared" si="50"/>
        <v/>
      </c>
      <c r="X142" s="6" t="str">
        <f t="shared" si="51"/>
        <v/>
      </c>
      <c r="Y142" s="6" t="str">
        <f>IF(Q142="","",MAX(X142,_xlfn.MAXIFS(tblAnalysis[Cum P&amp;L SOL],tblAnalysis[Date],Q142)))</f>
        <v/>
      </c>
      <c r="Z142" s="6" t="str">
        <f>IF(Q142="","",MIN(X142,_xlfn.MINIFS(tblAnalysis[Cum P&amp;L SOL],tblAnalysis[Date],Q142)))</f>
        <v/>
      </c>
      <c r="AA142" s="6" t="str">
        <f t="shared" si="52"/>
        <v/>
      </c>
      <c r="AB142"/>
      <c r="AC142" s="27" t="str">
        <f t="shared" si="53"/>
        <v/>
      </c>
      <c r="AD142" s="10" t="str">
        <f t="shared" si="54"/>
        <v/>
      </c>
      <c r="AE142" s="10" t="str">
        <f t="shared" si="55"/>
        <v/>
      </c>
      <c r="AF142" s="10" t="str">
        <f t="shared" si="56"/>
        <v/>
      </c>
      <c r="AG142"/>
      <c r="AH142" t="str">
        <f t="shared" si="57"/>
        <v/>
      </c>
      <c r="AI142" t="str">
        <f t="shared" si="58"/>
        <v/>
      </c>
      <c r="AK142" cm="1">
        <f t="array" ref="AK142">IFERROR(IF(INDEX($A:$A,ROW())="","",INDEX($A:$A,ROW())),"")</f>
        <v>141</v>
      </c>
      <c r="AL142" t="str" cm="1">
        <f t="array" ref="AL142">IFERROR(INDEX(tblTrades[sol_invested],ROW()-1),"")</f>
        <v/>
      </c>
      <c r="AM142" s="6" t="str" cm="1">
        <f t="array" ref="AM142">IFERROR(INDEX(tblAnalysis[P&amp;L SOL],ROW()-1),"")</f>
        <v/>
      </c>
      <c r="AN142" t="str" cm="1">
        <f t="array" ref="AN142">IFERROR(IF(INDEX(tblTrades[sol_invested],ROW()-1)&gt;0.5,INDEX(tblAnalysis[Token],ROW()-1)&amp;" ("&amp;TEXT(INDEX(tblTrades[sol_invested],ROW()-1),"0.0")&amp;" SOL)",""),"")</f>
        <v/>
      </c>
      <c r="AO142" s="7" t="e" cm="1">
        <f t="array" ref="AO142">IF(INDEX(tblTrades[sol_invested],ROW()-1)&gt;0.5,INDEX(tblAnalysis[Cum P&amp;L SOL],ROW()-1),"")</f>
        <v>#REF!</v>
      </c>
      <c r="AP142" s="12" t="str" cm="1">
        <f t="array" ref="AP142">IFERROR(INDEX(tblAnalysis[Entry MC ($)],ROW()-1),"")</f>
        <v/>
      </c>
      <c r="AQ142" s="10" t="str" cm="1">
        <f t="array" ref="AQ142">IFERROR(INDEX(tblAnalysis[P&amp;L %],ROW()-1),"")</f>
        <v/>
      </c>
      <c r="AR142" t="str" cm="1">
        <f t="array" ref="AR142">IFERROR(INDEX(tblAnalysis[Hold Time (s)],ROW()-1),"")</f>
        <v/>
      </c>
      <c r="AS142" s="6" t="str" cm="1">
        <f t="array" ref="AS142">IFERROR(INDEX(tblAnalysis[P&amp;L SOL],ROW()-1),"")</f>
        <v/>
      </c>
      <c r="AT142"/>
      <c r="AY142" s="10"/>
      <c r="AZ142" s="10"/>
      <c r="BA142" s="6"/>
      <c r="BB142"/>
      <c r="BF142" t="str">
        <f t="shared" si="59"/>
        <v/>
      </c>
      <c r="BG142" s="27" t="str">
        <f t="shared" si="60"/>
        <v/>
      </c>
      <c r="BH142" t="str">
        <f t="shared" si="61"/>
        <v/>
      </c>
      <c r="BL142" s="29" t="e">
        <f t="shared" si="62"/>
        <v>#N/A</v>
      </c>
      <c r="BM142" s="29" t="e">
        <f t="shared" si="63"/>
        <v>#N/A</v>
      </c>
    </row>
    <row r="143" spans="1:65" x14ac:dyDescent="0.35">
      <c r="A143">
        <f t="shared" si="46"/>
        <v>142</v>
      </c>
      <c r="B143" t="e" cm="1">
        <f t="array" ref="B143">INDEX(tblTrades[token_name],ROW()-1)</f>
        <v>#REF!</v>
      </c>
      <c r="C143" s="27" t="e" cm="1">
        <f t="array" ref="C143">INDEX(tblTrades[entry_date],ROW()-1)</f>
        <v>#REF!</v>
      </c>
      <c r="D143" s="2" t="e" cm="1">
        <f t="array" ref="D143">INDEX(tblTrades[entry_mc_actual],ROW()-1)</f>
        <v>#REF!</v>
      </c>
      <c r="E143" s="2" t="e" cm="1">
        <f t="array" ref="E143">INDEX(tblTrades[exit_mc_actual],ROW()-1)</f>
        <v>#REF!</v>
      </c>
      <c r="F143" s="3" t="e" cm="1">
        <f t="array" ref="F143">INDEX(tblTrades[time_in_trade_seconds],ROW()-1)</f>
        <v>#REF!</v>
      </c>
      <c r="G143" s="4" t="str" cm="1">
        <f t="array" ref="G143">IFERROR(INDEX(tblTrades[pnl_percentage],ROW()-1)*1,"")</f>
        <v/>
      </c>
      <c r="H143" s="5" t="str" cm="1">
        <f t="array" ref="H143">IFERROR(INDEX(tblTrades[pnl_sol],ROW()-1)*1,"")</f>
        <v/>
      </c>
      <c r="I143" t="str">
        <f t="shared" si="47"/>
        <v/>
      </c>
      <c r="J143" t="str">
        <f t="shared" si="48"/>
        <v/>
      </c>
      <c r="K143" t="str">
        <f t="shared" si="49"/>
        <v/>
      </c>
      <c r="L143" s="20" t="str" cm="1">
        <f t="array" ref="L143">IFERROR(INDEX(tblTrades[sol_invested],ROW()-1),"")</f>
        <v/>
      </c>
      <c r="M143" s="1">
        <f>COUNTIFS(tblAnalysis[Token],tblAnalysis[[#This Row],[Token]])</f>
        <v>0</v>
      </c>
      <c r="N143" s="1">
        <f>COUNTIFS($B$2:B143,tblAnalysis[[#This Row],[Token]])</f>
        <v>0</v>
      </c>
      <c r="O143" s="5">
        <f>IFERROR(SUM($H$2:H143),"")</f>
        <v>0.40399999999999997</v>
      </c>
      <c r="P143" s="6"/>
      <c r="Q143" s="27"/>
      <c r="R143" s="6" t="str">
        <f>IF(Q143="","",SUMIFS(tblAnalysis[P&amp;L SOL],tblAnalysis[Date],Q143))</f>
        <v/>
      </c>
      <c r="S143" s="10" t="str">
        <f>IF(Q143="","",SUMIFS(tblAnalysis[P&amp;L %],tblAnalysis[Date],Q143))</f>
        <v/>
      </c>
      <c r="T143" s="6" t="str">
        <f>IF(Q143="","",IFERROR(SUM($R$2:R143),""))</f>
        <v/>
      </c>
      <c r="U143" t="str">
        <f>IF(Q143="","",COUNTIFS(tblAnalysis[Date],Q143))</f>
        <v/>
      </c>
      <c r="W143" s="27" t="str">
        <f t="shared" si="50"/>
        <v/>
      </c>
      <c r="X143" s="6" t="str">
        <f t="shared" si="51"/>
        <v/>
      </c>
      <c r="Y143" s="6" t="str">
        <f>IF(Q143="","",MAX(X143,_xlfn.MAXIFS(tblAnalysis[Cum P&amp;L SOL],tblAnalysis[Date],Q143)))</f>
        <v/>
      </c>
      <c r="Z143" s="6" t="str">
        <f>IF(Q143="","",MIN(X143,_xlfn.MINIFS(tblAnalysis[Cum P&amp;L SOL],tblAnalysis[Date],Q143)))</f>
        <v/>
      </c>
      <c r="AA143" s="6" t="str">
        <f t="shared" si="52"/>
        <v/>
      </c>
      <c r="AB143"/>
      <c r="AC143" s="27" t="str">
        <f t="shared" si="53"/>
        <v/>
      </c>
      <c r="AD143" s="10" t="str">
        <f t="shared" si="54"/>
        <v/>
      </c>
      <c r="AE143" s="10" t="str">
        <f t="shared" si="55"/>
        <v/>
      </c>
      <c r="AF143" s="10" t="str">
        <f t="shared" si="56"/>
        <v/>
      </c>
      <c r="AG143"/>
      <c r="AH143" t="str">
        <f t="shared" si="57"/>
        <v/>
      </c>
      <c r="AI143" t="str">
        <f t="shared" si="58"/>
        <v/>
      </c>
      <c r="AK143" cm="1">
        <f t="array" ref="AK143">IFERROR(IF(INDEX($A:$A,ROW())="","",INDEX($A:$A,ROW())),"")</f>
        <v>142</v>
      </c>
      <c r="AL143" t="str" cm="1">
        <f t="array" ref="AL143">IFERROR(INDEX(tblTrades[sol_invested],ROW()-1),"")</f>
        <v/>
      </c>
      <c r="AM143" s="6" t="str" cm="1">
        <f t="array" ref="AM143">IFERROR(INDEX(tblAnalysis[P&amp;L SOL],ROW()-1),"")</f>
        <v/>
      </c>
      <c r="AN143" t="str" cm="1">
        <f t="array" ref="AN143">IFERROR(IF(INDEX(tblTrades[sol_invested],ROW()-1)&gt;0.5,INDEX(tblAnalysis[Token],ROW()-1)&amp;" ("&amp;TEXT(INDEX(tblTrades[sol_invested],ROW()-1),"0.0")&amp;" SOL)",""),"")</f>
        <v/>
      </c>
      <c r="AO143" s="7" t="e" cm="1">
        <f t="array" ref="AO143">IF(INDEX(tblTrades[sol_invested],ROW()-1)&gt;0.5,INDEX(tblAnalysis[Cum P&amp;L SOL],ROW()-1),"")</f>
        <v>#REF!</v>
      </c>
      <c r="AP143" s="12" t="str" cm="1">
        <f t="array" ref="AP143">IFERROR(INDEX(tblAnalysis[Entry MC ($)],ROW()-1),"")</f>
        <v/>
      </c>
      <c r="AQ143" s="10" t="str" cm="1">
        <f t="array" ref="AQ143">IFERROR(INDEX(tblAnalysis[P&amp;L %],ROW()-1),"")</f>
        <v/>
      </c>
      <c r="AR143" t="str" cm="1">
        <f t="array" ref="AR143">IFERROR(INDEX(tblAnalysis[Hold Time (s)],ROW()-1),"")</f>
        <v/>
      </c>
      <c r="AS143" s="6" t="str" cm="1">
        <f t="array" ref="AS143">IFERROR(INDEX(tblAnalysis[P&amp;L SOL],ROW()-1),"")</f>
        <v/>
      </c>
      <c r="AT143"/>
      <c r="AY143" s="10"/>
      <c r="AZ143" s="10"/>
      <c r="BA143" s="6"/>
      <c r="BB143"/>
      <c r="BF143" t="str">
        <f t="shared" si="59"/>
        <v/>
      </c>
      <c r="BG143" s="27" t="str">
        <f t="shared" si="60"/>
        <v/>
      </c>
      <c r="BH143" t="str">
        <f t="shared" si="61"/>
        <v/>
      </c>
      <c r="BL143" s="29" t="e">
        <f t="shared" si="62"/>
        <v>#N/A</v>
      </c>
      <c r="BM143" s="29" t="e">
        <f t="shared" si="63"/>
        <v>#N/A</v>
      </c>
    </row>
    <row r="144" spans="1:65" x14ac:dyDescent="0.35">
      <c r="A144">
        <f t="shared" si="46"/>
        <v>143</v>
      </c>
      <c r="B144" t="e" cm="1">
        <f t="array" ref="B144">INDEX(tblTrades[token_name],ROW()-1)</f>
        <v>#REF!</v>
      </c>
      <c r="C144" s="27" t="e" cm="1">
        <f t="array" ref="C144">INDEX(tblTrades[entry_date],ROW()-1)</f>
        <v>#REF!</v>
      </c>
      <c r="D144" s="2" t="e" cm="1">
        <f t="array" ref="D144">INDEX(tblTrades[entry_mc_actual],ROW()-1)</f>
        <v>#REF!</v>
      </c>
      <c r="E144" s="2" t="e" cm="1">
        <f t="array" ref="E144">INDEX(tblTrades[exit_mc_actual],ROW()-1)</f>
        <v>#REF!</v>
      </c>
      <c r="F144" s="3" t="e" cm="1">
        <f t="array" ref="F144">INDEX(tblTrades[time_in_trade_seconds],ROW()-1)</f>
        <v>#REF!</v>
      </c>
      <c r="G144" s="4" t="str" cm="1">
        <f t="array" ref="G144">IFERROR(INDEX(tblTrades[pnl_percentage],ROW()-1)*1,"")</f>
        <v/>
      </c>
      <c r="H144" s="5" t="str" cm="1">
        <f t="array" ref="H144">IFERROR(INDEX(tblTrades[pnl_sol],ROW()-1)*1,"")</f>
        <v/>
      </c>
      <c r="I144" t="str">
        <f t="shared" si="47"/>
        <v/>
      </c>
      <c r="J144" t="str">
        <f t="shared" si="48"/>
        <v/>
      </c>
      <c r="K144" t="str">
        <f t="shared" si="49"/>
        <v/>
      </c>
      <c r="L144" s="20" t="str" cm="1">
        <f t="array" ref="L144">IFERROR(INDEX(tblTrades[sol_invested],ROW()-1),"")</f>
        <v/>
      </c>
      <c r="M144" s="1">
        <f>COUNTIFS(tblAnalysis[Token],tblAnalysis[[#This Row],[Token]])</f>
        <v>0</v>
      </c>
      <c r="N144" s="1">
        <f>COUNTIFS($B$2:B144,tblAnalysis[[#This Row],[Token]])</f>
        <v>0</v>
      </c>
      <c r="O144" s="5">
        <f>IFERROR(SUM($H$2:H144),"")</f>
        <v>0.40399999999999997</v>
      </c>
      <c r="P144" s="6"/>
      <c r="Q144" s="27"/>
      <c r="R144" s="6" t="str">
        <f>IF(Q144="","",SUMIFS(tblAnalysis[P&amp;L SOL],tblAnalysis[Date],Q144))</f>
        <v/>
      </c>
      <c r="S144" s="10" t="str">
        <f>IF(Q144="","",SUMIFS(tblAnalysis[P&amp;L %],tblAnalysis[Date],Q144))</f>
        <v/>
      </c>
      <c r="T144" s="6" t="str">
        <f>IF(Q144="","",IFERROR(SUM($R$2:R144),""))</f>
        <v/>
      </c>
      <c r="U144" t="str">
        <f>IF(Q144="","",COUNTIFS(tblAnalysis[Date],Q144))</f>
        <v/>
      </c>
      <c r="W144" s="27" t="str">
        <f t="shared" si="50"/>
        <v/>
      </c>
      <c r="X144" s="6" t="str">
        <f t="shared" si="51"/>
        <v/>
      </c>
      <c r="Y144" s="6" t="str">
        <f>IF(Q144="","",MAX(X144,_xlfn.MAXIFS(tblAnalysis[Cum P&amp;L SOL],tblAnalysis[Date],Q144)))</f>
        <v/>
      </c>
      <c r="Z144" s="6" t="str">
        <f>IF(Q144="","",MIN(X144,_xlfn.MINIFS(tblAnalysis[Cum P&amp;L SOL],tblAnalysis[Date],Q144)))</f>
        <v/>
      </c>
      <c r="AA144" s="6" t="str">
        <f t="shared" si="52"/>
        <v/>
      </c>
      <c r="AB144"/>
      <c r="AC144" s="27" t="str">
        <f t="shared" si="53"/>
        <v/>
      </c>
      <c r="AD144" s="10" t="str">
        <f t="shared" si="54"/>
        <v/>
      </c>
      <c r="AE144" s="10" t="str">
        <f t="shared" si="55"/>
        <v/>
      </c>
      <c r="AF144" s="10" t="str">
        <f t="shared" si="56"/>
        <v/>
      </c>
      <c r="AG144"/>
      <c r="AH144" t="str">
        <f t="shared" si="57"/>
        <v/>
      </c>
      <c r="AI144" t="str">
        <f t="shared" si="58"/>
        <v/>
      </c>
      <c r="AK144" cm="1">
        <f t="array" ref="AK144">IFERROR(IF(INDEX($A:$A,ROW())="","",INDEX($A:$A,ROW())),"")</f>
        <v>143</v>
      </c>
      <c r="AL144" t="str" cm="1">
        <f t="array" ref="AL144">IFERROR(INDEX(tblTrades[sol_invested],ROW()-1),"")</f>
        <v/>
      </c>
      <c r="AM144" s="6" t="str" cm="1">
        <f t="array" ref="AM144">IFERROR(INDEX(tblAnalysis[P&amp;L SOL],ROW()-1),"")</f>
        <v/>
      </c>
      <c r="AN144" t="str" cm="1">
        <f t="array" ref="AN144">IFERROR(IF(INDEX(tblTrades[sol_invested],ROW()-1)&gt;0.5,INDEX(tblAnalysis[Token],ROW()-1)&amp;" ("&amp;TEXT(INDEX(tblTrades[sol_invested],ROW()-1),"0.0")&amp;" SOL)",""),"")</f>
        <v/>
      </c>
      <c r="AO144" s="7" t="e" cm="1">
        <f t="array" ref="AO144">IF(INDEX(tblTrades[sol_invested],ROW()-1)&gt;0.5,INDEX(tblAnalysis[Cum P&amp;L SOL],ROW()-1),"")</f>
        <v>#REF!</v>
      </c>
      <c r="AP144" s="12" t="str" cm="1">
        <f t="array" ref="AP144">IFERROR(INDEX(tblAnalysis[Entry MC ($)],ROW()-1),"")</f>
        <v/>
      </c>
      <c r="AQ144" s="10" t="str" cm="1">
        <f t="array" ref="AQ144">IFERROR(INDEX(tblAnalysis[P&amp;L %],ROW()-1),"")</f>
        <v/>
      </c>
      <c r="AR144" t="str" cm="1">
        <f t="array" ref="AR144">IFERROR(INDEX(tblAnalysis[Hold Time (s)],ROW()-1),"")</f>
        <v/>
      </c>
      <c r="AS144" s="6" t="str" cm="1">
        <f t="array" ref="AS144">IFERROR(INDEX(tblAnalysis[P&amp;L SOL],ROW()-1),"")</f>
        <v/>
      </c>
      <c r="AT144"/>
      <c r="AY144" s="10"/>
      <c r="AZ144" s="10"/>
      <c r="BA144" s="6"/>
      <c r="BB144"/>
      <c r="BF144" t="str">
        <f t="shared" si="59"/>
        <v/>
      </c>
      <c r="BG144" s="27" t="str">
        <f t="shared" si="60"/>
        <v/>
      </c>
      <c r="BH144" t="str">
        <f t="shared" si="61"/>
        <v/>
      </c>
      <c r="BL144" s="29" t="e">
        <f t="shared" si="62"/>
        <v>#N/A</v>
      </c>
      <c r="BM144" s="29" t="e">
        <f t="shared" si="63"/>
        <v>#N/A</v>
      </c>
    </row>
    <row r="145" spans="1:65" x14ac:dyDescent="0.35">
      <c r="A145">
        <f t="shared" si="46"/>
        <v>144</v>
      </c>
      <c r="B145" t="e" cm="1">
        <f t="array" ref="B145">INDEX(tblTrades[token_name],ROW()-1)</f>
        <v>#REF!</v>
      </c>
      <c r="C145" s="27" t="e" cm="1">
        <f t="array" ref="C145">INDEX(tblTrades[entry_date],ROW()-1)</f>
        <v>#REF!</v>
      </c>
      <c r="D145" s="2" t="e" cm="1">
        <f t="array" ref="D145">INDEX(tblTrades[entry_mc_actual],ROW()-1)</f>
        <v>#REF!</v>
      </c>
      <c r="E145" s="2" t="e" cm="1">
        <f t="array" ref="E145">INDEX(tblTrades[exit_mc_actual],ROW()-1)</f>
        <v>#REF!</v>
      </c>
      <c r="F145" s="3" t="e" cm="1">
        <f t="array" ref="F145">INDEX(tblTrades[time_in_trade_seconds],ROW()-1)</f>
        <v>#REF!</v>
      </c>
      <c r="G145" s="4" t="str" cm="1">
        <f t="array" ref="G145">IFERROR(INDEX(tblTrades[pnl_percentage],ROW()-1)*1,"")</f>
        <v/>
      </c>
      <c r="H145" s="5" t="str" cm="1">
        <f t="array" ref="H145">IFERROR(INDEX(tblTrades[pnl_sol],ROW()-1)*1,"")</f>
        <v/>
      </c>
      <c r="I145" t="str">
        <f t="shared" si="47"/>
        <v/>
      </c>
      <c r="J145" t="str">
        <f t="shared" si="48"/>
        <v/>
      </c>
      <c r="K145" t="str">
        <f t="shared" si="49"/>
        <v/>
      </c>
      <c r="L145" s="20" t="str" cm="1">
        <f t="array" ref="L145">IFERROR(INDEX(tblTrades[sol_invested],ROW()-1),"")</f>
        <v/>
      </c>
      <c r="M145" s="1">
        <f>COUNTIFS(tblAnalysis[Token],tblAnalysis[[#This Row],[Token]])</f>
        <v>0</v>
      </c>
      <c r="N145" s="1">
        <f>COUNTIFS($B$2:B145,tblAnalysis[[#This Row],[Token]])</f>
        <v>0</v>
      </c>
      <c r="O145" s="5">
        <f>IFERROR(SUM($H$2:H145),"")</f>
        <v>0.40399999999999997</v>
      </c>
      <c r="P145" s="6"/>
      <c r="Q145" s="27"/>
      <c r="R145" s="6" t="str">
        <f>IF(Q145="","",SUMIFS(tblAnalysis[P&amp;L SOL],tblAnalysis[Date],Q145))</f>
        <v/>
      </c>
      <c r="S145" s="10" t="str">
        <f>IF(Q145="","",SUMIFS(tblAnalysis[P&amp;L %],tblAnalysis[Date],Q145))</f>
        <v/>
      </c>
      <c r="T145" s="6" t="str">
        <f>IF(Q145="","",IFERROR(SUM($R$2:R145),""))</f>
        <v/>
      </c>
      <c r="U145" t="str">
        <f>IF(Q145="","",COUNTIFS(tblAnalysis[Date],Q145))</f>
        <v/>
      </c>
      <c r="W145" s="27" t="str">
        <f t="shared" si="50"/>
        <v/>
      </c>
      <c r="X145" s="6" t="str">
        <f t="shared" si="51"/>
        <v/>
      </c>
      <c r="Y145" s="6" t="str">
        <f>IF(Q145="","",MAX(X145,_xlfn.MAXIFS(tblAnalysis[Cum P&amp;L SOL],tblAnalysis[Date],Q145)))</f>
        <v/>
      </c>
      <c r="Z145" s="6" t="str">
        <f>IF(Q145="","",MIN(X145,_xlfn.MINIFS(tblAnalysis[Cum P&amp;L SOL],tblAnalysis[Date],Q145)))</f>
        <v/>
      </c>
      <c r="AA145" s="6" t="str">
        <f t="shared" si="52"/>
        <v/>
      </c>
      <c r="AB145"/>
      <c r="AC145" s="27" t="str">
        <f t="shared" si="53"/>
        <v/>
      </c>
      <c r="AD145" s="10" t="str">
        <f t="shared" si="54"/>
        <v/>
      </c>
      <c r="AE145" s="10" t="str">
        <f t="shared" si="55"/>
        <v/>
      </c>
      <c r="AF145" s="10" t="str">
        <f t="shared" si="56"/>
        <v/>
      </c>
      <c r="AG145"/>
      <c r="AH145" t="str">
        <f t="shared" si="57"/>
        <v/>
      </c>
      <c r="AI145" t="str">
        <f t="shared" si="58"/>
        <v/>
      </c>
      <c r="AK145" cm="1">
        <f t="array" ref="AK145">IFERROR(IF(INDEX($A:$A,ROW())="","",INDEX($A:$A,ROW())),"")</f>
        <v>144</v>
      </c>
      <c r="AL145" t="str" cm="1">
        <f t="array" ref="AL145">IFERROR(INDEX(tblTrades[sol_invested],ROW()-1),"")</f>
        <v/>
      </c>
      <c r="AM145" s="6" t="str" cm="1">
        <f t="array" ref="AM145">IFERROR(INDEX(tblAnalysis[P&amp;L SOL],ROW()-1),"")</f>
        <v/>
      </c>
      <c r="AN145" t="str" cm="1">
        <f t="array" ref="AN145">IFERROR(IF(INDEX(tblTrades[sol_invested],ROW()-1)&gt;0.5,INDEX(tblAnalysis[Token],ROW()-1)&amp;" ("&amp;TEXT(INDEX(tblTrades[sol_invested],ROW()-1),"0.0")&amp;" SOL)",""),"")</f>
        <v/>
      </c>
      <c r="AO145" s="7" t="e" cm="1">
        <f t="array" ref="AO145">IF(INDEX(tblTrades[sol_invested],ROW()-1)&gt;0.5,INDEX(tblAnalysis[Cum P&amp;L SOL],ROW()-1),"")</f>
        <v>#REF!</v>
      </c>
      <c r="AP145" s="12" t="str" cm="1">
        <f t="array" ref="AP145">IFERROR(INDEX(tblAnalysis[Entry MC ($)],ROW()-1),"")</f>
        <v/>
      </c>
      <c r="AQ145" s="10" t="str" cm="1">
        <f t="array" ref="AQ145">IFERROR(INDEX(tblAnalysis[P&amp;L %],ROW()-1),"")</f>
        <v/>
      </c>
      <c r="AR145" t="str" cm="1">
        <f t="array" ref="AR145">IFERROR(INDEX(tblAnalysis[Hold Time (s)],ROW()-1),"")</f>
        <v/>
      </c>
      <c r="AS145" s="6" t="str" cm="1">
        <f t="array" ref="AS145">IFERROR(INDEX(tblAnalysis[P&amp;L SOL],ROW()-1),"")</f>
        <v/>
      </c>
      <c r="AT145"/>
      <c r="AY145" s="10"/>
      <c r="AZ145" s="10"/>
      <c r="BA145" s="6"/>
      <c r="BB145"/>
      <c r="BF145" t="str">
        <f t="shared" si="59"/>
        <v/>
      </c>
      <c r="BG145" s="27" t="str">
        <f t="shared" si="60"/>
        <v/>
      </c>
      <c r="BH145" t="str">
        <f t="shared" si="61"/>
        <v/>
      </c>
      <c r="BL145" s="29" t="e">
        <f t="shared" si="62"/>
        <v>#N/A</v>
      </c>
      <c r="BM145" s="29" t="e">
        <f t="shared" si="63"/>
        <v>#N/A</v>
      </c>
    </row>
    <row r="146" spans="1:65" x14ac:dyDescent="0.35">
      <c r="A146">
        <f t="shared" si="46"/>
        <v>145</v>
      </c>
      <c r="B146" t="e" cm="1">
        <f t="array" ref="B146">INDEX(tblTrades[token_name],ROW()-1)</f>
        <v>#REF!</v>
      </c>
      <c r="C146" s="27" t="e" cm="1">
        <f t="array" ref="C146">INDEX(tblTrades[entry_date],ROW()-1)</f>
        <v>#REF!</v>
      </c>
      <c r="D146" s="2" t="e" cm="1">
        <f t="array" ref="D146">INDEX(tblTrades[entry_mc_actual],ROW()-1)</f>
        <v>#REF!</v>
      </c>
      <c r="E146" s="2" t="e" cm="1">
        <f t="array" ref="E146">INDEX(tblTrades[exit_mc_actual],ROW()-1)</f>
        <v>#REF!</v>
      </c>
      <c r="F146" s="3" t="e" cm="1">
        <f t="array" ref="F146">INDEX(tblTrades[time_in_trade_seconds],ROW()-1)</f>
        <v>#REF!</v>
      </c>
      <c r="G146" s="4" t="str" cm="1">
        <f t="array" ref="G146">IFERROR(INDEX(tblTrades[pnl_percentage],ROW()-1)*1,"")</f>
        <v/>
      </c>
      <c r="H146" s="5" t="str" cm="1">
        <f t="array" ref="H146">IFERROR(INDEX(tblTrades[pnl_sol],ROW()-1)*1,"")</f>
        <v/>
      </c>
      <c r="I146" t="str">
        <f t="shared" si="47"/>
        <v/>
      </c>
      <c r="J146" t="str">
        <f t="shared" si="48"/>
        <v/>
      </c>
      <c r="K146" t="str">
        <f t="shared" si="49"/>
        <v/>
      </c>
      <c r="L146" s="20" t="str" cm="1">
        <f t="array" ref="L146">IFERROR(INDEX(tblTrades[sol_invested],ROW()-1),"")</f>
        <v/>
      </c>
      <c r="M146" s="1">
        <f>COUNTIFS(tblAnalysis[Token],tblAnalysis[[#This Row],[Token]])</f>
        <v>0</v>
      </c>
      <c r="N146" s="1">
        <f>COUNTIFS($B$2:B146,tblAnalysis[[#This Row],[Token]])</f>
        <v>0</v>
      </c>
      <c r="O146" s="5">
        <f>IFERROR(SUM($H$2:H146),"")</f>
        <v>0.40399999999999997</v>
      </c>
      <c r="P146" s="6"/>
      <c r="Q146" s="27"/>
      <c r="R146" s="6" t="str">
        <f>IF(Q146="","",SUMIFS(tblAnalysis[P&amp;L SOL],tblAnalysis[Date],Q146))</f>
        <v/>
      </c>
      <c r="S146" s="10" t="str">
        <f>IF(Q146="","",SUMIFS(tblAnalysis[P&amp;L %],tblAnalysis[Date],Q146))</f>
        <v/>
      </c>
      <c r="T146" s="6" t="str">
        <f>IF(Q146="","",IFERROR(SUM($R$2:R146),""))</f>
        <v/>
      </c>
      <c r="U146" t="str">
        <f>IF(Q146="","",COUNTIFS(tblAnalysis[Date],Q146))</f>
        <v/>
      </c>
      <c r="W146" s="27" t="str">
        <f t="shared" si="50"/>
        <v/>
      </c>
      <c r="X146" s="6" t="str">
        <f t="shared" si="51"/>
        <v/>
      </c>
      <c r="Y146" s="6" t="str">
        <f>IF(Q146="","",MAX(X146,_xlfn.MAXIFS(tblAnalysis[Cum P&amp;L SOL],tblAnalysis[Date],Q146)))</f>
        <v/>
      </c>
      <c r="Z146" s="6" t="str">
        <f>IF(Q146="","",MIN(X146,_xlfn.MINIFS(tblAnalysis[Cum P&amp;L SOL],tblAnalysis[Date],Q146)))</f>
        <v/>
      </c>
      <c r="AA146" s="6" t="str">
        <f t="shared" si="52"/>
        <v/>
      </c>
      <c r="AB146"/>
      <c r="AC146" s="27" t="str">
        <f t="shared" si="53"/>
        <v/>
      </c>
      <c r="AD146" s="10" t="str">
        <f t="shared" si="54"/>
        <v/>
      </c>
      <c r="AE146" s="10" t="str">
        <f t="shared" si="55"/>
        <v/>
      </c>
      <c r="AF146" s="10" t="str">
        <f t="shared" si="56"/>
        <v/>
      </c>
      <c r="AG146"/>
      <c r="AH146" t="str">
        <f t="shared" si="57"/>
        <v/>
      </c>
      <c r="AI146" t="str">
        <f t="shared" si="58"/>
        <v/>
      </c>
      <c r="AK146" cm="1">
        <f t="array" ref="AK146">IFERROR(IF(INDEX($A:$A,ROW())="","",INDEX($A:$A,ROW())),"")</f>
        <v>145</v>
      </c>
      <c r="AL146" t="str" cm="1">
        <f t="array" ref="AL146">IFERROR(INDEX(tblTrades[sol_invested],ROW()-1),"")</f>
        <v/>
      </c>
      <c r="AM146" s="6" t="str" cm="1">
        <f t="array" ref="AM146">IFERROR(INDEX(tblAnalysis[P&amp;L SOL],ROW()-1),"")</f>
        <v/>
      </c>
      <c r="AN146" t="str" cm="1">
        <f t="array" ref="AN146">IFERROR(IF(INDEX(tblTrades[sol_invested],ROW()-1)&gt;0.5,INDEX(tblAnalysis[Token],ROW()-1)&amp;" ("&amp;TEXT(INDEX(tblTrades[sol_invested],ROW()-1),"0.0")&amp;" SOL)",""),"")</f>
        <v/>
      </c>
      <c r="AO146" s="7" t="e" cm="1">
        <f t="array" ref="AO146">IF(INDEX(tblTrades[sol_invested],ROW()-1)&gt;0.5,INDEX(tblAnalysis[Cum P&amp;L SOL],ROW()-1),"")</f>
        <v>#REF!</v>
      </c>
      <c r="AP146" s="12" t="str" cm="1">
        <f t="array" ref="AP146">IFERROR(INDEX(tblAnalysis[Entry MC ($)],ROW()-1),"")</f>
        <v/>
      </c>
      <c r="AQ146" s="10" t="str" cm="1">
        <f t="array" ref="AQ146">IFERROR(INDEX(tblAnalysis[P&amp;L %],ROW()-1),"")</f>
        <v/>
      </c>
      <c r="AR146" t="str" cm="1">
        <f t="array" ref="AR146">IFERROR(INDEX(tblAnalysis[Hold Time (s)],ROW()-1),"")</f>
        <v/>
      </c>
      <c r="AS146" s="6" t="str" cm="1">
        <f t="array" ref="AS146">IFERROR(INDEX(tblAnalysis[P&amp;L SOL],ROW()-1),"")</f>
        <v/>
      </c>
      <c r="AT146"/>
      <c r="AY146" s="10"/>
      <c r="AZ146" s="10"/>
      <c r="BA146" s="6"/>
      <c r="BB146"/>
      <c r="BF146" t="str">
        <f t="shared" si="59"/>
        <v/>
      </c>
      <c r="BG146" s="27" t="str">
        <f t="shared" si="60"/>
        <v/>
      </c>
      <c r="BH146" t="str">
        <f t="shared" si="61"/>
        <v/>
      </c>
      <c r="BL146" s="29" t="e">
        <f t="shared" si="62"/>
        <v>#N/A</v>
      </c>
      <c r="BM146" s="29" t="e">
        <f t="shared" si="63"/>
        <v>#N/A</v>
      </c>
    </row>
    <row r="147" spans="1:65" x14ac:dyDescent="0.35">
      <c r="A147">
        <f t="shared" si="46"/>
        <v>146</v>
      </c>
      <c r="B147" t="e" cm="1">
        <f t="array" ref="B147">INDEX(tblTrades[token_name],ROW()-1)</f>
        <v>#REF!</v>
      </c>
      <c r="C147" s="27" t="e" cm="1">
        <f t="array" ref="C147">INDEX(tblTrades[entry_date],ROW()-1)</f>
        <v>#REF!</v>
      </c>
      <c r="D147" s="2" t="e" cm="1">
        <f t="array" ref="D147">INDEX(tblTrades[entry_mc_actual],ROW()-1)</f>
        <v>#REF!</v>
      </c>
      <c r="E147" s="2" t="e" cm="1">
        <f t="array" ref="E147">INDEX(tblTrades[exit_mc_actual],ROW()-1)</f>
        <v>#REF!</v>
      </c>
      <c r="F147" s="3" t="e" cm="1">
        <f t="array" ref="F147">INDEX(tblTrades[time_in_trade_seconds],ROW()-1)</f>
        <v>#REF!</v>
      </c>
      <c r="G147" s="4" t="str" cm="1">
        <f t="array" ref="G147">IFERROR(INDEX(tblTrades[pnl_percentage],ROW()-1)*1,"")</f>
        <v/>
      </c>
      <c r="H147" s="5" t="str" cm="1">
        <f t="array" ref="H147">IFERROR(INDEX(tblTrades[pnl_sol],ROW()-1)*1,"")</f>
        <v/>
      </c>
      <c r="I147" t="str">
        <f t="shared" si="47"/>
        <v/>
      </c>
      <c r="J147" t="str">
        <f t="shared" si="48"/>
        <v/>
      </c>
      <c r="K147" t="str">
        <f t="shared" si="49"/>
        <v/>
      </c>
      <c r="L147" s="20" t="str" cm="1">
        <f t="array" ref="L147">IFERROR(INDEX(tblTrades[sol_invested],ROW()-1),"")</f>
        <v/>
      </c>
      <c r="M147" s="1">
        <f>COUNTIFS(tblAnalysis[Token],tblAnalysis[[#This Row],[Token]])</f>
        <v>0</v>
      </c>
      <c r="N147" s="1">
        <f>COUNTIFS($B$2:B147,tblAnalysis[[#This Row],[Token]])</f>
        <v>0</v>
      </c>
      <c r="O147" s="5">
        <f>IFERROR(SUM($H$2:H147),"")</f>
        <v>0.40399999999999997</v>
      </c>
      <c r="P147" s="6"/>
      <c r="Q147" s="27"/>
      <c r="R147" s="6" t="str">
        <f>IF(Q147="","",SUMIFS(tblAnalysis[P&amp;L SOL],tblAnalysis[Date],Q147))</f>
        <v/>
      </c>
      <c r="S147" s="10" t="str">
        <f>IF(Q147="","",SUMIFS(tblAnalysis[P&amp;L %],tblAnalysis[Date],Q147))</f>
        <v/>
      </c>
      <c r="T147" s="6" t="str">
        <f>IF(Q147="","",IFERROR(SUM($R$2:R147),""))</f>
        <v/>
      </c>
      <c r="U147" t="str">
        <f>IF(Q147="","",COUNTIFS(tblAnalysis[Date],Q147))</f>
        <v/>
      </c>
      <c r="W147" s="27" t="str">
        <f t="shared" si="50"/>
        <v/>
      </c>
      <c r="X147" s="6" t="str">
        <f t="shared" si="51"/>
        <v/>
      </c>
      <c r="Y147" s="6" t="str">
        <f>IF(Q147="","",MAX(X147,_xlfn.MAXIFS(tblAnalysis[Cum P&amp;L SOL],tblAnalysis[Date],Q147)))</f>
        <v/>
      </c>
      <c r="Z147" s="6" t="str">
        <f>IF(Q147="","",MIN(X147,_xlfn.MINIFS(tblAnalysis[Cum P&amp;L SOL],tblAnalysis[Date],Q147)))</f>
        <v/>
      </c>
      <c r="AA147" s="6" t="str">
        <f t="shared" si="52"/>
        <v/>
      </c>
      <c r="AB147"/>
      <c r="AC147" s="27" t="str">
        <f t="shared" si="53"/>
        <v/>
      </c>
      <c r="AD147" s="10" t="str">
        <f t="shared" si="54"/>
        <v/>
      </c>
      <c r="AE147" s="10" t="str">
        <f t="shared" si="55"/>
        <v/>
      </c>
      <c r="AF147" s="10" t="str">
        <f t="shared" si="56"/>
        <v/>
      </c>
      <c r="AG147"/>
      <c r="AH147" t="str">
        <f t="shared" si="57"/>
        <v/>
      </c>
      <c r="AI147" t="str">
        <f t="shared" si="58"/>
        <v/>
      </c>
      <c r="AK147" cm="1">
        <f t="array" ref="AK147">IFERROR(IF(INDEX($A:$A,ROW())="","",INDEX($A:$A,ROW())),"")</f>
        <v>146</v>
      </c>
      <c r="AL147" t="str" cm="1">
        <f t="array" ref="AL147">IFERROR(INDEX(tblTrades[sol_invested],ROW()-1),"")</f>
        <v/>
      </c>
      <c r="AM147" s="6" t="str" cm="1">
        <f t="array" ref="AM147">IFERROR(INDEX(tblAnalysis[P&amp;L SOL],ROW()-1),"")</f>
        <v/>
      </c>
      <c r="AN147" t="str" cm="1">
        <f t="array" ref="AN147">IFERROR(IF(INDEX(tblTrades[sol_invested],ROW()-1)&gt;0.5,INDEX(tblAnalysis[Token],ROW()-1)&amp;" ("&amp;TEXT(INDEX(tblTrades[sol_invested],ROW()-1),"0.0")&amp;" SOL)",""),"")</f>
        <v/>
      </c>
      <c r="AO147" s="7" t="e" cm="1">
        <f t="array" ref="AO147">IF(INDEX(tblTrades[sol_invested],ROW()-1)&gt;0.5,INDEX(tblAnalysis[Cum P&amp;L SOL],ROW()-1),"")</f>
        <v>#REF!</v>
      </c>
      <c r="AP147" s="12" t="str" cm="1">
        <f t="array" ref="AP147">IFERROR(INDEX(tblAnalysis[Entry MC ($)],ROW()-1),"")</f>
        <v/>
      </c>
      <c r="AQ147" s="10" t="str" cm="1">
        <f t="array" ref="AQ147">IFERROR(INDEX(tblAnalysis[P&amp;L %],ROW()-1),"")</f>
        <v/>
      </c>
      <c r="AR147" t="str" cm="1">
        <f t="array" ref="AR147">IFERROR(INDEX(tblAnalysis[Hold Time (s)],ROW()-1),"")</f>
        <v/>
      </c>
      <c r="AS147" s="6" t="str" cm="1">
        <f t="array" ref="AS147">IFERROR(INDEX(tblAnalysis[P&amp;L SOL],ROW()-1),"")</f>
        <v/>
      </c>
      <c r="AT147"/>
      <c r="AY147" s="10"/>
      <c r="AZ147" s="10"/>
      <c r="BA147" s="6"/>
      <c r="BB147"/>
      <c r="BF147" t="str">
        <f t="shared" si="59"/>
        <v/>
      </c>
      <c r="BG147" s="27" t="str">
        <f t="shared" si="60"/>
        <v/>
      </c>
      <c r="BH147" t="str">
        <f t="shared" si="61"/>
        <v/>
      </c>
      <c r="BL147" s="29" t="e">
        <f t="shared" si="62"/>
        <v>#N/A</v>
      </c>
      <c r="BM147" s="29" t="e">
        <f t="shared" si="63"/>
        <v>#N/A</v>
      </c>
    </row>
    <row r="148" spans="1:65" x14ac:dyDescent="0.35">
      <c r="A148">
        <f t="shared" si="46"/>
        <v>147</v>
      </c>
      <c r="B148" t="e" cm="1">
        <f t="array" ref="B148">INDEX(tblTrades[token_name],ROW()-1)</f>
        <v>#REF!</v>
      </c>
      <c r="C148" s="27" t="e" cm="1">
        <f t="array" ref="C148">INDEX(tblTrades[entry_date],ROW()-1)</f>
        <v>#REF!</v>
      </c>
      <c r="D148" s="2" t="e" cm="1">
        <f t="array" ref="D148">INDEX(tblTrades[entry_mc_actual],ROW()-1)</f>
        <v>#REF!</v>
      </c>
      <c r="E148" s="2" t="e" cm="1">
        <f t="array" ref="E148">INDEX(tblTrades[exit_mc_actual],ROW()-1)</f>
        <v>#REF!</v>
      </c>
      <c r="F148" s="3" t="e" cm="1">
        <f t="array" ref="F148">INDEX(tblTrades[time_in_trade_seconds],ROW()-1)</f>
        <v>#REF!</v>
      </c>
      <c r="G148" s="4" t="str" cm="1">
        <f t="array" ref="G148">IFERROR(INDEX(tblTrades[pnl_percentage],ROW()-1)*1,"")</f>
        <v/>
      </c>
      <c r="H148" s="5" t="str" cm="1">
        <f t="array" ref="H148">IFERROR(INDEX(tblTrades[pnl_sol],ROW()-1)*1,"")</f>
        <v/>
      </c>
      <c r="I148" t="str">
        <f t="shared" si="47"/>
        <v/>
      </c>
      <c r="J148" t="str">
        <f t="shared" si="48"/>
        <v/>
      </c>
      <c r="K148" t="str">
        <f t="shared" si="49"/>
        <v/>
      </c>
      <c r="L148" s="20" t="str" cm="1">
        <f t="array" ref="L148">IFERROR(INDEX(tblTrades[sol_invested],ROW()-1),"")</f>
        <v/>
      </c>
      <c r="M148" s="1">
        <f>COUNTIFS(tblAnalysis[Token],tblAnalysis[[#This Row],[Token]])</f>
        <v>0</v>
      </c>
      <c r="N148" s="1">
        <f>COUNTIFS($B$2:B148,tblAnalysis[[#This Row],[Token]])</f>
        <v>0</v>
      </c>
      <c r="O148" s="5">
        <f>IFERROR(SUM($H$2:H148),"")</f>
        <v>0.40399999999999997</v>
      </c>
      <c r="P148" s="6"/>
      <c r="Q148" s="27"/>
      <c r="R148" s="6" t="str">
        <f>IF(Q148="","",SUMIFS(tblAnalysis[P&amp;L SOL],tblAnalysis[Date],Q148))</f>
        <v/>
      </c>
      <c r="S148" s="10" t="str">
        <f>IF(Q148="","",SUMIFS(tblAnalysis[P&amp;L %],tblAnalysis[Date],Q148))</f>
        <v/>
      </c>
      <c r="T148" s="6" t="str">
        <f>IF(Q148="","",IFERROR(SUM($R$2:R148),""))</f>
        <v/>
      </c>
      <c r="U148" t="str">
        <f>IF(Q148="","",COUNTIFS(tblAnalysis[Date],Q148))</f>
        <v/>
      </c>
      <c r="W148" s="27" t="str">
        <f t="shared" si="50"/>
        <v/>
      </c>
      <c r="X148" s="6" t="str">
        <f t="shared" si="51"/>
        <v/>
      </c>
      <c r="Y148" s="6" t="str">
        <f>IF(Q148="","",MAX(X148,_xlfn.MAXIFS(tblAnalysis[Cum P&amp;L SOL],tblAnalysis[Date],Q148)))</f>
        <v/>
      </c>
      <c r="Z148" s="6" t="str">
        <f>IF(Q148="","",MIN(X148,_xlfn.MINIFS(tblAnalysis[Cum P&amp;L SOL],tblAnalysis[Date],Q148)))</f>
        <v/>
      </c>
      <c r="AA148" s="6" t="str">
        <f t="shared" si="52"/>
        <v/>
      </c>
      <c r="AB148"/>
      <c r="AC148" s="27" t="str">
        <f t="shared" si="53"/>
        <v/>
      </c>
      <c r="AD148" s="10" t="str">
        <f t="shared" si="54"/>
        <v/>
      </c>
      <c r="AE148" s="10" t="str">
        <f t="shared" si="55"/>
        <v/>
      </c>
      <c r="AF148" s="10" t="str">
        <f t="shared" si="56"/>
        <v/>
      </c>
      <c r="AG148"/>
      <c r="AH148" t="str">
        <f t="shared" si="57"/>
        <v/>
      </c>
      <c r="AI148" t="str">
        <f t="shared" si="58"/>
        <v/>
      </c>
      <c r="AK148" cm="1">
        <f t="array" ref="AK148">IFERROR(IF(INDEX($A:$A,ROW())="","",INDEX($A:$A,ROW())),"")</f>
        <v>147</v>
      </c>
      <c r="AL148" t="str" cm="1">
        <f t="array" ref="AL148">IFERROR(INDEX(tblTrades[sol_invested],ROW()-1),"")</f>
        <v/>
      </c>
      <c r="AM148" s="6" t="str" cm="1">
        <f t="array" ref="AM148">IFERROR(INDEX(tblAnalysis[P&amp;L SOL],ROW()-1),"")</f>
        <v/>
      </c>
      <c r="AN148" t="str" cm="1">
        <f t="array" ref="AN148">IFERROR(IF(INDEX(tblTrades[sol_invested],ROW()-1)&gt;0.5,INDEX(tblAnalysis[Token],ROW()-1)&amp;" ("&amp;TEXT(INDEX(tblTrades[sol_invested],ROW()-1),"0.0")&amp;" SOL)",""),"")</f>
        <v/>
      </c>
      <c r="AO148" s="7" t="e" cm="1">
        <f t="array" ref="AO148">IF(INDEX(tblTrades[sol_invested],ROW()-1)&gt;0.5,INDEX(tblAnalysis[Cum P&amp;L SOL],ROW()-1),"")</f>
        <v>#REF!</v>
      </c>
      <c r="AP148" s="12" t="str" cm="1">
        <f t="array" ref="AP148">IFERROR(INDEX(tblAnalysis[Entry MC ($)],ROW()-1),"")</f>
        <v/>
      </c>
      <c r="AQ148" s="10" t="str" cm="1">
        <f t="array" ref="AQ148">IFERROR(INDEX(tblAnalysis[P&amp;L %],ROW()-1),"")</f>
        <v/>
      </c>
      <c r="AR148" t="str" cm="1">
        <f t="array" ref="AR148">IFERROR(INDEX(tblAnalysis[Hold Time (s)],ROW()-1),"")</f>
        <v/>
      </c>
      <c r="AS148" s="6" t="str" cm="1">
        <f t="array" ref="AS148">IFERROR(INDEX(tblAnalysis[P&amp;L SOL],ROW()-1),"")</f>
        <v/>
      </c>
      <c r="AT148"/>
      <c r="AY148" s="10"/>
      <c r="AZ148" s="10"/>
      <c r="BA148" s="6"/>
      <c r="BB148"/>
      <c r="BF148" t="str">
        <f t="shared" si="59"/>
        <v/>
      </c>
      <c r="BG148" s="27" t="str">
        <f t="shared" si="60"/>
        <v/>
      </c>
      <c r="BH148" t="str">
        <f t="shared" si="61"/>
        <v/>
      </c>
      <c r="BL148" s="29" t="e">
        <f t="shared" si="62"/>
        <v>#N/A</v>
      </c>
      <c r="BM148" s="29" t="e">
        <f t="shared" si="63"/>
        <v>#N/A</v>
      </c>
    </row>
    <row r="149" spans="1:65" x14ac:dyDescent="0.35">
      <c r="A149">
        <f t="shared" si="46"/>
        <v>148</v>
      </c>
      <c r="B149" t="e" cm="1">
        <f t="array" ref="B149">INDEX(tblTrades[token_name],ROW()-1)</f>
        <v>#REF!</v>
      </c>
      <c r="C149" s="27" t="e" cm="1">
        <f t="array" ref="C149">INDEX(tblTrades[entry_date],ROW()-1)</f>
        <v>#REF!</v>
      </c>
      <c r="D149" s="2" t="e" cm="1">
        <f t="array" ref="D149">INDEX(tblTrades[entry_mc_actual],ROW()-1)</f>
        <v>#REF!</v>
      </c>
      <c r="E149" s="2" t="e" cm="1">
        <f t="array" ref="E149">INDEX(tblTrades[exit_mc_actual],ROW()-1)</f>
        <v>#REF!</v>
      </c>
      <c r="F149" s="3" t="e" cm="1">
        <f t="array" ref="F149">INDEX(tblTrades[time_in_trade_seconds],ROW()-1)</f>
        <v>#REF!</v>
      </c>
      <c r="G149" s="4" t="str" cm="1">
        <f t="array" ref="G149">IFERROR(INDEX(tblTrades[pnl_percentage],ROW()-1)*1,"")</f>
        <v/>
      </c>
      <c r="H149" s="5" t="str" cm="1">
        <f t="array" ref="H149">IFERROR(INDEX(tblTrades[pnl_sol],ROW()-1)*1,"")</f>
        <v/>
      </c>
      <c r="I149" t="str">
        <f t="shared" si="47"/>
        <v/>
      </c>
      <c r="J149" t="str">
        <f t="shared" si="48"/>
        <v/>
      </c>
      <c r="K149" t="str">
        <f t="shared" si="49"/>
        <v/>
      </c>
      <c r="L149" s="20" t="str" cm="1">
        <f t="array" ref="L149">IFERROR(INDEX(tblTrades[sol_invested],ROW()-1),"")</f>
        <v/>
      </c>
      <c r="M149" s="1">
        <f>COUNTIFS(tblAnalysis[Token],tblAnalysis[[#This Row],[Token]])</f>
        <v>0</v>
      </c>
      <c r="N149" s="1">
        <f>COUNTIFS($B$2:B149,tblAnalysis[[#This Row],[Token]])</f>
        <v>0</v>
      </c>
      <c r="O149" s="5">
        <f>IFERROR(SUM($H$2:H149),"")</f>
        <v>0.40399999999999997</v>
      </c>
      <c r="P149" s="6"/>
      <c r="Q149" s="27"/>
      <c r="R149" s="6" t="str">
        <f>IF(Q149="","",SUMIFS(tblAnalysis[P&amp;L SOL],tblAnalysis[Date],Q149))</f>
        <v/>
      </c>
      <c r="S149" s="10" t="str">
        <f>IF(Q149="","",SUMIFS(tblAnalysis[P&amp;L %],tblAnalysis[Date],Q149))</f>
        <v/>
      </c>
      <c r="T149" s="6" t="str">
        <f>IF(Q149="","",IFERROR(SUM($R$2:R149),""))</f>
        <v/>
      </c>
      <c r="U149" t="str">
        <f>IF(Q149="","",COUNTIFS(tblAnalysis[Date],Q149))</f>
        <v/>
      </c>
      <c r="W149" s="27" t="str">
        <f t="shared" si="50"/>
        <v/>
      </c>
      <c r="X149" s="6" t="str">
        <f t="shared" si="51"/>
        <v/>
      </c>
      <c r="Y149" s="6" t="str">
        <f>IF(Q149="","",MAX(X149,_xlfn.MAXIFS(tblAnalysis[Cum P&amp;L SOL],tblAnalysis[Date],Q149)))</f>
        <v/>
      </c>
      <c r="Z149" s="6" t="str">
        <f>IF(Q149="","",MIN(X149,_xlfn.MINIFS(tblAnalysis[Cum P&amp;L SOL],tblAnalysis[Date],Q149)))</f>
        <v/>
      </c>
      <c r="AA149" s="6" t="str">
        <f t="shared" si="52"/>
        <v/>
      </c>
      <c r="AB149"/>
      <c r="AC149" s="27" t="str">
        <f t="shared" si="53"/>
        <v/>
      </c>
      <c r="AD149" s="10" t="str">
        <f t="shared" si="54"/>
        <v/>
      </c>
      <c r="AE149" s="10" t="str">
        <f t="shared" si="55"/>
        <v/>
      </c>
      <c r="AF149" s="10" t="str">
        <f t="shared" si="56"/>
        <v/>
      </c>
      <c r="AG149"/>
      <c r="AH149" t="str">
        <f t="shared" si="57"/>
        <v/>
      </c>
      <c r="AI149" t="str">
        <f t="shared" si="58"/>
        <v/>
      </c>
      <c r="AK149" cm="1">
        <f t="array" ref="AK149">IFERROR(IF(INDEX($A:$A,ROW())="","",INDEX($A:$A,ROW())),"")</f>
        <v>148</v>
      </c>
      <c r="AL149" t="str" cm="1">
        <f t="array" ref="AL149">IFERROR(INDEX(tblTrades[sol_invested],ROW()-1),"")</f>
        <v/>
      </c>
      <c r="AM149" s="6" t="str" cm="1">
        <f t="array" ref="AM149">IFERROR(INDEX(tblAnalysis[P&amp;L SOL],ROW()-1),"")</f>
        <v/>
      </c>
      <c r="AN149" t="str" cm="1">
        <f t="array" ref="AN149">IFERROR(IF(INDEX(tblTrades[sol_invested],ROW()-1)&gt;0.5,INDEX(tblAnalysis[Token],ROW()-1)&amp;" ("&amp;TEXT(INDEX(tblTrades[sol_invested],ROW()-1),"0.0")&amp;" SOL)",""),"")</f>
        <v/>
      </c>
      <c r="AO149" s="7" t="e" cm="1">
        <f t="array" ref="AO149">IF(INDEX(tblTrades[sol_invested],ROW()-1)&gt;0.5,INDEX(tblAnalysis[Cum P&amp;L SOL],ROW()-1),"")</f>
        <v>#REF!</v>
      </c>
      <c r="AP149" s="12" t="str" cm="1">
        <f t="array" ref="AP149">IFERROR(INDEX(tblAnalysis[Entry MC ($)],ROW()-1),"")</f>
        <v/>
      </c>
      <c r="AQ149" s="10" t="str" cm="1">
        <f t="array" ref="AQ149">IFERROR(INDEX(tblAnalysis[P&amp;L %],ROW()-1),"")</f>
        <v/>
      </c>
      <c r="AR149" t="str" cm="1">
        <f t="array" ref="AR149">IFERROR(INDEX(tblAnalysis[Hold Time (s)],ROW()-1),"")</f>
        <v/>
      </c>
      <c r="AS149" s="6" t="str" cm="1">
        <f t="array" ref="AS149">IFERROR(INDEX(tblAnalysis[P&amp;L SOL],ROW()-1),"")</f>
        <v/>
      </c>
      <c r="AT149"/>
      <c r="AY149" s="10"/>
      <c r="AZ149" s="10"/>
      <c r="BA149" s="6"/>
      <c r="BB149"/>
      <c r="BF149" t="str">
        <f t="shared" si="59"/>
        <v/>
      </c>
      <c r="BG149" s="27" t="str">
        <f t="shared" si="60"/>
        <v/>
      </c>
      <c r="BH149" t="str">
        <f t="shared" si="61"/>
        <v/>
      </c>
      <c r="BL149" s="29" t="e">
        <f t="shared" si="62"/>
        <v>#N/A</v>
      </c>
      <c r="BM149" s="29" t="e">
        <f t="shared" si="63"/>
        <v>#N/A</v>
      </c>
    </row>
    <row r="150" spans="1:65" x14ac:dyDescent="0.35">
      <c r="A150">
        <f t="shared" si="46"/>
        <v>149</v>
      </c>
      <c r="B150" t="e" cm="1">
        <f t="array" ref="B150">INDEX(tblTrades[token_name],ROW()-1)</f>
        <v>#REF!</v>
      </c>
      <c r="C150" s="27" t="e" cm="1">
        <f t="array" ref="C150">INDEX(tblTrades[entry_date],ROW()-1)</f>
        <v>#REF!</v>
      </c>
      <c r="D150" s="2" t="e" cm="1">
        <f t="array" ref="D150">INDEX(tblTrades[entry_mc_actual],ROW()-1)</f>
        <v>#REF!</v>
      </c>
      <c r="E150" s="2" t="e" cm="1">
        <f t="array" ref="E150">INDEX(tblTrades[exit_mc_actual],ROW()-1)</f>
        <v>#REF!</v>
      </c>
      <c r="F150" s="3" t="e" cm="1">
        <f t="array" ref="F150">INDEX(tblTrades[time_in_trade_seconds],ROW()-1)</f>
        <v>#REF!</v>
      </c>
      <c r="G150" s="4" t="str" cm="1">
        <f t="array" ref="G150">IFERROR(INDEX(tblTrades[pnl_percentage],ROW()-1)*1,"")</f>
        <v/>
      </c>
      <c r="H150" s="5" t="str" cm="1">
        <f t="array" ref="H150">IFERROR(INDEX(tblTrades[pnl_sol],ROW()-1)*1,"")</f>
        <v/>
      </c>
      <c r="I150" t="str">
        <f t="shared" si="47"/>
        <v/>
      </c>
      <c r="J150" t="str">
        <f t="shared" si="48"/>
        <v/>
      </c>
      <c r="K150" t="str">
        <f t="shared" si="49"/>
        <v/>
      </c>
      <c r="L150" s="20" t="str" cm="1">
        <f t="array" ref="L150">IFERROR(INDEX(tblTrades[sol_invested],ROW()-1),"")</f>
        <v/>
      </c>
      <c r="M150" s="1">
        <f>COUNTIFS(tblAnalysis[Token],tblAnalysis[[#This Row],[Token]])</f>
        <v>0</v>
      </c>
      <c r="N150" s="1">
        <f>COUNTIFS($B$2:B150,tblAnalysis[[#This Row],[Token]])</f>
        <v>0</v>
      </c>
      <c r="O150" s="5">
        <f>IFERROR(SUM($H$2:H150),"")</f>
        <v>0.40399999999999997</v>
      </c>
      <c r="P150" s="6"/>
      <c r="Q150" s="27"/>
      <c r="R150" s="6" t="str">
        <f>IF(Q150="","",SUMIFS(tblAnalysis[P&amp;L SOL],tblAnalysis[Date],Q150))</f>
        <v/>
      </c>
      <c r="S150" s="10" t="str">
        <f>IF(Q150="","",SUMIFS(tblAnalysis[P&amp;L %],tblAnalysis[Date],Q150))</f>
        <v/>
      </c>
      <c r="T150" s="6" t="str">
        <f>IF(Q150="","",IFERROR(SUM($R$2:R150),""))</f>
        <v/>
      </c>
      <c r="U150" t="str">
        <f>IF(Q150="","",COUNTIFS(tblAnalysis[Date],Q150))</f>
        <v/>
      </c>
      <c r="W150" s="27" t="str">
        <f t="shared" si="50"/>
        <v/>
      </c>
      <c r="X150" s="6" t="str">
        <f t="shared" si="51"/>
        <v/>
      </c>
      <c r="Y150" s="6" t="str">
        <f>IF(Q150="","",MAX(X150,_xlfn.MAXIFS(tblAnalysis[Cum P&amp;L SOL],tblAnalysis[Date],Q150)))</f>
        <v/>
      </c>
      <c r="Z150" s="6" t="str">
        <f>IF(Q150="","",MIN(X150,_xlfn.MINIFS(tblAnalysis[Cum P&amp;L SOL],tblAnalysis[Date],Q150)))</f>
        <v/>
      </c>
      <c r="AA150" s="6" t="str">
        <f t="shared" si="52"/>
        <v/>
      </c>
      <c r="AB150"/>
      <c r="AC150" s="27" t="str">
        <f t="shared" si="53"/>
        <v/>
      </c>
      <c r="AD150" s="10" t="str">
        <f t="shared" si="54"/>
        <v/>
      </c>
      <c r="AE150" s="10" t="str">
        <f t="shared" si="55"/>
        <v/>
      </c>
      <c r="AF150" s="10" t="str">
        <f t="shared" si="56"/>
        <v/>
      </c>
      <c r="AG150"/>
      <c r="AH150" t="str">
        <f t="shared" si="57"/>
        <v/>
      </c>
      <c r="AI150" t="str">
        <f t="shared" si="58"/>
        <v/>
      </c>
      <c r="AK150" cm="1">
        <f t="array" ref="AK150">IFERROR(IF(INDEX($A:$A,ROW())="","",INDEX($A:$A,ROW())),"")</f>
        <v>149</v>
      </c>
      <c r="AL150" t="str" cm="1">
        <f t="array" ref="AL150">IFERROR(INDEX(tblTrades[sol_invested],ROW()-1),"")</f>
        <v/>
      </c>
      <c r="AM150" s="6" t="str" cm="1">
        <f t="array" ref="AM150">IFERROR(INDEX(tblAnalysis[P&amp;L SOL],ROW()-1),"")</f>
        <v/>
      </c>
      <c r="AN150" t="str" cm="1">
        <f t="array" ref="AN150">IFERROR(IF(INDEX(tblTrades[sol_invested],ROW()-1)&gt;0.5,INDEX(tblAnalysis[Token],ROW()-1)&amp;" ("&amp;TEXT(INDEX(tblTrades[sol_invested],ROW()-1),"0.0")&amp;" SOL)",""),"")</f>
        <v/>
      </c>
      <c r="AO150" s="7" t="e" cm="1">
        <f t="array" ref="AO150">IF(INDEX(tblTrades[sol_invested],ROW()-1)&gt;0.5,INDEX(tblAnalysis[Cum P&amp;L SOL],ROW()-1),"")</f>
        <v>#REF!</v>
      </c>
      <c r="AP150" s="12" t="str" cm="1">
        <f t="array" ref="AP150">IFERROR(INDEX(tblAnalysis[Entry MC ($)],ROW()-1),"")</f>
        <v/>
      </c>
      <c r="AQ150" s="10" t="str" cm="1">
        <f t="array" ref="AQ150">IFERROR(INDEX(tblAnalysis[P&amp;L %],ROW()-1),"")</f>
        <v/>
      </c>
      <c r="AR150" t="str" cm="1">
        <f t="array" ref="AR150">IFERROR(INDEX(tblAnalysis[Hold Time (s)],ROW()-1),"")</f>
        <v/>
      </c>
      <c r="AS150" s="6" t="str" cm="1">
        <f t="array" ref="AS150">IFERROR(INDEX(tblAnalysis[P&amp;L SOL],ROW()-1),"")</f>
        <v/>
      </c>
      <c r="AT150"/>
      <c r="AY150" s="10"/>
      <c r="AZ150" s="10"/>
      <c r="BA150" s="6"/>
      <c r="BB150"/>
      <c r="BF150" t="str">
        <f t="shared" si="59"/>
        <v/>
      </c>
      <c r="BG150" s="27" t="str">
        <f t="shared" si="60"/>
        <v/>
      </c>
      <c r="BH150" t="str">
        <f t="shared" si="61"/>
        <v/>
      </c>
      <c r="BL150" s="29" t="e">
        <f t="shared" si="62"/>
        <v>#N/A</v>
      </c>
      <c r="BM150" s="29" t="e">
        <f t="shared" si="63"/>
        <v>#N/A</v>
      </c>
    </row>
    <row r="151" spans="1:65" x14ac:dyDescent="0.35">
      <c r="A151">
        <f t="shared" si="46"/>
        <v>150</v>
      </c>
      <c r="B151" t="e" cm="1">
        <f t="array" ref="B151">INDEX(tblTrades[token_name],ROW()-1)</f>
        <v>#REF!</v>
      </c>
      <c r="C151" s="27" t="e" cm="1">
        <f t="array" ref="C151">INDEX(tblTrades[entry_date],ROW()-1)</f>
        <v>#REF!</v>
      </c>
      <c r="D151" s="2" t="e" cm="1">
        <f t="array" ref="D151">INDEX(tblTrades[entry_mc_actual],ROW()-1)</f>
        <v>#REF!</v>
      </c>
      <c r="E151" s="2" t="e" cm="1">
        <f t="array" ref="E151">INDEX(tblTrades[exit_mc_actual],ROW()-1)</f>
        <v>#REF!</v>
      </c>
      <c r="F151" s="3" t="e" cm="1">
        <f t="array" ref="F151">INDEX(tblTrades[time_in_trade_seconds],ROW()-1)</f>
        <v>#REF!</v>
      </c>
      <c r="G151" s="4" t="str" cm="1">
        <f t="array" ref="G151">IFERROR(INDEX(tblTrades[pnl_percentage],ROW()-1)*1,"")</f>
        <v/>
      </c>
      <c r="H151" s="5" t="str" cm="1">
        <f t="array" ref="H151">IFERROR(INDEX(tblTrades[pnl_sol],ROW()-1)*1,"")</f>
        <v/>
      </c>
      <c r="I151" t="str">
        <f t="shared" si="47"/>
        <v/>
      </c>
      <c r="J151" t="str">
        <f t="shared" si="48"/>
        <v/>
      </c>
      <c r="K151" t="str">
        <f t="shared" si="49"/>
        <v/>
      </c>
      <c r="L151" s="20" t="str" cm="1">
        <f t="array" ref="L151">IFERROR(INDEX(tblTrades[sol_invested],ROW()-1),"")</f>
        <v/>
      </c>
      <c r="M151" s="1">
        <f>COUNTIFS(tblAnalysis[Token],tblAnalysis[[#This Row],[Token]])</f>
        <v>0</v>
      </c>
      <c r="N151" s="1">
        <f>COUNTIFS($B$2:B151,tblAnalysis[[#This Row],[Token]])</f>
        <v>0</v>
      </c>
      <c r="O151" s="5">
        <f>IFERROR(SUM($H$2:H151),"")</f>
        <v>0.40399999999999997</v>
      </c>
      <c r="P151" s="6"/>
      <c r="Q151" s="27"/>
      <c r="R151" s="6" t="str">
        <f>IF(Q151="","",SUMIFS(tblAnalysis[P&amp;L SOL],tblAnalysis[Date],Q151))</f>
        <v/>
      </c>
      <c r="S151" s="10" t="str">
        <f>IF(Q151="","",SUMIFS(tblAnalysis[P&amp;L %],tblAnalysis[Date],Q151))</f>
        <v/>
      </c>
      <c r="T151" s="6" t="str">
        <f>IF(Q151="","",IFERROR(SUM($R$2:R151),""))</f>
        <v/>
      </c>
      <c r="U151" t="str">
        <f>IF(Q151="","",COUNTIFS(tblAnalysis[Date],Q151))</f>
        <v/>
      </c>
      <c r="W151" s="27" t="str">
        <f t="shared" si="50"/>
        <v/>
      </c>
      <c r="X151" s="6" t="str">
        <f t="shared" si="51"/>
        <v/>
      </c>
      <c r="Y151" s="6" t="str">
        <f>IF(Q151="","",MAX(X151,_xlfn.MAXIFS(tblAnalysis[Cum P&amp;L SOL],tblAnalysis[Date],Q151)))</f>
        <v/>
      </c>
      <c r="Z151" s="6" t="str">
        <f>IF(Q151="","",MIN(X151,_xlfn.MINIFS(tblAnalysis[Cum P&amp;L SOL],tblAnalysis[Date],Q151)))</f>
        <v/>
      </c>
      <c r="AA151" s="6" t="str">
        <f t="shared" si="52"/>
        <v/>
      </c>
      <c r="AB151"/>
      <c r="AC151" s="27" t="str">
        <f t="shared" si="53"/>
        <v/>
      </c>
      <c r="AD151" s="10" t="str">
        <f t="shared" si="54"/>
        <v/>
      </c>
      <c r="AE151" s="10" t="str">
        <f t="shared" si="55"/>
        <v/>
      </c>
      <c r="AF151" s="10" t="str">
        <f t="shared" si="56"/>
        <v/>
      </c>
      <c r="AG151"/>
      <c r="AH151" t="str">
        <f t="shared" si="57"/>
        <v/>
      </c>
      <c r="AI151" t="str">
        <f t="shared" si="58"/>
        <v/>
      </c>
      <c r="AK151" cm="1">
        <f t="array" ref="AK151">IFERROR(IF(INDEX($A:$A,ROW())="","",INDEX($A:$A,ROW())),"")</f>
        <v>150</v>
      </c>
      <c r="AL151" t="str" cm="1">
        <f t="array" ref="AL151">IFERROR(INDEX(tblTrades[sol_invested],ROW()-1),"")</f>
        <v/>
      </c>
      <c r="AM151" s="6" t="str" cm="1">
        <f t="array" ref="AM151">IFERROR(INDEX(tblAnalysis[P&amp;L SOL],ROW()-1),"")</f>
        <v/>
      </c>
      <c r="AN151" t="str" cm="1">
        <f t="array" ref="AN151">IFERROR(IF(INDEX(tblTrades[sol_invested],ROW()-1)&gt;0.5,INDEX(tblAnalysis[Token],ROW()-1)&amp;" ("&amp;TEXT(INDEX(tblTrades[sol_invested],ROW()-1),"0.0")&amp;" SOL)",""),"")</f>
        <v/>
      </c>
      <c r="AO151" s="7" t="e" cm="1">
        <f t="array" ref="AO151">IF(INDEX(tblTrades[sol_invested],ROW()-1)&gt;0.5,INDEX(tblAnalysis[Cum P&amp;L SOL],ROW()-1),"")</f>
        <v>#REF!</v>
      </c>
      <c r="AP151" s="12" t="str" cm="1">
        <f t="array" ref="AP151">IFERROR(INDEX(tblAnalysis[Entry MC ($)],ROW()-1),"")</f>
        <v/>
      </c>
      <c r="AQ151" s="10" t="str" cm="1">
        <f t="array" ref="AQ151">IFERROR(INDEX(tblAnalysis[P&amp;L %],ROW()-1),"")</f>
        <v/>
      </c>
      <c r="AR151" t="str" cm="1">
        <f t="array" ref="AR151">IFERROR(INDEX(tblAnalysis[Hold Time (s)],ROW()-1),"")</f>
        <v/>
      </c>
      <c r="AS151" s="6" t="str" cm="1">
        <f t="array" ref="AS151">IFERROR(INDEX(tblAnalysis[P&amp;L SOL],ROW()-1),"")</f>
        <v/>
      </c>
      <c r="AT151"/>
      <c r="AY151" s="10"/>
      <c r="AZ151" s="10"/>
      <c r="BA151" s="6"/>
      <c r="BB151"/>
      <c r="BF151" t="str">
        <f t="shared" si="59"/>
        <v/>
      </c>
      <c r="BG151" s="27" t="str">
        <f t="shared" si="60"/>
        <v/>
      </c>
      <c r="BH151" t="str">
        <f t="shared" si="61"/>
        <v/>
      </c>
      <c r="BL151" s="29" t="e">
        <f t="shared" si="62"/>
        <v>#N/A</v>
      </c>
      <c r="BM151" s="29" t="e">
        <f t="shared" si="63"/>
        <v>#N/A</v>
      </c>
    </row>
    <row r="152" spans="1:65" x14ac:dyDescent="0.35">
      <c r="A152">
        <f t="shared" si="46"/>
        <v>151</v>
      </c>
      <c r="B152" t="e" cm="1">
        <f t="array" ref="B152">INDEX(tblTrades[token_name],ROW()-1)</f>
        <v>#REF!</v>
      </c>
      <c r="C152" s="27" t="e" cm="1">
        <f t="array" ref="C152">INDEX(tblTrades[entry_date],ROW()-1)</f>
        <v>#REF!</v>
      </c>
      <c r="D152" s="2" t="e" cm="1">
        <f t="array" ref="D152">INDEX(tblTrades[entry_mc_actual],ROW()-1)</f>
        <v>#REF!</v>
      </c>
      <c r="E152" s="2" t="e" cm="1">
        <f t="array" ref="E152">INDEX(tblTrades[exit_mc_actual],ROW()-1)</f>
        <v>#REF!</v>
      </c>
      <c r="F152" s="3" t="e" cm="1">
        <f t="array" ref="F152">INDEX(tblTrades[time_in_trade_seconds],ROW()-1)</f>
        <v>#REF!</v>
      </c>
      <c r="G152" s="4" t="str" cm="1">
        <f t="array" ref="G152">IFERROR(INDEX(tblTrades[pnl_percentage],ROW()-1)*1,"")</f>
        <v/>
      </c>
      <c r="H152" s="5" t="str" cm="1">
        <f t="array" ref="H152">IFERROR(INDEX(tblTrades[pnl_sol],ROW()-1)*1,"")</f>
        <v/>
      </c>
      <c r="I152" t="str">
        <f t="shared" si="47"/>
        <v/>
      </c>
      <c r="J152" t="str">
        <f t="shared" si="48"/>
        <v/>
      </c>
      <c r="K152" t="str">
        <f t="shared" si="49"/>
        <v/>
      </c>
      <c r="L152" s="20" t="str" cm="1">
        <f t="array" ref="L152">IFERROR(INDEX(tblTrades[sol_invested],ROW()-1),"")</f>
        <v/>
      </c>
      <c r="M152" s="1">
        <f>COUNTIFS(tblAnalysis[Token],tblAnalysis[[#This Row],[Token]])</f>
        <v>0</v>
      </c>
      <c r="N152" s="1">
        <f>COUNTIFS($B$2:B152,tblAnalysis[[#This Row],[Token]])</f>
        <v>0</v>
      </c>
      <c r="O152" s="5">
        <f>IFERROR(SUM($H$2:H152),"")</f>
        <v>0.40399999999999997</v>
      </c>
      <c r="P152" s="6"/>
      <c r="Q152" s="27"/>
      <c r="R152" s="6" t="str">
        <f>IF(Q152="","",SUMIFS(tblAnalysis[P&amp;L SOL],tblAnalysis[Date],Q152))</f>
        <v/>
      </c>
      <c r="S152" s="10" t="str">
        <f>IF(Q152="","",SUMIFS(tblAnalysis[P&amp;L %],tblAnalysis[Date],Q152))</f>
        <v/>
      </c>
      <c r="T152" s="6" t="str">
        <f>IF(Q152="","",IFERROR(SUM($R$2:R152),""))</f>
        <v/>
      </c>
      <c r="U152" t="str">
        <f>IF(Q152="","",COUNTIFS(tblAnalysis[Date],Q152))</f>
        <v/>
      </c>
      <c r="W152" s="27" t="str">
        <f t="shared" si="50"/>
        <v/>
      </c>
      <c r="X152" s="6" t="str">
        <f t="shared" si="51"/>
        <v/>
      </c>
      <c r="Y152" s="6" t="str">
        <f>IF(Q152="","",MAX(X152,_xlfn.MAXIFS(tblAnalysis[Cum P&amp;L SOL],tblAnalysis[Date],Q152)))</f>
        <v/>
      </c>
      <c r="Z152" s="6" t="str">
        <f>IF(Q152="","",MIN(X152,_xlfn.MINIFS(tblAnalysis[Cum P&amp;L SOL],tblAnalysis[Date],Q152)))</f>
        <v/>
      </c>
      <c r="AA152" s="6" t="str">
        <f t="shared" si="52"/>
        <v/>
      </c>
      <c r="AB152"/>
      <c r="AC152" s="27" t="str">
        <f t="shared" si="53"/>
        <v/>
      </c>
      <c r="AD152" s="10" t="str">
        <f t="shared" si="54"/>
        <v/>
      </c>
      <c r="AE152" s="10" t="str">
        <f t="shared" si="55"/>
        <v/>
      </c>
      <c r="AF152" s="10" t="str">
        <f t="shared" si="56"/>
        <v/>
      </c>
      <c r="AG152"/>
      <c r="AH152" t="str">
        <f t="shared" si="57"/>
        <v/>
      </c>
      <c r="AI152" t="str">
        <f t="shared" si="58"/>
        <v/>
      </c>
      <c r="AK152" cm="1">
        <f t="array" ref="AK152">IFERROR(IF(INDEX($A:$A,ROW())="","",INDEX($A:$A,ROW())),"")</f>
        <v>151</v>
      </c>
      <c r="AL152" t="str" cm="1">
        <f t="array" ref="AL152">IFERROR(INDEX(tblTrades[sol_invested],ROW()-1),"")</f>
        <v/>
      </c>
      <c r="AM152" s="6" t="str" cm="1">
        <f t="array" ref="AM152">IFERROR(INDEX(tblAnalysis[P&amp;L SOL],ROW()-1),"")</f>
        <v/>
      </c>
      <c r="AN152" t="str" cm="1">
        <f t="array" ref="AN152">IFERROR(IF(INDEX(tblTrades[sol_invested],ROW()-1)&gt;0.5,INDEX(tblAnalysis[Token],ROW()-1)&amp;" ("&amp;TEXT(INDEX(tblTrades[sol_invested],ROW()-1),"0.0")&amp;" SOL)",""),"")</f>
        <v/>
      </c>
      <c r="AO152" s="7" t="e" cm="1">
        <f t="array" ref="AO152">IF(INDEX(tblTrades[sol_invested],ROW()-1)&gt;0.5,INDEX(tblAnalysis[Cum P&amp;L SOL],ROW()-1),"")</f>
        <v>#REF!</v>
      </c>
      <c r="AP152" s="12" t="str" cm="1">
        <f t="array" ref="AP152">IFERROR(INDEX(tblAnalysis[Entry MC ($)],ROW()-1),"")</f>
        <v/>
      </c>
      <c r="AQ152" s="10" t="str" cm="1">
        <f t="array" ref="AQ152">IFERROR(INDEX(tblAnalysis[P&amp;L %],ROW()-1),"")</f>
        <v/>
      </c>
      <c r="AR152" t="str" cm="1">
        <f t="array" ref="AR152">IFERROR(INDEX(tblAnalysis[Hold Time (s)],ROW()-1),"")</f>
        <v/>
      </c>
      <c r="AS152" s="6" t="str" cm="1">
        <f t="array" ref="AS152">IFERROR(INDEX(tblAnalysis[P&amp;L SOL],ROW()-1),"")</f>
        <v/>
      </c>
      <c r="AT152"/>
      <c r="AY152" s="10"/>
      <c r="AZ152" s="10"/>
      <c r="BA152" s="6"/>
      <c r="BB152"/>
      <c r="BF152" t="str">
        <f t="shared" si="59"/>
        <v/>
      </c>
      <c r="BG152" s="27" t="str">
        <f t="shared" si="60"/>
        <v/>
      </c>
      <c r="BH152" t="str">
        <f t="shared" si="61"/>
        <v/>
      </c>
      <c r="BL152" s="29" t="e">
        <f t="shared" si="62"/>
        <v>#N/A</v>
      </c>
      <c r="BM152" s="29" t="e">
        <f t="shared" si="63"/>
        <v>#N/A</v>
      </c>
    </row>
    <row r="153" spans="1:65" x14ac:dyDescent="0.35">
      <c r="A153">
        <f t="shared" si="46"/>
        <v>152</v>
      </c>
      <c r="B153" t="e" cm="1">
        <f t="array" ref="B153">INDEX(tblTrades[token_name],ROW()-1)</f>
        <v>#REF!</v>
      </c>
      <c r="C153" s="27" t="e" cm="1">
        <f t="array" ref="C153">INDEX(tblTrades[entry_date],ROW()-1)</f>
        <v>#REF!</v>
      </c>
      <c r="D153" s="2" t="e" cm="1">
        <f t="array" ref="D153">INDEX(tblTrades[entry_mc_actual],ROW()-1)</f>
        <v>#REF!</v>
      </c>
      <c r="E153" s="2" t="e" cm="1">
        <f t="array" ref="E153">INDEX(tblTrades[exit_mc_actual],ROW()-1)</f>
        <v>#REF!</v>
      </c>
      <c r="F153" s="3" t="e" cm="1">
        <f t="array" ref="F153">INDEX(tblTrades[time_in_trade_seconds],ROW()-1)</f>
        <v>#REF!</v>
      </c>
      <c r="G153" s="4" t="str" cm="1">
        <f t="array" ref="G153">IFERROR(INDEX(tblTrades[pnl_percentage],ROW()-1)*1,"")</f>
        <v/>
      </c>
      <c r="H153" s="5" t="str" cm="1">
        <f t="array" ref="H153">IFERROR(INDEX(tblTrades[pnl_sol],ROW()-1)*1,"")</f>
        <v/>
      </c>
      <c r="I153" t="str">
        <f t="shared" si="47"/>
        <v/>
      </c>
      <c r="J153" t="str">
        <f t="shared" si="48"/>
        <v/>
      </c>
      <c r="K153" t="str">
        <f t="shared" si="49"/>
        <v/>
      </c>
      <c r="L153" s="20" t="str" cm="1">
        <f t="array" ref="L153">IFERROR(INDEX(tblTrades[sol_invested],ROW()-1),"")</f>
        <v/>
      </c>
      <c r="M153" s="1">
        <f>COUNTIFS(tblAnalysis[Token],tblAnalysis[[#This Row],[Token]])</f>
        <v>0</v>
      </c>
      <c r="N153" s="1">
        <f>COUNTIFS($B$2:B153,tblAnalysis[[#This Row],[Token]])</f>
        <v>0</v>
      </c>
      <c r="O153" s="5">
        <f>IFERROR(SUM($H$2:H153),"")</f>
        <v>0.40399999999999997</v>
      </c>
      <c r="P153" s="6"/>
      <c r="Q153" s="27"/>
      <c r="R153" s="6" t="str">
        <f>IF(Q153="","",SUMIFS(tblAnalysis[P&amp;L SOL],tblAnalysis[Date],Q153))</f>
        <v/>
      </c>
      <c r="S153" s="10" t="str">
        <f>IF(Q153="","",SUMIFS(tblAnalysis[P&amp;L %],tblAnalysis[Date],Q153))</f>
        <v/>
      </c>
      <c r="T153" s="6" t="str">
        <f>IF(Q153="","",IFERROR(SUM($R$2:R153),""))</f>
        <v/>
      </c>
      <c r="U153" t="str">
        <f>IF(Q153="","",COUNTIFS(tblAnalysis[Date],Q153))</f>
        <v/>
      </c>
      <c r="W153" s="27" t="str">
        <f t="shared" si="50"/>
        <v/>
      </c>
      <c r="X153" s="6" t="str">
        <f t="shared" si="51"/>
        <v/>
      </c>
      <c r="Y153" s="6" t="str">
        <f>IF(Q153="","",MAX(X153,_xlfn.MAXIFS(tblAnalysis[Cum P&amp;L SOL],tblAnalysis[Date],Q153)))</f>
        <v/>
      </c>
      <c r="Z153" s="6" t="str">
        <f>IF(Q153="","",MIN(X153,_xlfn.MINIFS(tblAnalysis[Cum P&amp;L SOL],tblAnalysis[Date],Q153)))</f>
        <v/>
      </c>
      <c r="AA153" s="6" t="str">
        <f t="shared" si="52"/>
        <v/>
      </c>
      <c r="AB153"/>
      <c r="AC153" s="27" t="str">
        <f t="shared" si="53"/>
        <v/>
      </c>
      <c r="AD153" s="10" t="str">
        <f t="shared" si="54"/>
        <v/>
      </c>
      <c r="AE153" s="10" t="str">
        <f t="shared" si="55"/>
        <v/>
      </c>
      <c r="AF153" s="10" t="str">
        <f t="shared" si="56"/>
        <v/>
      </c>
      <c r="AG153"/>
      <c r="AH153" t="str">
        <f t="shared" si="57"/>
        <v/>
      </c>
      <c r="AI153" t="str">
        <f t="shared" si="58"/>
        <v/>
      </c>
      <c r="AK153" cm="1">
        <f t="array" ref="AK153">IFERROR(IF(INDEX($A:$A,ROW())="","",INDEX($A:$A,ROW())),"")</f>
        <v>152</v>
      </c>
      <c r="AL153" t="str" cm="1">
        <f t="array" ref="AL153">IFERROR(INDEX(tblTrades[sol_invested],ROW()-1),"")</f>
        <v/>
      </c>
      <c r="AM153" s="6" t="str" cm="1">
        <f t="array" ref="AM153">IFERROR(INDEX(tblAnalysis[P&amp;L SOL],ROW()-1),"")</f>
        <v/>
      </c>
      <c r="AN153" t="str" cm="1">
        <f t="array" ref="AN153">IFERROR(IF(INDEX(tblTrades[sol_invested],ROW()-1)&gt;0.5,INDEX(tblAnalysis[Token],ROW()-1)&amp;" ("&amp;TEXT(INDEX(tblTrades[sol_invested],ROW()-1),"0.0")&amp;" SOL)",""),"")</f>
        <v/>
      </c>
      <c r="AO153" s="7" t="e" cm="1">
        <f t="array" ref="AO153">IF(INDEX(tblTrades[sol_invested],ROW()-1)&gt;0.5,INDEX(tblAnalysis[Cum P&amp;L SOL],ROW()-1),"")</f>
        <v>#REF!</v>
      </c>
      <c r="AP153" s="12" t="str" cm="1">
        <f t="array" ref="AP153">IFERROR(INDEX(tblAnalysis[Entry MC ($)],ROW()-1),"")</f>
        <v/>
      </c>
      <c r="AQ153" s="10" t="str" cm="1">
        <f t="array" ref="AQ153">IFERROR(INDEX(tblAnalysis[P&amp;L %],ROW()-1),"")</f>
        <v/>
      </c>
      <c r="AR153" t="str" cm="1">
        <f t="array" ref="AR153">IFERROR(INDEX(tblAnalysis[Hold Time (s)],ROW()-1),"")</f>
        <v/>
      </c>
      <c r="AS153" s="6" t="str" cm="1">
        <f t="array" ref="AS153">IFERROR(INDEX(tblAnalysis[P&amp;L SOL],ROW()-1),"")</f>
        <v/>
      </c>
      <c r="AT153"/>
      <c r="AY153" s="10"/>
      <c r="AZ153" s="10"/>
      <c r="BA153" s="6"/>
      <c r="BB153"/>
      <c r="BF153" t="str">
        <f t="shared" si="59"/>
        <v/>
      </c>
      <c r="BG153" s="27" t="str">
        <f t="shared" si="60"/>
        <v/>
      </c>
      <c r="BH153" t="str">
        <f t="shared" si="61"/>
        <v/>
      </c>
      <c r="BL153" s="29" t="e">
        <f t="shared" si="62"/>
        <v>#N/A</v>
      </c>
      <c r="BM153" s="29" t="e">
        <f t="shared" si="63"/>
        <v>#N/A</v>
      </c>
    </row>
    <row r="154" spans="1:65" x14ac:dyDescent="0.35">
      <c r="A154">
        <f t="shared" si="46"/>
        <v>153</v>
      </c>
      <c r="B154" t="e" cm="1">
        <f t="array" ref="B154">INDEX(tblTrades[token_name],ROW()-1)</f>
        <v>#REF!</v>
      </c>
      <c r="C154" s="27" t="e" cm="1">
        <f t="array" ref="C154">INDEX(tblTrades[entry_date],ROW()-1)</f>
        <v>#REF!</v>
      </c>
      <c r="D154" s="2" t="e" cm="1">
        <f t="array" ref="D154">INDEX(tblTrades[entry_mc_actual],ROW()-1)</f>
        <v>#REF!</v>
      </c>
      <c r="E154" s="2" t="e" cm="1">
        <f t="array" ref="E154">INDEX(tblTrades[exit_mc_actual],ROW()-1)</f>
        <v>#REF!</v>
      </c>
      <c r="F154" s="3" t="e" cm="1">
        <f t="array" ref="F154">INDEX(tblTrades[time_in_trade_seconds],ROW()-1)</f>
        <v>#REF!</v>
      </c>
      <c r="G154" s="4" t="str" cm="1">
        <f t="array" ref="G154">IFERROR(INDEX(tblTrades[pnl_percentage],ROW()-1)*1,"")</f>
        <v/>
      </c>
      <c r="H154" s="5" t="str" cm="1">
        <f t="array" ref="H154">IFERROR(INDEX(tblTrades[pnl_sol],ROW()-1)*1,"")</f>
        <v/>
      </c>
      <c r="I154" t="str">
        <f t="shared" si="47"/>
        <v/>
      </c>
      <c r="J154" t="str">
        <f t="shared" si="48"/>
        <v/>
      </c>
      <c r="K154" t="str">
        <f t="shared" si="49"/>
        <v/>
      </c>
      <c r="L154" s="20" t="str" cm="1">
        <f t="array" ref="L154">IFERROR(INDEX(tblTrades[sol_invested],ROW()-1),"")</f>
        <v/>
      </c>
      <c r="M154" s="1">
        <f>COUNTIFS(tblAnalysis[Token],tblAnalysis[[#This Row],[Token]])</f>
        <v>0</v>
      </c>
      <c r="N154" s="1">
        <f>COUNTIFS($B$2:B154,tblAnalysis[[#This Row],[Token]])</f>
        <v>0</v>
      </c>
      <c r="O154" s="5">
        <f>IFERROR(SUM($H$2:H154),"")</f>
        <v>0.40399999999999997</v>
      </c>
      <c r="P154" s="6"/>
      <c r="Q154" s="27"/>
      <c r="R154" s="6" t="str">
        <f>IF(Q154="","",SUMIFS(tblAnalysis[P&amp;L SOL],tblAnalysis[Date],Q154))</f>
        <v/>
      </c>
      <c r="S154" s="10" t="str">
        <f>IF(Q154="","",SUMIFS(tblAnalysis[P&amp;L %],tblAnalysis[Date],Q154))</f>
        <v/>
      </c>
      <c r="T154" s="6" t="str">
        <f>IF(Q154="","",IFERROR(SUM($R$2:R154),""))</f>
        <v/>
      </c>
      <c r="U154" t="str">
        <f>IF(Q154="","",COUNTIFS(tblAnalysis[Date],Q154))</f>
        <v/>
      </c>
      <c r="W154" s="27" t="str">
        <f t="shared" si="50"/>
        <v/>
      </c>
      <c r="X154" s="6" t="str">
        <f t="shared" si="51"/>
        <v/>
      </c>
      <c r="Y154" s="6" t="str">
        <f>IF(Q154="","",MAX(X154,_xlfn.MAXIFS(tblAnalysis[Cum P&amp;L SOL],tblAnalysis[Date],Q154)))</f>
        <v/>
      </c>
      <c r="Z154" s="6" t="str">
        <f>IF(Q154="","",MIN(X154,_xlfn.MINIFS(tblAnalysis[Cum P&amp;L SOL],tblAnalysis[Date],Q154)))</f>
        <v/>
      </c>
      <c r="AA154" s="6" t="str">
        <f t="shared" si="52"/>
        <v/>
      </c>
      <c r="AB154"/>
      <c r="AC154" s="27" t="str">
        <f t="shared" si="53"/>
        <v/>
      </c>
      <c r="AD154" s="10" t="str">
        <f t="shared" si="54"/>
        <v/>
      </c>
      <c r="AE154" s="10" t="str">
        <f t="shared" si="55"/>
        <v/>
      </c>
      <c r="AF154" s="10" t="str">
        <f t="shared" si="56"/>
        <v/>
      </c>
      <c r="AG154"/>
      <c r="AH154" t="str">
        <f t="shared" si="57"/>
        <v/>
      </c>
      <c r="AI154" t="str">
        <f t="shared" si="58"/>
        <v/>
      </c>
      <c r="AK154" cm="1">
        <f t="array" ref="AK154">IFERROR(IF(INDEX($A:$A,ROW())="","",INDEX($A:$A,ROW())),"")</f>
        <v>153</v>
      </c>
      <c r="AL154" t="str" cm="1">
        <f t="array" ref="AL154">IFERROR(INDEX(tblTrades[sol_invested],ROW()-1),"")</f>
        <v/>
      </c>
      <c r="AM154" s="6" t="str" cm="1">
        <f t="array" ref="AM154">IFERROR(INDEX(tblAnalysis[P&amp;L SOL],ROW()-1),"")</f>
        <v/>
      </c>
      <c r="AN154" t="str" cm="1">
        <f t="array" ref="AN154">IFERROR(IF(INDEX(tblTrades[sol_invested],ROW()-1)&gt;0.5,INDEX(tblAnalysis[Token],ROW()-1)&amp;" ("&amp;TEXT(INDEX(tblTrades[sol_invested],ROW()-1),"0.0")&amp;" SOL)",""),"")</f>
        <v/>
      </c>
      <c r="AO154" s="7" t="e" cm="1">
        <f t="array" ref="AO154">IF(INDEX(tblTrades[sol_invested],ROW()-1)&gt;0.5,INDEX(tblAnalysis[Cum P&amp;L SOL],ROW()-1),"")</f>
        <v>#REF!</v>
      </c>
      <c r="AP154" s="12" t="str" cm="1">
        <f t="array" ref="AP154">IFERROR(INDEX(tblAnalysis[Entry MC ($)],ROW()-1),"")</f>
        <v/>
      </c>
      <c r="AQ154" s="10" t="str" cm="1">
        <f t="array" ref="AQ154">IFERROR(INDEX(tblAnalysis[P&amp;L %],ROW()-1),"")</f>
        <v/>
      </c>
      <c r="AR154" t="str" cm="1">
        <f t="array" ref="AR154">IFERROR(INDEX(tblAnalysis[Hold Time (s)],ROW()-1),"")</f>
        <v/>
      </c>
      <c r="AS154" s="6" t="str" cm="1">
        <f t="array" ref="AS154">IFERROR(INDEX(tblAnalysis[P&amp;L SOL],ROW()-1),"")</f>
        <v/>
      </c>
      <c r="AT154"/>
      <c r="AY154" s="10"/>
      <c r="AZ154" s="10"/>
      <c r="BA154" s="6"/>
      <c r="BB154"/>
      <c r="BF154" t="str">
        <f t="shared" si="59"/>
        <v/>
      </c>
      <c r="BG154" s="27" t="str">
        <f t="shared" si="60"/>
        <v/>
      </c>
      <c r="BH154" t="str">
        <f t="shared" si="61"/>
        <v/>
      </c>
      <c r="BL154" s="29" t="e">
        <f t="shared" si="62"/>
        <v>#N/A</v>
      </c>
      <c r="BM154" s="29" t="e">
        <f t="shared" si="63"/>
        <v>#N/A</v>
      </c>
    </row>
    <row r="155" spans="1:65" x14ac:dyDescent="0.35">
      <c r="A155">
        <f t="shared" si="46"/>
        <v>154</v>
      </c>
      <c r="B155" t="e" cm="1">
        <f t="array" ref="B155">INDEX(tblTrades[token_name],ROW()-1)</f>
        <v>#REF!</v>
      </c>
      <c r="C155" s="27" t="e" cm="1">
        <f t="array" ref="C155">INDEX(tblTrades[entry_date],ROW()-1)</f>
        <v>#REF!</v>
      </c>
      <c r="D155" s="2" t="e" cm="1">
        <f t="array" ref="D155">INDEX(tblTrades[entry_mc_actual],ROW()-1)</f>
        <v>#REF!</v>
      </c>
      <c r="E155" s="2" t="e" cm="1">
        <f t="array" ref="E155">INDEX(tblTrades[exit_mc_actual],ROW()-1)</f>
        <v>#REF!</v>
      </c>
      <c r="F155" s="3" t="e" cm="1">
        <f t="array" ref="F155">INDEX(tblTrades[time_in_trade_seconds],ROW()-1)</f>
        <v>#REF!</v>
      </c>
      <c r="G155" s="4" t="str" cm="1">
        <f t="array" ref="G155">IFERROR(INDEX(tblTrades[pnl_percentage],ROW()-1)*1,"")</f>
        <v/>
      </c>
      <c r="H155" s="5" t="str" cm="1">
        <f t="array" ref="H155">IFERROR(INDEX(tblTrades[pnl_sol],ROW()-1)*1,"")</f>
        <v/>
      </c>
      <c r="I155" t="str">
        <f t="shared" si="47"/>
        <v/>
      </c>
      <c r="J155" t="str">
        <f t="shared" si="48"/>
        <v/>
      </c>
      <c r="K155" t="str">
        <f t="shared" si="49"/>
        <v/>
      </c>
      <c r="L155" s="20" t="str" cm="1">
        <f t="array" ref="L155">IFERROR(INDEX(tblTrades[sol_invested],ROW()-1),"")</f>
        <v/>
      </c>
      <c r="M155" s="1">
        <f>COUNTIFS(tblAnalysis[Token],tblAnalysis[[#This Row],[Token]])</f>
        <v>0</v>
      </c>
      <c r="N155" s="1">
        <f>COUNTIFS($B$2:B155,tblAnalysis[[#This Row],[Token]])</f>
        <v>0</v>
      </c>
      <c r="O155" s="5">
        <f>IFERROR(SUM($H$2:H155),"")</f>
        <v>0.40399999999999997</v>
      </c>
      <c r="P155" s="6"/>
      <c r="Q155" s="27"/>
      <c r="R155" s="6" t="str">
        <f>IF(Q155="","",SUMIFS(tblAnalysis[P&amp;L SOL],tblAnalysis[Date],Q155))</f>
        <v/>
      </c>
      <c r="S155" s="10" t="str">
        <f>IF(Q155="","",SUMIFS(tblAnalysis[P&amp;L %],tblAnalysis[Date],Q155))</f>
        <v/>
      </c>
      <c r="T155" s="6" t="str">
        <f>IF(Q155="","",IFERROR(SUM($R$2:R155),""))</f>
        <v/>
      </c>
      <c r="U155" t="str">
        <f>IF(Q155="","",COUNTIFS(tblAnalysis[Date],Q155))</f>
        <v/>
      </c>
      <c r="W155" s="27" t="str">
        <f t="shared" si="50"/>
        <v/>
      </c>
      <c r="X155" s="6" t="str">
        <f t="shared" si="51"/>
        <v/>
      </c>
      <c r="Y155" s="6" t="str">
        <f>IF(Q155="","",MAX(X155,_xlfn.MAXIFS(tblAnalysis[Cum P&amp;L SOL],tblAnalysis[Date],Q155)))</f>
        <v/>
      </c>
      <c r="Z155" s="6" t="str">
        <f>IF(Q155="","",MIN(X155,_xlfn.MINIFS(tblAnalysis[Cum P&amp;L SOL],tblAnalysis[Date],Q155)))</f>
        <v/>
      </c>
      <c r="AA155" s="6" t="str">
        <f t="shared" si="52"/>
        <v/>
      </c>
      <c r="AB155"/>
      <c r="AC155" s="27" t="str">
        <f t="shared" si="53"/>
        <v/>
      </c>
      <c r="AD155" s="10" t="str">
        <f t="shared" si="54"/>
        <v/>
      </c>
      <c r="AE155" s="10" t="str">
        <f t="shared" si="55"/>
        <v/>
      </c>
      <c r="AF155" s="10" t="str">
        <f t="shared" si="56"/>
        <v/>
      </c>
      <c r="AG155"/>
      <c r="AH155" t="str">
        <f t="shared" si="57"/>
        <v/>
      </c>
      <c r="AI155" t="str">
        <f t="shared" si="58"/>
        <v/>
      </c>
      <c r="AK155" cm="1">
        <f t="array" ref="AK155">IFERROR(IF(INDEX($A:$A,ROW())="","",INDEX($A:$A,ROW())),"")</f>
        <v>154</v>
      </c>
      <c r="AL155" t="str" cm="1">
        <f t="array" ref="AL155">IFERROR(INDEX(tblTrades[sol_invested],ROW()-1),"")</f>
        <v/>
      </c>
      <c r="AM155" s="6" t="str" cm="1">
        <f t="array" ref="AM155">IFERROR(INDEX(tblAnalysis[P&amp;L SOL],ROW()-1),"")</f>
        <v/>
      </c>
      <c r="AN155" t="str" cm="1">
        <f t="array" ref="AN155">IFERROR(IF(INDEX(tblTrades[sol_invested],ROW()-1)&gt;0.5,INDEX(tblAnalysis[Token],ROW()-1)&amp;" ("&amp;TEXT(INDEX(tblTrades[sol_invested],ROW()-1),"0.0")&amp;" SOL)",""),"")</f>
        <v/>
      </c>
      <c r="AO155" s="7" t="e" cm="1">
        <f t="array" ref="AO155">IF(INDEX(tblTrades[sol_invested],ROW()-1)&gt;0.5,INDEX(tblAnalysis[Cum P&amp;L SOL],ROW()-1),"")</f>
        <v>#REF!</v>
      </c>
      <c r="AP155" s="12" t="str" cm="1">
        <f t="array" ref="AP155">IFERROR(INDEX(tblAnalysis[Entry MC ($)],ROW()-1),"")</f>
        <v/>
      </c>
      <c r="AQ155" s="10" t="str" cm="1">
        <f t="array" ref="AQ155">IFERROR(INDEX(tblAnalysis[P&amp;L %],ROW()-1),"")</f>
        <v/>
      </c>
      <c r="AR155" t="str" cm="1">
        <f t="array" ref="AR155">IFERROR(INDEX(tblAnalysis[Hold Time (s)],ROW()-1),"")</f>
        <v/>
      </c>
      <c r="AS155" s="6" t="str" cm="1">
        <f t="array" ref="AS155">IFERROR(INDEX(tblAnalysis[P&amp;L SOL],ROW()-1),"")</f>
        <v/>
      </c>
      <c r="AT155"/>
      <c r="AY155" s="10"/>
      <c r="AZ155" s="10"/>
      <c r="BA155" s="6"/>
      <c r="BB155"/>
      <c r="BF155" t="str">
        <f t="shared" si="59"/>
        <v/>
      </c>
      <c r="BG155" s="27" t="str">
        <f t="shared" si="60"/>
        <v/>
      </c>
      <c r="BH155" t="str">
        <f t="shared" si="61"/>
        <v/>
      </c>
      <c r="BL155" s="29" t="e">
        <f t="shared" si="62"/>
        <v>#N/A</v>
      </c>
      <c r="BM155" s="29" t="e">
        <f t="shared" si="63"/>
        <v>#N/A</v>
      </c>
    </row>
    <row r="156" spans="1:65" x14ac:dyDescent="0.35">
      <c r="A156">
        <f t="shared" si="46"/>
        <v>155</v>
      </c>
      <c r="B156" t="e" cm="1">
        <f t="array" ref="B156">INDEX(tblTrades[token_name],ROW()-1)</f>
        <v>#REF!</v>
      </c>
      <c r="C156" s="27" t="e" cm="1">
        <f t="array" ref="C156">INDEX(tblTrades[entry_date],ROW()-1)</f>
        <v>#REF!</v>
      </c>
      <c r="D156" s="2" t="e" cm="1">
        <f t="array" ref="D156">INDEX(tblTrades[entry_mc_actual],ROW()-1)</f>
        <v>#REF!</v>
      </c>
      <c r="E156" s="2" t="e" cm="1">
        <f t="array" ref="E156">INDEX(tblTrades[exit_mc_actual],ROW()-1)</f>
        <v>#REF!</v>
      </c>
      <c r="F156" s="3" t="e" cm="1">
        <f t="array" ref="F156">INDEX(tblTrades[time_in_trade_seconds],ROW()-1)</f>
        <v>#REF!</v>
      </c>
      <c r="G156" s="4" t="str" cm="1">
        <f t="array" ref="G156">IFERROR(INDEX(tblTrades[pnl_percentage],ROW()-1)*1,"")</f>
        <v/>
      </c>
      <c r="H156" s="5" t="str" cm="1">
        <f t="array" ref="H156">IFERROR(INDEX(tblTrades[pnl_sol],ROW()-1)*1,"")</f>
        <v/>
      </c>
      <c r="I156" t="str">
        <f t="shared" si="47"/>
        <v/>
      </c>
      <c r="J156" t="str">
        <f t="shared" si="48"/>
        <v/>
      </c>
      <c r="K156" t="str">
        <f t="shared" si="49"/>
        <v/>
      </c>
      <c r="L156" s="20" t="str" cm="1">
        <f t="array" ref="L156">IFERROR(INDEX(tblTrades[sol_invested],ROW()-1),"")</f>
        <v/>
      </c>
      <c r="M156" s="1">
        <f>COUNTIFS(tblAnalysis[Token],tblAnalysis[[#This Row],[Token]])</f>
        <v>0</v>
      </c>
      <c r="N156" s="1">
        <f>COUNTIFS($B$2:B156,tblAnalysis[[#This Row],[Token]])</f>
        <v>0</v>
      </c>
      <c r="O156" s="5">
        <f>IFERROR(SUM($H$2:H156),"")</f>
        <v>0.40399999999999997</v>
      </c>
      <c r="P156" s="6"/>
      <c r="Q156" s="27"/>
      <c r="R156" s="6" t="str">
        <f>IF(Q156="","",SUMIFS(tblAnalysis[P&amp;L SOL],tblAnalysis[Date],Q156))</f>
        <v/>
      </c>
      <c r="S156" s="10" t="str">
        <f>IF(Q156="","",SUMIFS(tblAnalysis[P&amp;L %],tblAnalysis[Date],Q156))</f>
        <v/>
      </c>
      <c r="T156" s="6" t="str">
        <f>IF(Q156="","",IFERROR(SUM($R$2:R156),""))</f>
        <v/>
      </c>
      <c r="U156" t="str">
        <f>IF(Q156="","",COUNTIFS(tblAnalysis[Date],Q156))</f>
        <v/>
      </c>
      <c r="W156" s="27" t="str">
        <f t="shared" si="50"/>
        <v/>
      </c>
      <c r="X156" s="6" t="str">
        <f t="shared" si="51"/>
        <v/>
      </c>
      <c r="Y156" s="6" t="str">
        <f>IF(Q156="","",MAX(X156,_xlfn.MAXIFS(tblAnalysis[Cum P&amp;L SOL],tblAnalysis[Date],Q156)))</f>
        <v/>
      </c>
      <c r="Z156" s="6" t="str">
        <f>IF(Q156="","",MIN(X156,_xlfn.MINIFS(tblAnalysis[Cum P&amp;L SOL],tblAnalysis[Date],Q156)))</f>
        <v/>
      </c>
      <c r="AA156" s="6" t="str">
        <f t="shared" si="52"/>
        <v/>
      </c>
      <c r="AB156"/>
      <c r="AC156" s="27" t="str">
        <f t="shared" si="53"/>
        <v/>
      </c>
      <c r="AD156" s="10" t="str">
        <f t="shared" si="54"/>
        <v/>
      </c>
      <c r="AE156" s="10" t="str">
        <f t="shared" si="55"/>
        <v/>
      </c>
      <c r="AF156" s="10" t="str">
        <f t="shared" si="56"/>
        <v/>
      </c>
      <c r="AG156"/>
      <c r="AH156" t="str">
        <f t="shared" si="57"/>
        <v/>
      </c>
      <c r="AI156" t="str">
        <f t="shared" si="58"/>
        <v/>
      </c>
      <c r="AK156" cm="1">
        <f t="array" ref="AK156">IFERROR(IF(INDEX($A:$A,ROW())="","",INDEX($A:$A,ROW())),"")</f>
        <v>155</v>
      </c>
      <c r="AL156" t="str" cm="1">
        <f t="array" ref="AL156">IFERROR(INDEX(tblTrades[sol_invested],ROW()-1),"")</f>
        <v/>
      </c>
      <c r="AM156" s="6" t="str" cm="1">
        <f t="array" ref="AM156">IFERROR(INDEX(tblAnalysis[P&amp;L SOL],ROW()-1),"")</f>
        <v/>
      </c>
      <c r="AN156" t="str" cm="1">
        <f t="array" ref="AN156">IFERROR(IF(INDEX(tblTrades[sol_invested],ROW()-1)&gt;0.5,INDEX(tblAnalysis[Token],ROW()-1)&amp;" ("&amp;TEXT(INDEX(tblTrades[sol_invested],ROW()-1),"0.0")&amp;" SOL)",""),"")</f>
        <v/>
      </c>
      <c r="AO156" s="7" t="e" cm="1">
        <f t="array" ref="AO156">IF(INDEX(tblTrades[sol_invested],ROW()-1)&gt;0.5,INDEX(tblAnalysis[Cum P&amp;L SOL],ROW()-1),"")</f>
        <v>#REF!</v>
      </c>
      <c r="AP156" s="12" t="str" cm="1">
        <f t="array" ref="AP156">IFERROR(INDEX(tblAnalysis[Entry MC ($)],ROW()-1),"")</f>
        <v/>
      </c>
      <c r="AQ156" s="10" t="str" cm="1">
        <f t="array" ref="AQ156">IFERROR(INDEX(tblAnalysis[P&amp;L %],ROW()-1),"")</f>
        <v/>
      </c>
      <c r="AR156" t="str" cm="1">
        <f t="array" ref="AR156">IFERROR(INDEX(tblAnalysis[Hold Time (s)],ROW()-1),"")</f>
        <v/>
      </c>
      <c r="AS156" s="6" t="str" cm="1">
        <f t="array" ref="AS156">IFERROR(INDEX(tblAnalysis[P&amp;L SOL],ROW()-1),"")</f>
        <v/>
      </c>
      <c r="AT156"/>
      <c r="AY156" s="10"/>
      <c r="AZ156" s="10"/>
      <c r="BA156" s="6"/>
      <c r="BB156"/>
      <c r="BF156" t="str">
        <f t="shared" si="59"/>
        <v/>
      </c>
      <c r="BG156" s="27" t="str">
        <f t="shared" si="60"/>
        <v/>
      </c>
      <c r="BH156" t="str">
        <f t="shared" si="61"/>
        <v/>
      </c>
      <c r="BL156" s="29" t="e">
        <f t="shared" si="62"/>
        <v>#N/A</v>
      </c>
      <c r="BM156" s="29" t="e">
        <f t="shared" si="63"/>
        <v>#N/A</v>
      </c>
    </row>
    <row r="157" spans="1:65" x14ac:dyDescent="0.35">
      <c r="A157">
        <f t="shared" si="46"/>
        <v>156</v>
      </c>
      <c r="B157" t="e" cm="1">
        <f t="array" ref="B157">INDEX(tblTrades[token_name],ROW()-1)</f>
        <v>#REF!</v>
      </c>
      <c r="C157" s="27" t="e" cm="1">
        <f t="array" ref="C157">INDEX(tblTrades[entry_date],ROW()-1)</f>
        <v>#REF!</v>
      </c>
      <c r="D157" s="2" t="e" cm="1">
        <f t="array" ref="D157">INDEX(tblTrades[entry_mc_actual],ROW()-1)</f>
        <v>#REF!</v>
      </c>
      <c r="E157" s="2" t="e" cm="1">
        <f t="array" ref="E157">INDEX(tblTrades[exit_mc_actual],ROW()-1)</f>
        <v>#REF!</v>
      </c>
      <c r="F157" s="3" t="e" cm="1">
        <f t="array" ref="F157">INDEX(tblTrades[time_in_trade_seconds],ROW()-1)</f>
        <v>#REF!</v>
      </c>
      <c r="G157" s="4" t="str" cm="1">
        <f t="array" ref="G157">IFERROR(INDEX(tblTrades[pnl_percentage],ROW()-1)*1,"")</f>
        <v/>
      </c>
      <c r="H157" s="5" t="str" cm="1">
        <f t="array" ref="H157">IFERROR(INDEX(tblTrades[pnl_sol],ROW()-1)*1,"")</f>
        <v/>
      </c>
      <c r="I157" t="str">
        <f t="shared" si="47"/>
        <v/>
      </c>
      <c r="J157" t="str">
        <f t="shared" si="48"/>
        <v/>
      </c>
      <c r="K157" t="str">
        <f t="shared" si="49"/>
        <v/>
      </c>
      <c r="L157" s="20" t="str" cm="1">
        <f t="array" ref="L157">IFERROR(INDEX(tblTrades[sol_invested],ROW()-1),"")</f>
        <v/>
      </c>
      <c r="M157" s="1">
        <f>COUNTIFS(tblAnalysis[Token],tblAnalysis[[#This Row],[Token]])</f>
        <v>0</v>
      </c>
      <c r="N157" s="1">
        <f>COUNTIFS($B$2:B157,tblAnalysis[[#This Row],[Token]])</f>
        <v>0</v>
      </c>
      <c r="O157" s="5">
        <f>IFERROR(SUM($H$2:H157),"")</f>
        <v>0.40399999999999997</v>
      </c>
      <c r="P157" s="6"/>
      <c r="Q157" s="27"/>
      <c r="R157" s="6" t="str">
        <f>IF(Q157="","",SUMIFS(tblAnalysis[P&amp;L SOL],tblAnalysis[Date],Q157))</f>
        <v/>
      </c>
      <c r="S157" s="10" t="str">
        <f>IF(Q157="","",SUMIFS(tblAnalysis[P&amp;L %],tblAnalysis[Date],Q157))</f>
        <v/>
      </c>
      <c r="T157" s="6" t="str">
        <f>IF(Q157="","",IFERROR(SUM($R$2:R157),""))</f>
        <v/>
      </c>
      <c r="U157" t="str">
        <f>IF(Q157="","",COUNTIFS(tblAnalysis[Date],Q157))</f>
        <v/>
      </c>
      <c r="W157" s="27" t="str">
        <f t="shared" si="50"/>
        <v/>
      </c>
      <c r="X157" s="6" t="str">
        <f t="shared" si="51"/>
        <v/>
      </c>
      <c r="Y157" s="6" t="str">
        <f>IF(Q157="","",MAX(X157,_xlfn.MAXIFS(tblAnalysis[Cum P&amp;L SOL],tblAnalysis[Date],Q157)))</f>
        <v/>
      </c>
      <c r="Z157" s="6" t="str">
        <f>IF(Q157="","",MIN(X157,_xlfn.MINIFS(tblAnalysis[Cum P&amp;L SOL],tblAnalysis[Date],Q157)))</f>
        <v/>
      </c>
      <c r="AA157" s="6" t="str">
        <f t="shared" si="52"/>
        <v/>
      </c>
      <c r="AB157"/>
      <c r="AC157" s="27" t="str">
        <f t="shared" si="53"/>
        <v/>
      </c>
      <c r="AD157" s="10" t="str">
        <f t="shared" si="54"/>
        <v/>
      </c>
      <c r="AE157" s="10" t="str">
        <f t="shared" si="55"/>
        <v/>
      </c>
      <c r="AF157" s="10" t="str">
        <f t="shared" si="56"/>
        <v/>
      </c>
      <c r="AG157"/>
      <c r="AH157" t="str">
        <f t="shared" si="57"/>
        <v/>
      </c>
      <c r="AI157" t="str">
        <f t="shared" si="58"/>
        <v/>
      </c>
      <c r="AK157" cm="1">
        <f t="array" ref="AK157">IFERROR(IF(INDEX($A:$A,ROW())="","",INDEX($A:$A,ROW())),"")</f>
        <v>156</v>
      </c>
      <c r="AL157" t="str" cm="1">
        <f t="array" ref="AL157">IFERROR(INDEX(tblTrades[sol_invested],ROW()-1),"")</f>
        <v/>
      </c>
      <c r="AM157" s="6" t="str" cm="1">
        <f t="array" ref="AM157">IFERROR(INDEX(tblAnalysis[P&amp;L SOL],ROW()-1),"")</f>
        <v/>
      </c>
      <c r="AN157" t="str" cm="1">
        <f t="array" ref="AN157">IFERROR(IF(INDEX(tblTrades[sol_invested],ROW()-1)&gt;0.5,INDEX(tblAnalysis[Token],ROW()-1)&amp;" ("&amp;TEXT(INDEX(tblTrades[sol_invested],ROW()-1),"0.0")&amp;" SOL)",""),"")</f>
        <v/>
      </c>
      <c r="AO157" s="7" t="e" cm="1">
        <f t="array" ref="AO157">IF(INDEX(tblTrades[sol_invested],ROW()-1)&gt;0.5,INDEX(tblAnalysis[Cum P&amp;L SOL],ROW()-1),"")</f>
        <v>#REF!</v>
      </c>
      <c r="AP157" s="12" t="str" cm="1">
        <f t="array" ref="AP157">IFERROR(INDEX(tblAnalysis[Entry MC ($)],ROW()-1),"")</f>
        <v/>
      </c>
      <c r="AQ157" s="10" t="str" cm="1">
        <f t="array" ref="AQ157">IFERROR(INDEX(tblAnalysis[P&amp;L %],ROW()-1),"")</f>
        <v/>
      </c>
      <c r="AR157" t="str" cm="1">
        <f t="array" ref="AR157">IFERROR(INDEX(tblAnalysis[Hold Time (s)],ROW()-1),"")</f>
        <v/>
      </c>
      <c r="AS157" s="6" t="str" cm="1">
        <f t="array" ref="AS157">IFERROR(INDEX(tblAnalysis[P&amp;L SOL],ROW()-1),"")</f>
        <v/>
      </c>
      <c r="AT157"/>
      <c r="AY157" s="10"/>
      <c r="AZ157" s="10"/>
      <c r="BA157" s="6"/>
      <c r="BB157"/>
      <c r="BF157" t="str">
        <f t="shared" si="59"/>
        <v/>
      </c>
      <c r="BG157" s="27" t="str">
        <f t="shared" si="60"/>
        <v/>
      </c>
      <c r="BH157" t="str">
        <f t="shared" si="61"/>
        <v/>
      </c>
      <c r="BL157" s="29" t="e">
        <f t="shared" si="62"/>
        <v>#N/A</v>
      </c>
      <c r="BM157" s="29" t="e">
        <f t="shared" si="63"/>
        <v>#N/A</v>
      </c>
    </row>
    <row r="158" spans="1:65" x14ac:dyDescent="0.35">
      <c r="A158">
        <f t="shared" si="46"/>
        <v>157</v>
      </c>
      <c r="B158" t="e" cm="1">
        <f t="array" ref="B158">INDEX(tblTrades[token_name],ROW()-1)</f>
        <v>#REF!</v>
      </c>
      <c r="C158" s="27" t="e" cm="1">
        <f t="array" ref="C158">INDEX(tblTrades[entry_date],ROW()-1)</f>
        <v>#REF!</v>
      </c>
      <c r="D158" s="2" t="e" cm="1">
        <f t="array" ref="D158">INDEX(tblTrades[entry_mc_actual],ROW()-1)</f>
        <v>#REF!</v>
      </c>
      <c r="E158" s="2" t="e" cm="1">
        <f t="array" ref="E158">INDEX(tblTrades[exit_mc_actual],ROW()-1)</f>
        <v>#REF!</v>
      </c>
      <c r="F158" s="3" t="e" cm="1">
        <f t="array" ref="F158">INDEX(tblTrades[time_in_trade_seconds],ROW()-1)</f>
        <v>#REF!</v>
      </c>
      <c r="G158" s="4" t="str" cm="1">
        <f t="array" ref="G158">IFERROR(INDEX(tblTrades[pnl_percentage],ROW()-1)*1,"")</f>
        <v/>
      </c>
      <c r="H158" s="5" t="str" cm="1">
        <f t="array" ref="H158">IFERROR(INDEX(tblTrades[pnl_sol],ROW()-1)*1,"")</f>
        <v/>
      </c>
      <c r="I158" t="str">
        <f t="shared" si="47"/>
        <v/>
      </c>
      <c r="J158" t="str">
        <f t="shared" si="48"/>
        <v/>
      </c>
      <c r="K158" t="str">
        <f t="shared" si="49"/>
        <v/>
      </c>
      <c r="L158" s="20" t="str" cm="1">
        <f t="array" ref="L158">IFERROR(INDEX(tblTrades[sol_invested],ROW()-1),"")</f>
        <v/>
      </c>
      <c r="M158" s="1">
        <f>COUNTIFS(tblAnalysis[Token],tblAnalysis[[#This Row],[Token]])</f>
        <v>0</v>
      </c>
      <c r="N158" s="1">
        <f>COUNTIFS($B$2:B158,tblAnalysis[[#This Row],[Token]])</f>
        <v>0</v>
      </c>
      <c r="O158" s="5">
        <f>IFERROR(SUM($H$2:H158),"")</f>
        <v>0.40399999999999997</v>
      </c>
      <c r="P158" s="6"/>
      <c r="Q158" s="27"/>
      <c r="R158" s="6" t="str">
        <f>IF(Q158="","",SUMIFS(tblAnalysis[P&amp;L SOL],tblAnalysis[Date],Q158))</f>
        <v/>
      </c>
      <c r="S158" s="10" t="str">
        <f>IF(Q158="","",SUMIFS(tblAnalysis[P&amp;L %],tblAnalysis[Date],Q158))</f>
        <v/>
      </c>
      <c r="T158" s="6" t="str">
        <f>IF(Q158="","",IFERROR(SUM($R$2:R158),""))</f>
        <v/>
      </c>
      <c r="U158" t="str">
        <f>IF(Q158="","",COUNTIFS(tblAnalysis[Date],Q158))</f>
        <v/>
      </c>
      <c r="W158" s="27" t="str">
        <f t="shared" si="50"/>
        <v/>
      </c>
      <c r="X158" s="6" t="str">
        <f t="shared" si="51"/>
        <v/>
      </c>
      <c r="Y158" s="6" t="str">
        <f>IF(Q158="","",MAX(X158,_xlfn.MAXIFS(tblAnalysis[Cum P&amp;L SOL],tblAnalysis[Date],Q158)))</f>
        <v/>
      </c>
      <c r="Z158" s="6" t="str">
        <f>IF(Q158="","",MIN(X158,_xlfn.MINIFS(tblAnalysis[Cum P&amp;L SOL],tblAnalysis[Date],Q158)))</f>
        <v/>
      </c>
      <c r="AA158" s="6" t="str">
        <f t="shared" si="52"/>
        <v/>
      </c>
      <c r="AB158"/>
      <c r="AC158" s="27" t="str">
        <f t="shared" si="53"/>
        <v/>
      </c>
      <c r="AD158" s="10" t="str">
        <f t="shared" si="54"/>
        <v/>
      </c>
      <c r="AE158" s="10" t="str">
        <f t="shared" si="55"/>
        <v/>
      </c>
      <c r="AF158" s="10" t="str">
        <f t="shared" si="56"/>
        <v/>
      </c>
      <c r="AG158"/>
      <c r="AH158" t="str">
        <f t="shared" si="57"/>
        <v/>
      </c>
      <c r="AI158" t="str">
        <f t="shared" si="58"/>
        <v/>
      </c>
      <c r="AK158" cm="1">
        <f t="array" ref="AK158">IFERROR(IF(INDEX($A:$A,ROW())="","",INDEX($A:$A,ROW())),"")</f>
        <v>157</v>
      </c>
      <c r="AL158" t="str" cm="1">
        <f t="array" ref="AL158">IFERROR(INDEX(tblTrades[sol_invested],ROW()-1),"")</f>
        <v/>
      </c>
      <c r="AM158" s="6" t="str" cm="1">
        <f t="array" ref="AM158">IFERROR(INDEX(tblAnalysis[P&amp;L SOL],ROW()-1),"")</f>
        <v/>
      </c>
      <c r="AN158" t="str" cm="1">
        <f t="array" ref="AN158">IFERROR(IF(INDEX(tblTrades[sol_invested],ROW()-1)&gt;0.5,INDEX(tblAnalysis[Token],ROW()-1)&amp;" ("&amp;TEXT(INDEX(tblTrades[sol_invested],ROW()-1),"0.0")&amp;" SOL)",""),"")</f>
        <v/>
      </c>
      <c r="AO158" s="7" t="e" cm="1">
        <f t="array" ref="AO158">IF(INDEX(tblTrades[sol_invested],ROW()-1)&gt;0.5,INDEX(tblAnalysis[Cum P&amp;L SOL],ROW()-1),"")</f>
        <v>#REF!</v>
      </c>
      <c r="AP158" s="12" t="str" cm="1">
        <f t="array" ref="AP158">IFERROR(INDEX(tblAnalysis[Entry MC ($)],ROW()-1),"")</f>
        <v/>
      </c>
      <c r="AQ158" s="10" t="str" cm="1">
        <f t="array" ref="AQ158">IFERROR(INDEX(tblAnalysis[P&amp;L %],ROW()-1),"")</f>
        <v/>
      </c>
      <c r="AR158" t="str" cm="1">
        <f t="array" ref="AR158">IFERROR(INDEX(tblAnalysis[Hold Time (s)],ROW()-1),"")</f>
        <v/>
      </c>
      <c r="AS158" s="6" t="str" cm="1">
        <f t="array" ref="AS158">IFERROR(INDEX(tblAnalysis[P&amp;L SOL],ROW()-1),"")</f>
        <v/>
      </c>
      <c r="AT158"/>
      <c r="AY158" s="10"/>
      <c r="AZ158" s="10"/>
      <c r="BA158" s="6"/>
      <c r="BB158"/>
      <c r="BF158" t="str">
        <f t="shared" si="59"/>
        <v/>
      </c>
      <c r="BG158" s="27" t="str">
        <f t="shared" si="60"/>
        <v/>
      </c>
      <c r="BH158" t="str">
        <f t="shared" si="61"/>
        <v/>
      </c>
      <c r="BL158" s="29" t="e">
        <f>IF(ISNUMBER(#REF!),IF(#REF!&gt;0,#REF!,NA()),NA())</f>
        <v>#N/A</v>
      </c>
      <c r="BM158" s="29" t="e">
        <f>IF(ISNUMBER(#REF!),IF(#REF!&lt;=0,#REF!,NA()),NA())</f>
        <v>#N/A</v>
      </c>
    </row>
    <row r="159" spans="1:65" x14ac:dyDescent="0.35">
      <c r="A159">
        <f t="shared" si="46"/>
        <v>158</v>
      </c>
      <c r="B159" t="e" cm="1">
        <f t="array" ref="B159">INDEX(tblTrades[token_name],ROW()-1)</f>
        <v>#REF!</v>
      </c>
      <c r="C159" s="27" t="e" cm="1">
        <f t="array" ref="C159">INDEX(tblTrades[entry_date],ROW()-1)</f>
        <v>#REF!</v>
      </c>
      <c r="D159" s="2" t="e" cm="1">
        <f t="array" ref="D159">INDEX(tblTrades[entry_mc_actual],ROW()-1)</f>
        <v>#REF!</v>
      </c>
      <c r="E159" s="2" t="e" cm="1">
        <f t="array" ref="E159">INDEX(tblTrades[exit_mc_actual],ROW()-1)</f>
        <v>#REF!</v>
      </c>
      <c r="F159" s="3" t="e" cm="1">
        <f t="array" ref="F159">INDEX(tblTrades[time_in_trade_seconds],ROW()-1)</f>
        <v>#REF!</v>
      </c>
      <c r="G159" s="4" t="str" cm="1">
        <f t="array" ref="G159">IFERROR(INDEX(tblTrades[pnl_percentage],ROW()-1)*1,"")</f>
        <v/>
      </c>
      <c r="H159" s="5" t="str" cm="1">
        <f t="array" ref="H159">IFERROR(INDEX(tblTrades[pnl_sol],ROW()-1)*1,"")</f>
        <v/>
      </c>
      <c r="I159" t="str">
        <f t="shared" si="47"/>
        <v/>
      </c>
      <c r="J159" t="str">
        <f t="shared" si="48"/>
        <v/>
      </c>
      <c r="K159" t="str">
        <f t="shared" si="49"/>
        <v/>
      </c>
      <c r="L159" s="20" t="str" cm="1">
        <f t="array" ref="L159">IFERROR(INDEX(tblTrades[sol_invested],ROW()-1),"")</f>
        <v/>
      </c>
      <c r="M159" s="1">
        <f>COUNTIFS(tblAnalysis[Token],tblAnalysis[[#This Row],[Token]])</f>
        <v>0</v>
      </c>
      <c r="N159" s="1">
        <f>COUNTIFS($B$2:B159,tblAnalysis[[#This Row],[Token]])</f>
        <v>0</v>
      </c>
      <c r="O159" s="5">
        <f>IFERROR(SUM($H$2:H159),"")</f>
        <v>0.40399999999999997</v>
      </c>
      <c r="P159" s="6"/>
      <c r="Q159" s="27"/>
      <c r="R159" s="6" t="str">
        <f>IF(Q159="","",SUMIFS(tblAnalysis[P&amp;L SOL],tblAnalysis[Date],Q159))</f>
        <v/>
      </c>
      <c r="S159" s="10" t="str">
        <f>IF(Q159="","",SUMIFS(tblAnalysis[P&amp;L %],tblAnalysis[Date],Q159))</f>
        <v/>
      </c>
      <c r="T159" s="6" t="str">
        <f>IF(Q159="","",IFERROR(SUM($R$2:R159),""))</f>
        <v/>
      </c>
      <c r="U159" t="str">
        <f>IF(Q159="","",COUNTIFS(tblAnalysis[Date],Q159))</f>
        <v/>
      </c>
      <c r="W159" s="27" t="str">
        <f t="shared" si="50"/>
        <v/>
      </c>
      <c r="X159" s="6" t="str">
        <f t="shared" si="51"/>
        <v/>
      </c>
      <c r="Y159" s="6" t="str">
        <f>IF(Q159="","",MAX(X159,_xlfn.MAXIFS(tblAnalysis[Cum P&amp;L SOL],tblAnalysis[Date],Q159)))</f>
        <v/>
      </c>
      <c r="Z159" s="6" t="str">
        <f>IF(Q159="","",MIN(X159,_xlfn.MINIFS(tblAnalysis[Cum P&amp;L SOL],tblAnalysis[Date],Q159)))</f>
        <v/>
      </c>
      <c r="AA159" s="6" t="str">
        <f t="shared" si="52"/>
        <v/>
      </c>
      <c r="AB159"/>
      <c r="AC159" s="27" t="str">
        <f t="shared" si="53"/>
        <v/>
      </c>
      <c r="AD159" s="10" t="str">
        <f t="shared" si="54"/>
        <v/>
      </c>
      <c r="AE159" s="10" t="str">
        <f t="shared" si="55"/>
        <v/>
      </c>
      <c r="AF159" s="10" t="str">
        <f t="shared" si="56"/>
        <v/>
      </c>
      <c r="AG159"/>
      <c r="AH159" t="str">
        <f t="shared" si="57"/>
        <v/>
      </c>
      <c r="AI159" t="str">
        <f t="shared" si="58"/>
        <v/>
      </c>
      <c r="AK159" cm="1">
        <f t="array" ref="AK159">IFERROR(IF(INDEX($A:$A,ROW())="","",INDEX($A:$A,ROW())),"")</f>
        <v>158</v>
      </c>
      <c r="AL159" t="str" cm="1">
        <f t="array" ref="AL159">IFERROR(INDEX(tblTrades[sol_invested],ROW()-1),"")</f>
        <v/>
      </c>
      <c r="AM159" s="6" t="str" cm="1">
        <f t="array" ref="AM159">IFERROR(INDEX(tblAnalysis[P&amp;L SOL],ROW()-1),"")</f>
        <v/>
      </c>
      <c r="AN159" t="str" cm="1">
        <f t="array" ref="AN159">IFERROR(IF(INDEX(tblTrades[sol_invested],ROW()-1)&gt;0.5,INDEX(tblAnalysis[Token],ROW()-1)&amp;" ("&amp;TEXT(INDEX(tblTrades[sol_invested],ROW()-1),"0.0")&amp;" SOL)",""),"")</f>
        <v/>
      </c>
      <c r="AO159" s="7" t="e" cm="1">
        <f t="array" ref="AO159">IF(INDEX(tblTrades[sol_invested],ROW()-1)&gt;0.5,INDEX(tblAnalysis[Cum P&amp;L SOL],ROW()-1),"")</f>
        <v>#REF!</v>
      </c>
      <c r="AP159" s="12" t="str" cm="1">
        <f t="array" ref="AP159">IFERROR(INDEX(tblAnalysis[Entry MC ($)],ROW()-1),"")</f>
        <v/>
      </c>
      <c r="AQ159" s="10" t="str" cm="1">
        <f t="array" ref="AQ159">IFERROR(INDEX(tblAnalysis[P&amp;L %],ROW()-1),"")</f>
        <v/>
      </c>
      <c r="AR159" t="str" cm="1">
        <f t="array" ref="AR159">IFERROR(INDEX(tblAnalysis[Hold Time (s)],ROW()-1),"")</f>
        <v/>
      </c>
      <c r="AS159" s="6" t="str" cm="1">
        <f t="array" ref="AS159">IFERROR(INDEX(tblAnalysis[P&amp;L SOL],ROW()-1),"")</f>
        <v/>
      </c>
      <c r="AT159"/>
      <c r="AY159" s="10"/>
      <c r="AZ159" s="10"/>
      <c r="BA159" s="6"/>
      <c r="BB159"/>
      <c r="BF159" t="str">
        <f t="shared" si="59"/>
        <v/>
      </c>
      <c r="BG159" s="27" t="str">
        <f t="shared" si="60"/>
        <v/>
      </c>
      <c r="BH159" t="str">
        <f t="shared" si="61"/>
        <v/>
      </c>
      <c r="BL159" s="29" t="e">
        <f>IF(ISNUMBER(#REF!),IF(#REF!&gt;0,#REF!,NA()),NA())</f>
        <v>#N/A</v>
      </c>
      <c r="BM159" s="29" t="e">
        <f>IF(ISNUMBER(#REF!),IF(#REF!&lt;=0,#REF!,NA()),NA())</f>
        <v>#N/A</v>
      </c>
    </row>
    <row r="160" spans="1:65" x14ac:dyDescent="0.35">
      <c r="A160">
        <f t="shared" si="46"/>
        <v>159</v>
      </c>
      <c r="B160" t="e" cm="1">
        <f t="array" ref="B160">INDEX(tblTrades[token_name],ROW()-1)</f>
        <v>#REF!</v>
      </c>
      <c r="C160" s="27" t="e" cm="1">
        <f t="array" ref="C160">INDEX(tblTrades[entry_date],ROW()-1)</f>
        <v>#REF!</v>
      </c>
      <c r="D160" s="2" t="e" cm="1">
        <f t="array" ref="D160">INDEX(tblTrades[entry_mc_actual],ROW()-1)</f>
        <v>#REF!</v>
      </c>
      <c r="E160" s="2" t="e" cm="1">
        <f t="array" ref="E160">INDEX(tblTrades[exit_mc_actual],ROW()-1)</f>
        <v>#REF!</v>
      </c>
      <c r="F160" s="3" t="e" cm="1">
        <f t="array" ref="F160">INDEX(tblTrades[time_in_trade_seconds],ROW()-1)</f>
        <v>#REF!</v>
      </c>
      <c r="G160" s="4" t="str" cm="1">
        <f t="array" ref="G160">IFERROR(INDEX(tblTrades[pnl_percentage],ROW()-1)*1,"")</f>
        <v/>
      </c>
      <c r="H160" s="5" t="str" cm="1">
        <f t="array" ref="H160">IFERROR(INDEX(tblTrades[pnl_sol],ROW()-1)*1,"")</f>
        <v/>
      </c>
      <c r="I160" t="str">
        <f t="shared" si="47"/>
        <v/>
      </c>
      <c r="J160" t="str">
        <f t="shared" si="48"/>
        <v/>
      </c>
      <c r="K160" t="str">
        <f t="shared" si="49"/>
        <v/>
      </c>
      <c r="L160" s="20" t="str" cm="1">
        <f t="array" ref="L160">IFERROR(INDEX(tblTrades[sol_invested],ROW()-1),"")</f>
        <v/>
      </c>
      <c r="M160" s="1">
        <f>COUNTIFS(tblAnalysis[Token],tblAnalysis[[#This Row],[Token]])</f>
        <v>0</v>
      </c>
      <c r="N160" s="1">
        <f>COUNTIFS($B$2:B160,tblAnalysis[[#This Row],[Token]])</f>
        <v>0</v>
      </c>
      <c r="O160" s="5">
        <f>IFERROR(SUM($H$2:H160),"")</f>
        <v>0.40399999999999997</v>
      </c>
      <c r="P160" s="6"/>
      <c r="Q160" s="27"/>
      <c r="R160" s="6" t="str">
        <f>IF(Q160="","",SUMIFS(tblAnalysis[P&amp;L SOL],tblAnalysis[Date],Q160))</f>
        <v/>
      </c>
      <c r="S160" s="10" t="str">
        <f>IF(Q160="","",SUMIFS(tblAnalysis[P&amp;L %],tblAnalysis[Date],Q160))</f>
        <v/>
      </c>
      <c r="T160" s="6" t="str">
        <f>IF(Q160="","",IFERROR(SUM($R$2:R160),""))</f>
        <v/>
      </c>
      <c r="U160" t="str">
        <f>IF(Q160="","",COUNTIFS(tblAnalysis[Date],Q160))</f>
        <v/>
      </c>
      <c r="W160" s="27" t="str">
        <f t="shared" si="50"/>
        <v/>
      </c>
      <c r="X160" s="6" t="str">
        <f t="shared" si="51"/>
        <v/>
      </c>
      <c r="Y160" s="6" t="str">
        <f>IF(Q160="","",MAX(X160,_xlfn.MAXIFS(tblAnalysis[Cum P&amp;L SOL],tblAnalysis[Date],Q160)))</f>
        <v/>
      </c>
      <c r="Z160" s="6" t="str">
        <f>IF(Q160="","",MIN(X160,_xlfn.MINIFS(tblAnalysis[Cum P&amp;L SOL],tblAnalysis[Date],Q160)))</f>
        <v/>
      </c>
      <c r="AA160" s="6" t="str">
        <f t="shared" si="52"/>
        <v/>
      </c>
      <c r="AB160"/>
      <c r="AC160" s="27" t="str">
        <f t="shared" si="53"/>
        <v/>
      </c>
      <c r="AD160" s="10" t="str">
        <f t="shared" si="54"/>
        <v/>
      </c>
      <c r="AE160" s="10" t="str">
        <f t="shared" si="55"/>
        <v/>
      </c>
      <c r="AF160" s="10" t="str">
        <f t="shared" si="56"/>
        <v/>
      </c>
      <c r="AG160"/>
      <c r="AH160" t="str">
        <f t="shared" si="57"/>
        <v/>
      </c>
      <c r="AI160" t="str">
        <f t="shared" si="58"/>
        <v/>
      </c>
      <c r="AK160" cm="1">
        <f t="array" ref="AK160">IFERROR(IF(INDEX($A:$A,ROW())="","",INDEX($A:$A,ROW())),"")</f>
        <v>159</v>
      </c>
      <c r="AL160" t="str" cm="1">
        <f t="array" ref="AL160">IFERROR(INDEX(tblTrades[sol_invested],ROW()-1),"")</f>
        <v/>
      </c>
      <c r="AM160" s="6" t="str" cm="1">
        <f t="array" ref="AM160">IFERROR(INDEX(tblAnalysis[P&amp;L SOL],ROW()-1),"")</f>
        <v/>
      </c>
      <c r="AN160" t="str" cm="1">
        <f t="array" ref="AN160">IFERROR(IF(INDEX(tblTrades[sol_invested],ROW()-1)&gt;0.5,INDEX(tblAnalysis[Token],ROW()-1)&amp;" ("&amp;TEXT(INDEX(tblTrades[sol_invested],ROW()-1),"0.0")&amp;" SOL)",""),"")</f>
        <v/>
      </c>
      <c r="AO160" s="7" t="e" cm="1">
        <f t="array" ref="AO160">IF(INDEX(tblTrades[sol_invested],ROW()-1)&gt;0.5,INDEX(tblAnalysis[Cum P&amp;L SOL],ROW()-1),"")</f>
        <v>#REF!</v>
      </c>
      <c r="AP160" s="12" t="str" cm="1">
        <f t="array" ref="AP160">IFERROR(INDEX(tblAnalysis[Entry MC ($)],ROW()-1),"")</f>
        <v/>
      </c>
      <c r="AQ160" s="10" t="str" cm="1">
        <f t="array" ref="AQ160">IFERROR(INDEX(tblAnalysis[P&amp;L %],ROW()-1),"")</f>
        <v/>
      </c>
      <c r="AR160" t="str" cm="1">
        <f t="array" ref="AR160">IFERROR(INDEX(tblAnalysis[Hold Time (s)],ROW()-1),"")</f>
        <v/>
      </c>
      <c r="AS160" s="6" t="str" cm="1">
        <f t="array" ref="AS160">IFERROR(INDEX(tblAnalysis[P&amp;L SOL],ROW()-1),"")</f>
        <v/>
      </c>
      <c r="AT160"/>
      <c r="AY160" s="10"/>
      <c r="AZ160" s="10"/>
      <c r="BA160" s="6"/>
      <c r="BB160"/>
      <c r="BF160" t="str">
        <f t="shared" si="59"/>
        <v/>
      </c>
      <c r="BG160" s="27" t="str">
        <f t="shared" si="60"/>
        <v/>
      </c>
      <c r="BH160" t="str">
        <f t="shared" si="61"/>
        <v/>
      </c>
      <c r="BL160" s="29" t="e">
        <f>IF(ISNUMBER(#REF!),IF(#REF!&gt;0,#REF!,NA()),NA())</f>
        <v>#N/A</v>
      </c>
      <c r="BM160" s="29" t="e">
        <f>IF(ISNUMBER(#REF!),IF(#REF!&lt;=0,#REF!,NA()),NA())</f>
        <v>#N/A</v>
      </c>
    </row>
    <row r="161" spans="1:65" x14ac:dyDescent="0.35">
      <c r="A161">
        <f t="shared" si="46"/>
        <v>160</v>
      </c>
      <c r="B161" t="e" cm="1">
        <f t="array" ref="B161">INDEX(tblTrades[token_name],ROW()-1)</f>
        <v>#REF!</v>
      </c>
      <c r="C161" s="27" t="e" cm="1">
        <f t="array" ref="C161">INDEX(tblTrades[entry_date],ROW()-1)</f>
        <v>#REF!</v>
      </c>
      <c r="D161" s="2" t="e" cm="1">
        <f t="array" ref="D161">INDEX(tblTrades[entry_mc_actual],ROW()-1)</f>
        <v>#REF!</v>
      </c>
      <c r="E161" s="2" t="e" cm="1">
        <f t="array" ref="E161">INDEX(tblTrades[exit_mc_actual],ROW()-1)</f>
        <v>#REF!</v>
      </c>
      <c r="F161" s="3" t="e" cm="1">
        <f t="array" ref="F161">INDEX(tblTrades[time_in_trade_seconds],ROW()-1)</f>
        <v>#REF!</v>
      </c>
      <c r="G161" s="4" t="str" cm="1">
        <f t="array" ref="G161">IFERROR(INDEX(tblTrades[pnl_percentage],ROW()-1)*1,"")</f>
        <v/>
      </c>
      <c r="H161" s="5" t="str" cm="1">
        <f t="array" ref="H161">IFERROR(INDEX(tblTrades[pnl_sol],ROW()-1)*1,"")</f>
        <v/>
      </c>
      <c r="I161" t="str">
        <f t="shared" si="47"/>
        <v/>
      </c>
      <c r="J161" t="str">
        <f t="shared" si="48"/>
        <v/>
      </c>
      <c r="K161" t="str">
        <f t="shared" si="49"/>
        <v/>
      </c>
      <c r="L161" s="20" t="str" cm="1">
        <f t="array" ref="L161">IFERROR(INDEX(tblTrades[sol_invested],ROW()-1),"")</f>
        <v/>
      </c>
      <c r="M161" s="1">
        <f>COUNTIFS(tblAnalysis[Token],tblAnalysis[[#This Row],[Token]])</f>
        <v>0</v>
      </c>
      <c r="N161" s="1">
        <f>COUNTIFS($B$2:B161,tblAnalysis[[#This Row],[Token]])</f>
        <v>0</v>
      </c>
      <c r="O161" s="5">
        <f>IFERROR(SUM($H$2:H161),"")</f>
        <v>0.40399999999999997</v>
      </c>
      <c r="P161" s="6"/>
      <c r="Q161" s="27"/>
      <c r="R161" s="6" t="str">
        <f>IF(Q161="","",SUMIFS(tblAnalysis[P&amp;L SOL],tblAnalysis[Date],Q161))</f>
        <v/>
      </c>
      <c r="S161" s="10" t="str">
        <f>IF(Q161="","",SUMIFS(tblAnalysis[P&amp;L %],tblAnalysis[Date],Q161))</f>
        <v/>
      </c>
      <c r="T161" s="6" t="str">
        <f>IF(Q161="","",IFERROR(SUM($R$2:R161),""))</f>
        <v/>
      </c>
      <c r="U161" t="str">
        <f>IF(Q161="","",COUNTIFS(tblAnalysis[Date],Q161))</f>
        <v/>
      </c>
      <c r="W161" s="27" t="str">
        <f t="shared" si="50"/>
        <v/>
      </c>
      <c r="X161" s="6" t="str">
        <f t="shared" si="51"/>
        <v/>
      </c>
      <c r="Y161" s="6" t="str">
        <f>IF(Q161="","",MAX(X161,_xlfn.MAXIFS(tblAnalysis[Cum P&amp;L SOL],tblAnalysis[Date],Q161)))</f>
        <v/>
      </c>
      <c r="Z161" s="6" t="str">
        <f>IF(Q161="","",MIN(X161,_xlfn.MINIFS(tblAnalysis[Cum P&amp;L SOL],tblAnalysis[Date],Q161)))</f>
        <v/>
      </c>
      <c r="AA161" s="6" t="str">
        <f t="shared" si="52"/>
        <v/>
      </c>
      <c r="AB161"/>
      <c r="AC161" s="27" t="str">
        <f t="shared" si="53"/>
        <v/>
      </c>
      <c r="AD161" s="10" t="str">
        <f t="shared" si="54"/>
        <v/>
      </c>
      <c r="AE161" s="10" t="str">
        <f t="shared" si="55"/>
        <v/>
      </c>
      <c r="AF161" s="10" t="str">
        <f t="shared" si="56"/>
        <v/>
      </c>
      <c r="AG161"/>
      <c r="AH161" t="str">
        <f t="shared" si="57"/>
        <v/>
      </c>
      <c r="AI161" t="str">
        <f t="shared" si="58"/>
        <v/>
      </c>
      <c r="AK161" cm="1">
        <f t="array" ref="AK161">IFERROR(IF(INDEX($A:$A,ROW())="","",INDEX($A:$A,ROW())),"")</f>
        <v>160</v>
      </c>
      <c r="AL161" t="str" cm="1">
        <f t="array" ref="AL161">IFERROR(INDEX(tblTrades[sol_invested],ROW()-1),"")</f>
        <v/>
      </c>
      <c r="AM161" s="6" t="str" cm="1">
        <f t="array" ref="AM161">IFERROR(INDEX(tblAnalysis[P&amp;L SOL],ROW()-1),"")</f>
        <v/>
      </c>
      <c r="AN161" t="str" cm="1">
        <f t="array" ref="AN161">IFERROR(IF(INDEX(tblTrades[sol_invested],ROW()-1)&gt;0.5,INDEX(tblAnalysis[Token],ROW()-1)&amp;" ("&amp;TEXT(INDEX(tblTrades[sol_invested],ROW()-1),"0.0")&amp;" SOL)",""),"")</f>
        <v/>
      </c>
      <c r="AO161" s="7" t="e" cm="1">
        <f t="array" ref="AO161">IF(INDEX(tblTrades[sol_invested],ROW()-1)&gt;0.5,INDEX(tblAnalysis[Cum P&amp;L SOL],ROW()-1),"")</f>
        <v>#REF!</v>
      </c>
      <c r="AP161" s="12" t="str" cm="1">
        <f t="array" ref="AP161">IFERROR(INDEX(tblAnalysis[Entry MC ($)],ROW()-1),"")</f>
        <v/>
      </c>
      <c r="AQ161" s="10" t="str" cm="1">
        <f t="array" ref="AQ161">IFERROR(INDEX(tblAnalysis[P&amp;L %],ROW()-1),"")</f>
        <v/>
      </c>
      <c r="AR161" t="str" cm="1">
        <f t="array" ref="AR161">IFERROR(INDEX(tblAnalysis[Hold Time (s)],ROW()-1),"")</f>
        <v/>
      </c>
      <c r="AS161" s="6" t="str" cm="1">
        <f t="array" ref="AS161">IFERROR(INDEX(tblAnalysis[P&amp;L SOL],ROW()-1),"")</f>
        <v/>
      </c>
      <c r="AT161"/>
      <c r="AY161" s="10"/>
      <c r="AZ161" s="10"/>
      <c r="BA161" s="6"/>
      <c r="BB161"/>
      <c r="BF161" t="str">
        <f t="shared" si="59"/>
        <v/>
      </c>
      <c r="BG161" s="27" t="str">
        <f t="shared" si="60"/>
        <v/>
      </c>
      <c r="BH161" t="str">
        <f t="shared" si="61"/>
        <v/>
      </c>
      <c r="BL161" s="29" t="e">
        <f>IF(ISNUMBER(#REF!),IF(#REF!&gt;0,#REF!,NA()),NA())</f>
        <v>#N/A</v>
      </c>
      <c r="BM161" s="29" t="e">
        <f>IF(ISNUMBER(#REF!),IF(#REF!&lt;=0,#REF!,NA()),NA())</f>
        <v>#N/A</v>
      </c>
    </row>
    <row r="162" spans="1:65" x14ac:dyDescent="0.35">
      <c r="A162">
        <f t="shared" si="46"/>
        <v>161</v>
      </c>
      <c r="B162" t="e" cm="1">
        <f t="array" ref="B162">INDEX(tblTrades[token_name],ROW()-1)</f>
        <v>#REF!</v>
      </c>
      <c r="C162" s="27" t="e" cm="1">
        <f t="array" ref="C162">INDEX(tblTrades[entry_date],ROW()-1)</f>
        <v>#REF!</v>
      </c>
      <c r="D162" s="2" t="e" cm="1">
        <f t="array" ref="D162">INDEX(tblTrades[entry_mc_actual],ROW()-1)</f>
        <v>#REF!</v>
      </c>
      <c r="E162" s="2" t="e" cm="1">
        <f t="array" ref="E162">INDEX(tblTrades[exit_mc_actual],ROW()-1)</f>
        <v>#REF!</v>
      </c>
      <c r="F162" s="3" t="e" cm="1">
        <f t="array" ref="F162">INDEX(tblTrades[time_in_trade_seconds],ROW()-1)</f>
        <v>#REF!</v>
      </c>
      <c r="G162" s="4" t="str" cm="1">
        <f t="array" ref="G162">IFERROR(INDEX(tblTrades[pnl_percentage],ROW()-1)*1,"")</f>
        <v/>
      </c>
      <c r="H162" s="5" t="str" cm="1">
        <f t="array" ref="H162">IFERROR(INDEX(tblTrades[pnl_sol],ROW()-1)*1,"")</f>
        <v/>
      </c>
      <c r="I162" t="str">
        <f t="shared" si="47"/>
        <v/>
      </c>
      <c r="J162" t="str">
        <f t="shared" si="48"/>
        <v/>
      </c>
      <c r="K162" t="str">
        <f t="shared" si="49"/>
        <v/>
      </c>
      <c r="L162" s="20" t="str" cm="1">
        <f t="array" ref="L162">IFERROR(INDEX(tblTrades[sol_invested],ROW()-1),"")</f>
        <v/>
      </c>
      <c r="M162" s="1">
        <f>COUNTIFS(tblAnalysis[Token],tblAnalysis[[#This Row],[Token]])</f>
        <v>0</v>
      </c>
      <c r="N162" s="1">
        <f>COUNTIFS($B$2:B162,tblAnalysis[[#This Row],[Token]])</f>
        <v>0</v>
      </c>
      <c r="O162" s="5">
        <f>IFERROR(SUM($H$2:H162),"")</f>
        <v>0.40399999999999997</v>
      </c>
      <c r="P162" s="6"/>
      <c r="Q162" s="27"/>
      <c r="R162" s="6" t="str">
        <f>IF(Q162="","",SUMIFS(tblAnalysis[P&amp;L SOL],tblAnalysis[Date],Q162))</f>
        <v/>
      </c>
      <c r="S162" s="10" t="str">
        <f>IF(Q162="","",SUMIFS(tblAnalysis[P&amp;L %],tblAnalysis[Date],Q162))</f>
        <v/>
      </c>
      <c r="T162" s="6" t="str">
        <f>IF(Q162="","",IFERROR(SUM($R$2:R162),""))</f>
        <v/>
      </c>
      <c r="U162" t="str">
        <f>IF(Q162="","",COUNTIFS(tblAnalysis[Date],Q162))</f>
        <v/>
      </c>
      <c r="W162" s="27" t="str">
        <f t="shared" si="50"/>
        <v/>
      </c>
      <c r="X162" s="6" t="str">
        <f t="shared" si="51"/>
        <v/>
      </c>
      <c r="Y162" s="6" t="str">
        <f>IF(Q162="","",MAX(X162,_xlfn.MAXIFS(tblAnalysis[Cum P&amp;L SOL],tblAnalysis[Date],Q162)))</f>
        <v/>
      </c>
      <c r="Z162" s="6" t="str">
        <f>IF(Q162="","",MIN(X162,_xlfn.MINIFS(tblAnalysis[Cum P&amp;L SOL],tblAnalysis[Date],Q162)))</f>
        <v/>
      </c>
      <c r="AA162" s="6" t="str">
        <f t="shared" si="52"/>
        <v/>
      </c>
      <c r="AB162"/>
      <c r="AC162" s="27" t="str">
        <f t="shared" si="53"/>
        <v/>
      </c>
      <c r="AD162" s="10" t="str">
        <f t="shared" si="54"/>
        <v/>
      </c>
      <c r="AE162" s="10" t="str">
        <f t="shared" si="55"/>
        <v/>
      </c>
      <c r="AF162" s="10" t="str">
        <f t="shared" si="56"/>
        <v/>
      </c>
      <c r="AG162"/>
      <c r="AH162" t="str">
        <f t="shared" si="57"/>
        <v/>
      </c>
      <c r="AI162" t="str">
        <f t="shared" si="58"/>
        <v/>
      </c>
      <c r="AK162" cm="1">
        <f t="array" ref="AK162">IFERROR(IF(INDEX($A:$A,ROW())="","",INDEX($A:$A,ROW())),"")</f>
        <v>161</v>
      </c>
      <c r="AL162" t="str" cm="1">
        <f t="array" ref="AL162">IFERROR(INDEX(tblTrades[sol_invested],ROW()-1),"")</f>
        <v/>
      </c>
      <c r="AM162" s="6" t="str" cm="1">
        <f t="array" ref="AM162">IFERROR(INDEX(tblAnalysis[P&amp;L SOL],ROW()-1),"")</f>
        <v/>
      </c>
      <c r="AN162" t="str" cm="1">
        <f t="array" ref="AN162">IFERROR(IF(INDEX(tblTrades[sol_invested],ROW()-1)&gt;0.5,INDEX(tblAnalysis[Token],ROW()-1)&amp;" ("&amp;TEXT(INDEX(tblTrades[sol_invested],ROW()-1),"0.0")&amp;" SOL)",""),"")</f>
        <v/>
      </c>
      <c r="AO162" s="7" t="e" cm="1">
        <f t="array" ref="AO162">IF(INDEX(tblTrades[sol_invested],ROW()-1)&gt;0.5,INDEX(tblAnalysis[Cum P&amp;L SOL],ROW()-1),"")</f>
        <v>#REF!</v>
      </c>
      <c r="AP162" s="12" t="str" cm="1">
        <f t="array" ref="AP162">IFERROR(INDEX(tblAnalysis[Entry MC ($)],ROW()-1),"")</f>
        <v/>
      </c>
      <c r="AQ162" s="10" t="str" cm="1">
        <f t="array" ref="AQ162">IFERROR(INDEX(tblAnalysis[P&amp;L %],ROW()-1),"")</f>
        <v/>
      </c>
      <c r="AR162" t="str" cm="1">
        <f t="array" ref="AR162">IFERROR(INDEX(tblAnalysis[Hold Time (s)],ROW()-1),"")</f>
        <v/>
      </c>
      <c r="AS162" s="6" t="str" cm="1">
        <f t="array" ref="AS162">IFERROR(INDEX(tblAnalysis[P&amp;L SOL],ROW()-1),"")</f>
        <v/>
      </c>
      <c r="AT162"/>
      <c r="AY162" s="10"/>
      <c r="AZ162" s="10"/>
      <c r="BA162" s="6"/>
      <c r="BB162"/>
      <c r="BF162" t="str">
        <f t="shared" si="59"/>
        <v/>
      </c>
      <c r="BG162" s="27" t="str">
        <f t="shared" si="60"/>
        <v/>
      </c>
      <c r="BH162" t="str">
        <f t="shared" si="61"/>
        <v/>
      </c>
      <c r="BL162" s="29" t="e">
        <f>IF(ISNUMBER(#REF!),IF(#REF!&gt;0,#REF!,NA()),NA())</f>
        <v>#N/A</v>
      </c>
      <c r="BM162" s="29" t="e">
        <f>IF(ISNUMBER(#REF!),IF(#REF!&lt;=0,#REF!,NA()),NA())</f>
        <v>#N/A</v>
      </c>
    </row>
    <row r="163" spans="1:65" x14ac:dyDescent="0.35">
      <c r="A163">
        <f t="shared" si="46"/>
        <v>162</v>
      </c>
      <c r="B163" t="e" cm="1">
        <f t="array" ref="B163">INDEX(tblTrades[token_name],ROW()-1)</f>
        <v>#REF!</v>
      </c>
      <c r="C163" s="27" t="e" cm="1">
        <f t="array" ref="C163">INDEX(tblTrades[entry_date],ROW()-1)</f>
        <v>#REF!</v>
      </c>
      <c r="D163" s="2" t="e" cm="1">
        <f t="array" ref="D163">INDEX(tblTrades[entry_mc_actual],ROW()-1)</f>
        <v>#REF!</v>
      </c>
      <c r="E163" s="2" t="e" cm="1">
        <f t="array" ref="E163">INDEX(tblTrades[exit_mc_actual],ROW()-1)</f>
        <v>#REF!</v>
      </c>
      <c r="F163" s="3" t="e" cm="1">
        <f t="array" ref="F163">INDEX(tblTrades[time_in_trade_seconds],ROW()-1)</f>
        <v>#REF!</v>
      </c>
      <c r="G163" s="4" t="str" cm="1">
        <f t="array" ref="G163">IFERROR(INDEX(tblTrades[pnl_percentage],ROW()-1)*1,"")</f>
        <v/>
      </c>
      <c r="H163" s="5" t="str" cm="1">
        <f t="array" ref="H163">IFERROR(INDEX(tblTrades[pnl_sol],ROW()-1)*1,"")</f>
        <v/>
      </c>
      <c r="I163" t="str">
        <f t="shared" si="47"/>
        <v/>
      </c>
      <c r="J163" t="str">
        <f t="shared" si="48"/>
        <v/>
      </c>
      <c r="K163" t="str">
        <f t="shared" si="49"/>
        <v/>
      </c>
      <c r="L163" s="20" t="str" cm="1">
        <f t="array" ref="L163">IFERROR(INDEX(tblTrades[sol_invested],ROW()-1),"")</f>
        <v/>
      </c>
      <c r="M163" s="1">
        <f>COUNTIFS(tblAnalysis[Token],tblAnalysis[[#This Row],[Token]])</f>
        <v>0</v>
      </c>
      <c r="N163" s="1">
        <f>COUNTIFS($B$2:B163,tblAnalysis[[#This Row],[Token]])</f>
        <v>0</v>
      </c>
      <c r="O163" s="5">
        <f>IFERROR(SUM($H$2:H163),"")</f>
        <v>0.40399999999999997</v>
      </c>
      <c r="P163" s="6"/>
      <c r="Q163" s="27"/>
      <c r="R163" s="6" t="str">
        <f>IF(Q163="","",SUMIFS(tblAnalysis[P&amp;L SOL],tblAnalysis[Date],Q163))</f>
        <v/>
      </c>
      <c r="S163" s="10" t="str">
        <f>IF(Q163="","",SUMIFS(tblAnalysis[P&amp;L %],tblAnalysis[Date],Q163))</f>
        <v/>
      </c>
      <c r="T163" s="6" t="str">
        <f>IF(Q163="","",IFERROR(SUM($R$2:R163),""))</f>
        <v/>
      </c>
      <c r="U163" t="str">
        <f>IF(Q163="","",COUNTIFS(tblAnalysis[Date],Q163))</f>
        <v/>
      </c>
      <c r="W163" s="27" t="str">
        <f t="shared" si="50"/>
        <v/>
      </c>
      <c r="X163" s="6" t="str">
        <f t="shared" si="51"/>
        <v/>
      </c>
      <c r="Y163" s="6" t="str">
        <f>IF(Q163="","",MAX(X163,_xlfn.MAXIFS(tblAnalysis[Cum P&amp;L SOL],tblAnalysis[Date],Q163)))</f>
        <v/>
      </c>
      <c r="Z163" s="6" t="str">
        <f>IF(Q163="","",MIN(X163,_xlfn.MINIFS(tblAnalysis[Cum P&amp;L SOL],tblAnalysis[Date],Q163)))</f>
        <v/>
      </c>
      <c r="AA163" s="6" t="str">
        <f t="shared" si="52"/>
        <v/>
      </c>
      <c r="AB163"/>
      <c r="AC163" s="27" t="str">
        <f t="shared" si="53"/>
        <v/>
      </c>
      <c r="AD163" s="10" t="str">
        <f t="shared" si="54"/>
        <v/>
      </c>
      <c r="AE163" s="10" t="str">
        <f t="shared" si="55"/>
        <v/>
      </c>
      <c r="AF163" s="10" t="str">
        <f t="shared" si="56"/>
        <v/>
      </c>
      <c r="AG163"/>
      <c r="AH163" t="str">
        <f t="shared" si="57"/>
        <v/>
      </c>
      <c r="AI163" t="str">
        <f t="shared" si="58"/>
        <v/>
      </c>
      <c r="AK163" cm="1">
        <f t="array" ref="AK163">IFERROR(IF(INDEX($A:$A,ROW())="","",INDEX($A:$A,ROW())),"")</f>
        <v>162</v>
      </c>
      <c r="AL163" t="str" cm="1">
        <f t="array" ref="AL163">IFERROR(INDEX(tblTrades[sol_invested],ROW()-1),"")</f>
        <v/>
      </c>
      <c r="AM163" s="6" t="str" cm="1">
        <f t="array" ref="AM163">IFERROR(INDEX(tblAnalysis[P&amp;L SOL],ROW()-1),"")</f>
        <v/>
      </c>
      <c r="AN163" t="str" cm="1">
        <f t="array" ref="AN163">IFERROR(IF(INDEX(tblTrades[sol_invested],ROW()-1)&gt;0.5,INDEX(tblAnalysis[Token],ROW()-1)&amp;" ("&amp;TEXT(INDEX(tblTrades[sol_invested],ROW()-1),"0.0")&amp;" SOL)",""),"")</f>
        <v/>
      </c>
      <c r="AO163" s="7" t="e" cm="1">
        <f t="array" ref="AO163">IF(INDEX(tblTrades[sol_invested],ROW()-1)&gt;0.5,INDEX(tblAnalysis[Cum P&amp;L SOL],ROW()-1),"")</f>
        <v>#REF!</v>
      </c>
      <c r="AP163" s="12" t="str" cm="1">
        <f t="array" ref="AP163">IFERROR(INDEX(tblAnalysis[Entry MC ($)],ROW()-1),"")</f>
        <v/>
      </c>
      <c r="AQ163" s="10" t="str" cm="1">
        <f t="array" ref="AQ163">IFERROR(INDEX(tblAnalysis[P&amp;L %],ROW()-1),"")</f>
        <v/>
      </c>
      <c r="AR163" t="str" cm="1">
        <f t="array" ref="AR163">IFERROR(INDEX(tblAnalysis[Hold Time (s)],ROW()-1),"")</f>
        <v/>
      </c>
      <c r="AS163" s="6" t="str" cm="1">
        <f t="array" ref="AS163">IFERROR(INDEX(tblAnalysis[P&amp;L SOL],ROW()-1),"")</f>
        <v/>
      </c>
      <c r="AT163"/>
      <c r="AY163" s="10"/>
      <c r="AZ163" s="10"/>
      <c r="BA163" s="6"/>
      <c r="BB163"/>
      <c r="BF163" t="str">
        <f t="shared" si="59"/>
        <v/>
      </c>
      <c r="BG163" s="27" t="str">
        <f t="shared" si="60"/>
        <v/>
      </c>
      <c r="BH163" t="str">
        <f t="shared" si="61"/>
        <v/>
      </c>
      <c r="BL163" s="29" t="e">
        <f>IF(ISNUMBER(#REF!),IF(#REF!&gt;0,#REF!,NA()),NA())</f>
        <v>#N/A</v>
      </c>
      <c r="BM163" s="29" t="e">
        <f>IF(ISNUMBER(#REF!),IF(#REF!&lt;=0,#REF!,NA()),NA())</f>
        <v>#N/A</v>
      </c>
    </row>
    <row r="164" spans="1:65" x14ac:dyDescent="0.35">
      <c r="A164">
        <f t="shared" si="46"/>
        <v>163</v>
      </c>
      <c r="B164" t="e" cm="1">
        <f t="array" ref="B164">INDEX(tblTrades[token_name],ROW()-1)</f>
        <v>#REF!</v>
      </c>
      <c r="C164" s="27" t="e" cm="1">
        <f t="array" ref="C164">INDEX(tblTrades[entry_date],ROW()-1)</f>
        <v>#REF!</v>
      </c>
      <c r="D164" s="2" t="e" cm="1">
        <f t="array" ref="D164">INDEX(tblTrades[entry_mc_actual],ROW()-1)</f>
        <v>#REF!</v>
      </c>
      <c r="E164" s="2" t="e" cm="1">
        <f t="array" ref="E164">INDEX(tblTrades[exit_mc_actual],ROW()-1)</f>
        <v>#REF!</v>
      </c>
      <c r="F164" s="3" t="e" cm="1">
        <f t="array" ref="F164">INDEX(tblTrades[time_in_trade_seconds],ROW()-1)</f>
        <v>#REF!</v>
      </c>
      <c r="G164" s="4" t="str" cm="1">
        <f t="array" ref="G164">IFERROR(INDEX(tblTrades[pnl_percentage],ROW()-1)*1,"")</f>
        <v/>
      </c>
      <c r="H164" s="5" t="str" cm="1">
        <f t="array" ref="H164">IFERROR(INDEX(tblTrades[pnl_sol],ROW()-1)*1,"")</f>
        <v/>
      </c>
      <c r="I164" t="str">
        <f t="shared" si="47"/>
        <v/>
      </c>
      <c r="J164" t="str">
        <f t="shared" si="48"/>
        <v/>
      </c>
      <c r="K164" t="str">
        <f t="shared" si="49"/>
        <v/>
      </c>
      <c r="L164" s="20" t="str" cm="1">
        <f t="array" ref="L164">IFERROR(INDEX(tblTrades[sol_invested],ROW()-1),"")</f>
        <v/>
      </c>
      <c r="M164" s="1">
        <f>COUNTIFS(tblAnalysis[Token],tblAnalysis[[#This Row],[Token]])</f>
        <v>0</v>
      </c>
      <c r="N164" s="1">
        <f>COUNTIFS($B$2:B164,tblAnalysis[[#This Row],[Token]])</f>
        <v>0</v>
      </c>
      <c r="O164" s="5">
        <f>IFERROR(SUM($H$2:H164),"")</f>
        <v>0.40399999999999997</v>
      </c>
      <c r="P164" s="6"/>
      <c r="Q164" s="27"/>
      <c r="R164" s="6" t="str">
        <f>IF(Q164="","",SUMIFS(tblAnalysis[P&amp;L SOL],tblAnalysis[Date],Q164))</f>
        <v/>
      </c>
      <c r="S164" s="10" t="str">
        <f>IF(Q164="","",SUMIFS(tblAnalysis[P&amp;L %],tblAnalysis[Date],Q164))</f>
        <v/>
      </c>
      <c r="T164" s="6" t="str">
        <f>IF(Q164="","",IFERROR(SUM($R$2:R164),""))</f>
        <v/>
      </c>
      <c r="U164" t="str">
        <f>IF(Q164="","",COUNTIFS(tblAnalysis[Date],Q164))</f>
        <v/>
      </c>
      <c r="W164" s="27" t="str">
        <f t="shared" si="50"/>
        <v/>
      </c>
      <c r="X164" s="6" t="str">
        <f t="shared" si="51"/>
        <v/>
      </c>
      <c r="Y164" s="6" t="str">
        <f>IF(Q164="","",MAX(X164,_xlfn.MAXIFS(tblAnalysis[Cum P&amp;L SOL],tblAnalysis[Date],Q164)))</f>
        <v/>
      </c>
      <c r="Z164" s="6" t="str">
        <f>IF(Q164="","",MIN(X164,_xlfn.MINIFS(tblAnalysis[Cum P&amp;L SOL],tblAnalysis[Date],Q164)))</f>
        <v/>
      </c>
      <c r="AA164" s="6" t="str">
        <f t="shared" si="52"/>
        <v/>
      </c>
      <c r="AB164"/>
      <c r="AC164" s="27" t="str">
        <f t="shared" si="53"/>
        <v/>
      </c>
      <c r="AD164" s="10" t="str">
        <f t="shared" si="54"/>
        <v/>
      </c>
      <c r="AE164" s="10" t="str">
        <f t="shared" si="55"/>
        <v/>
      </c>
      <c r="AF164" s="10" t="str">
        <f t="shared" si="56"/>
        <v/>
      </c>
      <c r="AG164"/>
      <c r="AH164" t="str">
        <f t="shared" si="57"/>
        <v/>
      </c>
      <c r="AI164" t="str">
        <f t="shared" si="58"/>
        <v/>
      </c>
      <c r="AK164" cm="1">
        <f t="array" ref="AK164">IFERROR(IF(INDEX($A:$A,ROW())="","",INDEX($A:$A,ROW())),"")</f>
        <v>163</v>
      </c>
      <c r="AL164" t="str" cm="1">
        <f t="array" ref="AL164">IFERROR(INDEX(tblTrades[sol_invested],ROW()-1),"")</f>
        <v/>
      </c>
      <c r="AM164" s="6" t="str" cm="1">
        <f t="array" ref="AM164">IFERROR(INDEX(tblAnalysis[P&amp;L SOL],ROW()-1),"")</f>
        <v/>
      </c>
      <c r="AN164" t="str" cm="1">
        <f t="array" ref="AN164">IFERROR(IF(INDEX(tblTrades[sol_invested],ROW()-1)&gt;0.5,INDEX(tblAnalysis[Token],ROW()-1)&amp;" ("&amp;TEXT(INDEX(tblTrades[sol_invested],ROW()-1),"0.0")&amp;" SOL)",""),"")</f>
        <v/>
      </c>
      <c r="AO164" s="7" t="e" cm="1">
        <f t="array" ref="AO164">IF(INDEX(tblTrades[sol_invested],ROW()-1)&gt;0.5,INDEX(tblAnalysis[Cum P&amp;L SOL],ROW()-1),"")</f>
        <v>#REF!</v>
      </c>
      <c r="AP164" s="12" t="str" cm="1">
        <f t="array" ref="AP164">IFERROR(INDEX(tblAnalysis[Entry MC ($)],ROW()-1),"")</f>
        <v/>
      </c>
      <c r="AQ164" s="10" t="str" cm="1">
        <f t="array" ref="AQ164">IFERROR(INDEX(tblAnalysis[P&amp;L %],ROW()-1),"")</f>
        <v/>
      </c>
      <c r="AR164" t="str" cm="1">
        <f t="array" ref="AR164">IFERROR(INDEX(tblAnalysis[Hold Time (s)],ROW()-1),"")</f>
        <v/>
      </c>
      <c r="AS164" s="6" t="str" cm="1">
        <f t="array" ref="AS164">IFERROR(INDEX(tblAnalysis[P&amp;L SOL],ROW()-1),"")</f>
        <v/>
      </c>
      <c r="AT164"/>
      <c r="AY164" s="10"/>
      <c r="AZ164" s="10"/>
      <c r="BA164" s="6"/>
      <c r="BB164"/>
      <c r="BF164" t="str">
        <f t="shared" si="59"/>
        <v/>
      </c>
      <c r="BG164" s="27" t="str">
        <f t="shared" si="60"/>
        <v/>
      </c>
      <c r="BH164" t="str">
        <f t="shared" si="61"/>
        <v/>
      </c>
      <c r="BL164" s="29" t="e">
        <f>IF(ISNUMBER(#REF!),IF(#REF!&gt;0,#REF!,NA()),NA())</f>
        <v>#N/A</v>
      </c>
      <c r="BM164" s="29" t="e">
        <f>IF(ISNUMBER(#REF!),IF(#REF!&lt;=0,#REF!,NA()),NA())</f>
        <v>#N/A</v>
      </c>
    </row>
    <row r="165" spans="1:65" x14ac:dyDescent="0.35">
      <c r="A165">
        <f t="shared" si="46"/>
        <v>164</v>
      </c>
      <c r="B165" t="e" cm="1">
        <f t="array" ref="B165">INDEX(tblTrades[token_name],ROW()-1)</f>
        <v>#REF!</v>
      </c>
      <c r="C165" s="27" t="e" cm="1">
        <f t="array" ref="C165">INDEX(tblTrades[entry_date],ROW()-1)</f>
        <v>#REF!</v>
      </c>
      <c r="D165" s="2" t="e" cm="1">
        <f t="array" ref="D165">INDEX(tblTrades[entry_mc_actual],ROW()-1)</f>
        <v>#REF!</v>
      </c>
      <c r="E165" s="2" t="e" cm="1">
        <f t="array" ref="E165">INDEX(tblTrades[exit_mc_actual],ROW()-1)</f>
        <v>#REF!</v>
      </c>
      <c r="F165" s="3" t="e" cm="1">
        <f t="array" ref="F165">INDEX(tblTrades[time_in_trade_seconds],ROW()-1)</f>
        <v>#REF!</v>
      </c>
      <c r="G165" s="4" t="str" cm="1">
        <f t="array" ref="G165">IFERROR(INDEX(tblTrades[pnl_percentage],ROW()-1)*1,"")</f>
        <v/>
      </c>
      <c r="H165" s="5" t="str" cm="1">
        <f t="array" ref="H165">IFERROR(INDEX(tblTrades[pnl_sol],ROW()-1)*1,"")</f>
        <v/>
      </c>
      <c r="I165" t="str">
        <f t="shared" si="47"/>
        <v/>
      </c>
      <c r="J165" t="str">
        <f t="shared" si="48"/>
        <v/>
      </c>
      <c r="K165" t="str">
        <f t="shared" si="49"/>
        <v/>
      </c>
      <c r="L165" s="20" t="str" cm="1">
        <f t="array" ref="L165">IFERROR(INDEX(tblTrades[sol_invested],ROW()-1),"")</f>
        <v/>
      </c>
      <c r="M165" s="1">
        <f>COUNTIFS(tblAnalysis[Token],tblAnalysis[[#This Row],[Token]])</f>
        <v>0</v>
      </c>
      <c r="N165" s="1">
        <f>COUNTIFS($B$2:B165,tblAnalysis[[#This Row],[Token]])</f>
        <v>0</v>
      </c>
      <c r="O165" s="5">
        <f>IFERROR(SUM($H$2:H165),"")</f>
        <v>0.40399999999999997</v>
      </c>
      <c r="P165" s="6"/>
      <c r="Q165" s="27"/>
      <c r="R165" s="6" t="str">
        <f>IF(Q165="","",SUMIFS(tblAnalysis[P&amp;L SOL],tblAnalysis[Date],Q165))</f>
        <v/>
      </c>
      <c r="S165" s="10" t="str">
        <f>IF(Q165="","",SUMIFS(tblAnalysis[P&amp;L %],tblAnalysis[Date],Q165))</f>
        <v/>
      </c>
      <c r="T165" s="6" t="str">
        <f>IF(Q165="","",IFERROR(SUM($R$2:R165),""))</f>
        <v/>
      </c>
      <c r="U165" t="str">
        <f>IF(Q165="","",COUNTIFS(tblAnalysis[Date],Q165))</f>
        <v/>
      </c>
      <c r="W165" s="27" t="str">
        <f t="shared" si="50"/>
        <v/>
      </c>
      <c r="X165" s="6" t="str">
        <f t="shared" si="51"/>
        <v/>
      </c>
      <c r="Y165" s="6" t="str">
        <f>IF(Q165="","",MAX(X165,_xlfn.MAXIFS(tblAnalysis[Cum P&amp;L SOL],tblAnalysis[Date],Q165)))</f>
        <v/>
      </c>
      <c r="Z165" s="6" t="str">
        <f>IF(Q165="","",MIN(X165,_xlfn.MINIFS(tblAnalysis[Cum P&amp;L SOL],tblAnalysis[Date],Q165)))</f>
        <v/>
      </c>
      <c r="AA165" s="6" t="str">
        <f t="shared" si="52"/>
        <v/>
      </c>
      <c r="AB165"/>
      <c r="AC165" s="27" t="str">
        <f t="shared" si="53"/>
        <v/>
      </c>
      <c r="AD165" s="10" t="str">
        <f t="shared" si="54"/>
        <v/>
      </c>
      <c r="AE165" s="10" t="str">
        <f t="shared" si="55"/>
        <v/>
      </c>
      <c r="AF165" s="10" t="str">
        <f t="shared" si="56"/>
        <v/>
      </c>
      <c r="AG165"/>
      <c r="AH165" t="str">
        <f t="shared" si="57"/>
        <v/>
      </c>
      <c r="AI165" t="str">
        <f t="shared" si="58"/>
        <v/>
      </c>
      <c r="AK165" cm="1">
        <f t="array" ref="AK165">IFERROR(IF(INDEX($A:$A,ROW())="","",INDEX($A:$A,ROW())),"")</f>
        <v>164</v>
      </c>
      <c r="AL165" t="str" cm="1">
        <f t="array" ref="AL165">IFERROR(INDEX(tblTrades[sol_invested],ROW()-1),"")</f>
        <v/>
      </c>
      <c r="AM165" s="6" t="str" cm="1">
        <f t="array" ref="AM165">IFERROR(INDEX(tblAnalysis[P&amp;L SOL],ROW()-1),"")</f>
        <v/>
      </c>
      <c r="AN165" t="str" cm="1">
        <f t="array" ref="AN165">IFERROR(IF(INDEX(tblTrades[sol_invested],ROW()-1)&gt;0.5,INDEX(tblAnalysis[Token],ROW()-1)&amp;" ("&amp;TEXT(INDEX(tblTrades[sol_invested],ROW()-1),"0.0")&amp;" SOL)",""),"")</f>
        <v/>
      </c>
      <c r="AO165" s="7" t="e" cm="1">
        <f t="array" ref="AO165">IF(INDEX(tblTrades[sol_invested],ROW()-1)&gt;0.5,INDEX(tblAnalysis[Cum P&amp;L SOL],ROW()-1),"")</f>
        <v>#REF!</v>
      </c>
      <c r="AP165" s="12" t="str" cm="1">
        <f t="array" ref="AP165">IFERROR(INDEX(tblAnalysis[Entry MC ($)],ROW()-1),"")</f>
        <v/>
      </c>
      <c r="AQ165" s="10" t="str" cm="1">
        <f t="array" ref="AQ165">IFERROR(INDEX(tblAnalysis[P&amp;L %],ROW()-1),"")</f>
        <v/>
      </c>
      <c r="AR165" t="str" cm="1">
        <f t="array" ref="AR165">IFERROR(INDEX(tblAnalysis[Hold Time (s)],ROW()-1),"")</f>
        <v/>
      </c>
      <c r="AS165" s="6" t="str" cm="1">
        <f t="array" ref="AS165">IFERROR(INDEX(tblAnalysis[P&amp;L SOL],ROW()-1),"")</f>
        <v/>
      </c>
      <c r="AT165"/>
      <c r="AY165" s="10"/>
      <c r="AZ165" s="10"/>
      <c r="BA165" s="6"/>
      <c r="BB165"/>
      <c r="BF165" t="str">
        <f t="shared" si="59"/>
        <v/>
      </c>
      <c r="BG165" s="27" t="str">
        <f t="shared" si="60"/>
        <v/>
      </c>
      <c r="BH165" t="str">
        <f t="shared" si="61"/>
        <v/>
      </c>
      <c r="BL165" s="29" t="e">
        <f>IF(ISNUMBER(#REF!),IF(#REF!&gt;0,#REF!,NA()),NA())</f>
        <v>#N/A</v>
      </c>
      <c r="BM165" s="29" t="e">
        <f>IF(ISNUMBER(#REF!),IF(#REF!&lt;=0,#REF!,NA()),NA())</f>
        <v>#N/A</v>
      </c>
    </row>
    <row r="166" spans="1:65" x14ac:dyDescent="0.35">
      <c r="A166">
        <f t="shared" si="46"/>
        <v>165</v>
      </c>
      <c r="B166" t="e" cm="1">
        <f t="array" ref="B166">INDEX(tblTrades[token_name],ROW()-1)</f>
        <v>#REF!</v>
      </c>
      <c r="C166" s="27" t="e" cm="1">
        <f t="array" ref="C166">INDEX(tblTrades[entry_date],ROW()-1)</f>
        <v>#REF!</v>
      </c>
      <c r="D166" s="2" t="e" cm="1">
        <f t="array" ref="D166">INDEX(tblTrades[entry_mc_actual],ROW()-1)</f>
        <v>#REF!</v>
      </c>
      <c r="E166" s="2" t="e" cm="1">
        <f t="array" ref="E166">INDEX(tblTrades[exit_mc_actual],ROW()-1)</f>
        <v>#REF!</v>
      </c>
      <c r="F166" s="3" t="e" cm="1">
        <f t="array" ref="F166">INDEX(tblTrades[time_in_trade_seconds],ROW()-1)</f>
        <v>#REF!</v>
      </c>
      <c r="G166" s="4" t="str" cm="1">
        <f t="array" ref="G166">IFERROR(INDEX(tblTrades[pnl_percentage],ROW()-1)*1,"")</f>
        <v/>
      </c>
      <c r="H166" s="5" t="str" cm="1">
        <f t="array" ref="H166">IFERROR(INDEX(tblTrades[pnl_sol],ROW()-1)*1,"")</f>
        <v/>
      </c>
      <c r="I166" t="str">
        <f t="shared" si="47"/>
        <v/>
      </c>
      <c r="J166" t="str">
        <f t="shared" si="48"/>
        <v/>
      </c>
      <c r="K166" t="str">
        <f t="shared" si="49"/>
        <v/>
      </c>
      <c r="L166" s="20" t="str" cm="1">
        <f t="array" ref="L166">IFERROR(INDEX(tblTrades[sol_invested],ROW()-1),"")</f>
        <v/>
      </c>
      <c r="M166" s="1">
        <f>COUNTIFS(tblAnalysis[Token],tblAnalysis[[#This Row],[Token]])</f>
        <v>0</v>
      </c>
      <c r="N166" s="1">
        <f>COUNTIFS($B$2:B166,tblAnalysis[[#This Row],[Token]])</f>
        <v>0</v>
      </c>
      <c r="O166" s="5">
        <f>IFERROR(SUM($H$2:H166),"")</f>
        <v>0.40399999999999997</v>
      </c>
      <c r="P166" s="6"/>
      <c r="Q166" s="27"/>
      <c r="R166" s="6" t="str">
        <f>IF(Q166="","",SUMIFS(tblAnalysis[P&amp;L SOL],tblAnalysis[Date],Q166))</f>
        <v/>
      </c>
      <c r="S166" s="10" t="str">
        <f>IF(Q166="","",SUMIFS(tblAnalysis[P&amp;L %],tblAnalysis[Date],Q166))</f>
        <v/>
      </c>
      <c r="T166" s="6" t="str">
        <f>IF(Q166="","",IFERROR(SUM($R$2:R166),""))</f>
        <v/>
      </c>
      <c r="U166" t="str">
        <f>IF(Q166="","",COUNTIFS(tblAnalysis[Date],Q166))</f>
        <v/>
      </c>
      <c r="W166" s="27" t="str">
        <f t="shared" si="50"/>
        <v/>
      </c>
      <c r="X166" s="6" t="str">
        <f t="shared" si="51"/>
        <v/>
      </c>
      <c r="Y166" s="6" t="str">
        <f>IF(Q166="","",MAX(X166,_xlfn.MAXIFS(tblAnalysis[Cum P&amp;L SOL],tblAnalysis[Date],Q166)))</f>
        <v/>
      </c>
      <c r="Z166" s="6" t="str">
        <f>IF(Q166="","",MIN(X166,_xlfn.MINIFS(tblAnalysis[Cum P&amp;L SOL],tblAnalysis[Date],Q166)))</f>
        <v/>
      </c>
      <c r="AA166" s="6" t="str">
        <f t="shared" si="52"/>
        <v/>
      </c>
      <c r="AB166"/>
      <c r="AC166" s="27" t="str">
        <f t="shared" si="53"/>
        <v/>
      </c>
      <c r="AD166" s="10" t="str">
        <f t="shared" si="54"/>
        <v/>
      </c>
      <c r="AE166" s="10" t="str">
        <f t="shared" si="55"/>
        <v/>
      </c>
      <c r="AF166" s="10" t="str">
        <f t="shared" si="56"/>
        <v/>
      </c>
      <c r="AG166"/>
      <c r="AH166" t="str">
        <f t="shared" si="57"/>
        <v/>
      </c>
      <c r="AI166" t="str">
        <f t="shared" si="58"/>
        <v/>
      </c>
      <c r="AK166" cm="1">
        <f t="array" ref="AK166">IFERROR(IF(INDEX($A:$A,ROW())="","",INDEX($A:$A,ROW())),"")</f>
        <v>165</v>
      </c>
      <c r="AL166" t="str" cm="1">
        <f t="array" ref="AL166">IFERROR(INDEX(tblTrades[sol_invested],ROW()-1),"")</f>
        <v/>
      </c>
      <c r="AM166" s="6" t="str" cm="1">
        <f t="array" ref="AM166">IFERROR(INDEX(tblAnalysis[P&amp;L SOL],ROW()-1),"")</f>
        <v/>
      </c>
      <c r="AN166" t="str" cm="1">
        <f t="array" ref="AN166">IFERROR(IF(INDEX(tblTrades[sol_invested],ROW()-1)&gt;0.5,INDEX(tblAnalysis[Token],ROW()-1)&amp;" ("&amp;TEXT(INDEX(tblTrades[sol_invested],ROW()-1),"0.0")&amp;" SOL)",""),"")</f>
        <v/>
      </c>
      <c r="AO166" s="7" t="e" cm="1">
        <f t="array" ref="AO166">IF(INDEX(tblTrades[sol_invested],ROW()-1)&gt;0.5,INDEX(tblAnalysis[Cum P&amp;L SOL],ROW()-1),"")</f>
        <v>#REF!</v>
      </c>
      <c r="AP166" s="12" t="str" cm="1">
        <f t="array" ref="AP166">IFERROR(INDEX(tblAnalysis[Entry MC ($)],ROW()-1),"")</f>
        <v/>
      </c>
      <c r="AQ166" s="10" t="str" cm="1">
        <f t="array" ref="AQ166">IFERROR(INDEX(tblAnalysis[P&amp;L %],ROW()-1),"")</f>
        <v/>
      </c>
      <c r="AR166" t="str" cm="1">
        <f t="array" ref="AR166">IFERROR(INDEX(tblAnalysis[Hold Time (s)],ROW()-1),"")</f>
        <v/>
      </c>
      <c r="AS166" s="6" t="str" cm="1">
        <f t="array" ref="AS166">IFERROR(INDEX(tblAnalysis[P&amp;L SOL],ROW()-1),"")</f>
        <v/>
      </c>
      <c r="AT166"/>
      <c r="AY166" s="10"/>
      <c r="AZ166" s="10"/>
      <c r="BA166" s="6"/>
      <c r="BB166"/>
      <c r="BF166" t="str">
        <f t="shared" si="59"/>
        <v/>
      </c>
      <c r="BG166" s="27" t="str">
        <f t="shared" si="60"/>
        <v/>
      </c>
      <c r="BH166" t="str">
        <f t="shared" si="61"/>
        <v/>
      </c>
      <c r="BL166" s="29" t="e">
        <f>IF(ISNUMBER(#REF!),IF(#REF!&gt;0,#REF!,NA()),NA())</f>
        <v>#N/A</v>
      </c>
      <c r="BM166" s="29" t="e">
        <f>IF(ISNUMBER(#REF!),IF(#REF!&lt;=0,#REF!,NA()),NA())</f>
        <v>#N/A</v>
      </c>
    </row>
    <row r="167" spans="1:65" x14ac:dyDescent="0.35">
      <c r="A167">
        <f t="shared" si="46"/>
        <v>166</v>
      </c>
      <c r="B167" t="e" cm="1">
        <f t="array" ref="B167">INDEX(tblTrades[token_name],ROW()-1)</f>
        <v>#REF!</v>
      </c>
      <c r="C167" s="27" t="e" cm="1">
        <f t="array" ref="C167">INDEX(tblTrades[entry_date],ROW()-1)</f>
        <v>#REF!</v>
      </c>
      <c r="D167" s="2" t="e" cm="1">
        <f t="array" ref="D167">INDEX(tblTrades[entry_mc_actual],ROW()-1)</f>
        <v>#REF!</v>
      </c>
      <c r="E167" s="2" t="e" cm="1">
        <f t="array" ref="E167">INDEX(tblTrades[exit_mc_actual],ROW()-1)</f>
        <v>#REF!</v>
      </c>
      <c r="F167" s="3" t="e" cm="1">
        <f t="array" ref="F167">INDEX(tblTrades[time_in_trade_seconds],ROW()-1)</f>
        <v>#REF!</v>
      </c>
      <c r="G167" s="4" t="str" cm="1">
        <f t="array" ref="G167">IFERROR(INDEX(tblTrades[pnl_percentage],ROW()-1)*1,"")</f>
        <v/>
      </c>
      <c r="H167" s="5" t="str" cm="1">
        <f t="array" ref="H167">IFERROR(INDEX(tblTrades[pnl_sol],ROW()-1)*1,"")</f>
        <v/>
      </c>
      <c r="I167" t="str">
        <f t="shared" si="47"/>
        <v/>
      </c>
      <c r="J167" t="str">
        <f t="shared" si="48"/>
        <v/>
      </c>
      <c r="K167" t="str">
        <f t="shared" si="49"/>
        <v/>
      </c>
      <c r="L167" s="20" t="str" cm="1">
        <f t="array" ref="L167">IFERROR(INDEX(tblTrades[sol_invested],ROW()-1),"")</f>
        <v/>
      </c>
      <c r="M167" s="1">
        <f>COUNTIFS(tblAnalysis[Token],tblAnalysis[[#This Row],[Token]])</f>
        <v>0</v>
      </c>
      <c r="N167" s="1">
        <f>COUNTIFS($B$2:B167,tblAnalysis[[#This Row],[Token]])</f>
        <v>0</v>
      </c>
      <c r="O167" s="5">
        <f>IFERROR(SUM($H$2:H167),"")</f>
        <v>0.40399999999999997</v>
      </c>
      <c r="P167" s="6"/>
      <c r="Q167" s="27"/>
      <c r="R167" s="6" t="str">
        <f>IF(Q167="","",SUMIFS(tblAnalysis[P&amp;L SOL],tblAnalysis[Date],Q167))</f>
        <v/>
      </c>
      <c r="S167" s="10" t="str">
        <f>IF(Q167="","",SUMIFS(tblAnalysis[P&amp;L %],tblAnalysis[Date],Q167))</f>
        <v/>
      </c>
      <c r="T167" s="6" t="str">
        <f>IF(Q167="","",IFERROR(SUM($R$2:R167),""))</f>
        <v/>
      </c>
      <c r="U167" t="str">
        <f>IF(Q167="","",COUNTIFS(tblAnalysis[Date],Q167))</f>
        <v/>
      </c>
      <c r="W167" s="27" t="str">
        <f t="shared" si="50"/>
        <v/>
      </c>
      <c r="X167" s="6" t="str">
        <f t="shared" si="51"/>
        <v/>
      </c>
      <c r="Y167" s="6" t="str">
        <f>IF(Q167="","",MAX(X167,_xlfn.MAXIFS(tblAnalysis[Cum P&amp;L SOL],tblAnalysis[Date],Q167)))</f>
        <v/>
      </c>
      <c r="Z167" s="6" t="str">
        <f>IF(Q167="","",MIN(X167,_xlfn.MINIFS(tblAnalysis[Cum P&amp;L SOL],tblAnalysis[Date],Q167)))</f>
        <v/>
      </c>
      <c r="AA167" s="6" t="str">
        <f t="shared" si="52"/>
        <v/>
      </c>
      <c r="AB167"/>
      <c r="AC167" s="27" t="str">
        <f t="shared" si="53"/>
        <v/>
      </c>
      <c r="AD167" s="10" t="str">
        <f t="shared" si="54"/>
        <v/>
      </c>
      <c r="AE167" s="10" t="str">
        <f t="shared" si="55"/>
        <v/>
      </c>
      <c r="AF167" s="10" t="str">
        <f t="shared" si="56"/>
        <v/>
      </c>
      <c r="AG167"/>
      <c r="AH167" t="str">
        <f t="shared" si="57"/>
        <v/>
      </c>
      <c r="AI167" t="str">
        <f t="shared" si="58"/>
        <v/>
      </c>
      <c r="AK167" cm="1">
        <f t="array" ref="AK167">IFERROR(IF(INDEX($A:$A,ROW())="","",INDEX($A:$A,ROW())),"")</f>
        <v>166</v>
      </c>
      <c r="AL167" t="str" cm="1">
        <f t="array" ref="AL167">IFERROR(INDEX(tblTrades[sol_invested],ROW()-1),"")</f>
        <v/>
      </c>
      <c r="AM167" s="6" t="str" cm="1">
        <f t="array" ref="AM167">IFERROR(INDEX(tblAnalysis[P&amp;L SOL],ROW()-1),"")</f>
        <v/>
      </c>
      <c r="AN167" t="str" cm="1">
        <f t="array" ref="AN167">IFERROR(IF(INDEX(tblTrades[sol_invested],ROW()-1)&gt;0.5,INDEX(tblAnalysis[Token],ROW()-1)&amp;" ("&amp;TEXT(INDEX(tblTrades[sol_invested],ROW()-1),"0.0")&amp;" SOL)",""),"")</f>
        <v/>
      </c>
      <c r="AO167" s="7" t="e" cm="1">
        <f t="array" ref="AO167">IF(INDEX(tblTrades[sol_invested],ROW()-1)&gt;0.5,INDEX(tblAnalysis[Cum P&amp;L SOL],ROW()-1),"")</f>
        <v>#REF!</v>
      </c>
      <c r="AP167" s="12" t="str" cm="1">
        <f t="array" ref="AP167">IFERROR(INDEX(tblAnalysis[Entry MC ($)],ROW()-1),"")</f>
        <v/>
      </c>
      <c r="AQ167" s="10" t="str" cm="1">
        <f t="array" ref="AQ167">IFERROR(INDEX(tblAnalysis[P&amp;L %],ROW()-1),"")</f>
        <v/>
      </c>
      <c r="AR167" t="str" cm="1">
        <f t="array" ref="AR167">IFERROR(INDEX(tblAnalysis[Hold Time (s)],ROW()-1),"")</f>
        <v/>
      </c>
      <c r="AS167" s="6" t="str" cm="1">
        <f t="array" ref="AS167">IFERROR(INDEX(tblAnalysis[P&amp;L SOL],ROW()-1),"")</f>
        <v/>
      </c>
      <c r="AT167"/>
      <c r="AY167" s="10"/>
      <c r="AZ167" s="10"/>
      <c r="BA167" s="6"/>
      <c r="BB167"/>
      <c r="BF167" t="str">
        <f t="shared" si="59"/>
        <v/>
      </c>
      <c r="BG167" s="27" t="str">
        <f t="shared" si="60"/>
        <v/>
      </c>
      <c r="BH167" t="str">
        <f t="shared" si="61"/>
        <v/>
      </c>
      <c r="BL167" s="29" t="e">
        <f>IF(ISNUMBER(#REF!),IF(#REF!&gt;0,#REF!,NA()),NA())</f>
        <v>#N/A</v>
      </c>
      <c r="BM167" s="29" t="e">
        <f>IF(ISNUMBER(#REF!),IF(#REF!&lt;=0,#REF!,NA()),NA())</f>
        <v>#N/A</v>
      </c>
    </row>
    <row r="168" spans="1:65" x14ac:dyDescent="0.35">
      <c r="A168">
        <f t="shared" si="46"/>
        <v>167</v>
      </c>
      <c r="B168" t="e" cm="1">
        <f t="array" ref="B168">INDEX(tblTrades[token_name],ROW()-1)</f>
        <v>#REF!</v>
      </c>
      <c r="C168" s="27" t="e" cm="1">
        <f t="array" ref="C168">INDEX(tblTrades[entry_date],ROW()-1)</f>
        <v>#REF!</v>
      </c>
      <c r="D168" s="2" t="e" cm="1">
        <f t="array" ref="D168">INDEX(tblTrades[entry_mc_actual],ROW()-1)</f>
        <v>#REF!</v>
      </c>
      <c r="E168" s="2" t="e" cm="1">
        <f t="array" ref="E168">INDEX(tblTrades[exit_mc_actual],ROW()-1)</f>
        <v>#REF!</v>
      </c>
      <c r="F168" s="3" t="e" cm="1">
        <f t="array" ref="F168">INDEX(tblTrades[time_in_trade_seconds],ROW()-1)</f>
        <v>#REF!</v>
      </c>
      <c r="G168" s="4" t="str" cm="1">
        <f t="array" ref="G168">IFERROR(INDEX(tblTrades[pnl_percentage],ROW()-1)*1,"")</f>
        <v/>
      </c>
      <c r="H168" s="5" t="str" cm="1">
        <f t="array" ref="H168">IFERROR(INDEX(tblTrades[pnl_sol],ROW()-1)*1,"")</f>
        <v/>
      </c>
      <c r="I168" t="str">
        <f t="shared" si="47"/>
        <v/>
      </c>
      <c r="J168" t="str">
        <f t="shared" si="48"/>
        <v/>
      </c>
      <c r="K168" t="str">
        <f t="shared" si="49"/>
        <v/>
      </c>
      <c r="L168" s="20" t="str" cm="1">
        <f t="array" ref="L168">IFERROR(INDEX(tblTrades[sol_invested],ROW()-1),"")</f>
        <v/>
      </c>
      <c r="M168" s="1">
        <f>COUNTIFS(tblAnalysis[Token],tblAnalysis[[#This Row],[Token]])</f>
        <v>0</v>
      </c>
      <c r="N168" s="1">
        <f>COUNTIFS($B$2:B168,tblAnalysis[[#This Row],[Token]])</f>
        <v>0</v>
      </c>
      <c r="O168" s="5">
        <f>IFERROR(SUM($H$2:H168),"")</f>
        <v>0.40399999999999997</v>
      </c>
      <c r="P168" s="6"/>
      <c r="Q168" s="27"/>
      <c r="R168" s="6" t="str">
        <f>IF(Q168="","",SUMIFS(tblAnalysis[P&amp;L SOL],tblAnalysis[Date],Q168))</f>
        <v/>
      </c>
      <c r="S168" s="10" t="str">
        <f>IF(Q168="","",SUMIFS(tblAnalysis[P&amp;L %],tblAnalysis[Date],Q168))</f>
        <v/>
      </c>
      <c r="T168" s="6" t="str">
        <f>IF(Q168="","",IFERROR(SUM($R$2:R168),""))</f>
        <v/>
      </c>
      <c r="U168" t="str">
        <f>IF(Q168="","",COUNTIFS(tblAnalysis[Date],Q168))</f>
        <v/>
      </c>
      <c r="W168" s="27" t="str">
        <f t="shared" si="50"/>
        <v/>
      </c>
      <c r="X168" s="6" t="str">
        <f t="shared" si="51"/>
        <v/>
      </c>
      <c r="Y168" s="6" t="str">
        <f>IF(Q168="","",MAX(X168,_xlfn.MAXIFS(tblAnalysis[Cum P&amp;L SOL],tblAnalysis[Date],Q168)))</f>
        <v/>
      </c>
      <c r="Z168" s="6" t="str">
        <f>IF(Q168="","",MIN(X168,_xlfn.MINIFS(tblAnalysis[Cum P&amp;L SOL],tblAnalysis[Date],Q168)))</f>
        <v/>
      </c>
      <c r="AA168" s="6" t="str">
        <f t="shared" si="52"/>
        <v/>
      </c>
      <c r="AB168"/>
      <c r="AC168" s="27" t="str">
        <f t="shared" si="53"/>
        <v/>
      </c>
      <c r="AD168" s="10" t="str">
        <f t="shared" si="54"/>
        <v/>
      </c>
      <c r="AE168" s="10" t="str">
        <f t="shared" si="55"/>
        <v/>
      </c>
      <c r="AF168" s="10" t="str">
        <f t="shared" si="56"/>
        <v/>
      </c>
      <c r="AG168"/>
      <c r="AH168" t="str">
        <f t="shared" si="57"/>
        <v/>
      </c>
      <c r="AI168" t="str">
        <f t="shared" si="58"/>
        <v/>
      </c>
      <c r="AK168" cm="1">
        <f t="array" ref="AK168">IFERROR(IF(INDEX($A:$A,ROW())="","",INDEX($A:$A,ROW())),"")</f>
        <v>167</v>
      </c>
      <c r="AL168" t="str" cm="1">
        <f t="array" ref="AL168">IFERROR(INDEX(tblTrades[sol_invested],ROW()-1),"")</f>
        <v/>
      </c>
      <c r="AM168" s="6" t="str" cm="1">
        <f t="array" ref="AM168">IFERROR(INDEX(tblAnalysis[P&amp;L SOL],ROW()-1),"")</f>
        <v/>
      </c>
      <c r="AN168" t="str" cm="1">
        <f t="array" ref="AN168">IFERROR(IF(INDEX(tblTrades[sol_invested],ROW()-1)&gt;0.5,INDEX(tblAnalysis[Token],ROW()-1)&amp;" ("&amp;TEXT(INDEX(tblTrades[sol_invested],ROW()-1),"0.0")&amp;" SOL)",""),"")</f>
        <v/>
      </c>
      <c r="AO168" s="7" t="e" cm="1">
        <f t="array" ref="AO168">IF(INDEX(tblTrades[sol_invested],ROW()-1)&gt;0.5,INDEX(tblAnalysis[Cum P&amp;L SOL],ROW()-1),"")</f>
        <v>#REF!</v>
      </c>
      <c r="AP168" s="12" t="str" cm="1">
        <f t="array" ref="AP168">IFERROR(INDEX(tblAnalysis[Entry MC ($)],ROW()-1),"")</f>
        <v/>
      </c>
      <c r="AQ168" s="10" t="str" cm="1">
        <f t="array" ref="AQ168">IFERROR(INDEX(tblAnalysis[P&amp;L %],ROW()-1),"")</f>
        <v/>
      </c>
      <c r="AR168" t="str" cm="1">
        <f t="array" ref="AR168">IFERROR(INDEX(tblAnalysis[Hold Time (s)],ROW()-1),"")</f>
        <v/>
      </c>
      <c r="AS168" s="6" t="str" cm="1">
        <f t="array" ref="AS168">IFERROR(INDEX(tblAnalysis[P&amp;L SOL],ROW()-1),"")</f>
        <v/>
      </c>
      <c r="AT168"/>
      <c r="AY168" s="10"/>
      <c r="AZ168" s="10"/>
      <c r="BA168" s="6"/>
      <c r="BB168"/>
      <c r="BF168" t="str">
        <f t="shared" si="59"/>
        <v/>
      </c>
      <c r="BG168" s="27" t="str">
        <f t="shared" si="60"/>
        <v/>
      </c>
      <c r="BH168" t="str">
        <f t="shared" si="61"/>
        <v/>
      </c>
      <c r="BL168" s="29" t="e">
        <f t="shared" ref="BL168:BL231" si="64">IF(ISNUMBER(G158),IF(G158&gt;0,G158,NA()),NA())</f>
        <v>#N/A</v>
      </c>
      <c r="BM168" s="29" t="e">
        <f t="shared" ref="BM168:BM231" si="65">IF(ISNUMBER(G158),IF(G158&lt;=0,G158,NA()),NA())</f>
        <v>#N/A</v>
      </c>
    </row>
    <row r="169" spans="1:65" x14ac:dyDescent="0.35">
      <c r="A169">
        <f t="shared" si="46"/>
        <v>168</v>
      </c>
      <c r="B169" t="e" cm="1">
        <f t="array" ref="B169">INDEX(tblTrades[token_name],ROW()-1)</f>
        <v>#REF!</v>
      </c>
      <c r="C169" s="27" t="e" cm="1">
        <f t="array" ref="C169">INDEX(tblTrades[entry_date],ROW()-1)</f>
        <v>#REF!</v>
      </c>
      <c r="D169" s="2" t="e" cm="1">
        <f t="array" ref="D169">INDEX(tblTrades[entry_mc_actual],ROW()-1)</f>
        <v>#REF!</v>
      </c>
      <c r="E169" s="2" t="e" cm="1">
        <f t="array" ref="E169">INDEX(tblTrades[exit_mc_actual],ROW()-1)</f>
        <v>#REF!</v>
      </c>
      <c r="F169" s="3" t="e" cm="1">
        <f t="array" ref="F169">INDEX(tblTrades[time_in_trade_seconds],ROW()-1)</f>
        <v>#REF!</v>
      </c>
      <c r="G169" s="4" t="str" cm="1">
        <f t="array" ref="G169">IFERROR(INDEX(tblTrades[pnl_percentage],ROW()-1)*1,"")</f>
        <v/>
      </c>
      <c r="H169" s="5" t="str" cm="1">
        <f t="array" ref="H169">IFERROR(INDEX(tblTrades[pnl_sol],ROW()-1)*1,"")</f>
        <v/>
      </c>
      <c r="I169" t="str">
        <f t="shared" si="47"/>
        <v/>
      </c>
      <c r="J169" t="str">
        <f t="shared" si="48"/>
        <v/>
      </c>
      <c r="K169" t="str">
        <f t="shared" si="49"/>
        <v/>
      </c>
      <c r="L169" s="20" t="str" cm="1">
        <f t="array" ref="L169">IFERROR(INDEX(tblTrades[sol_invested],ROW()-1),"")</f>
        <v/>
      </c>
      <c r="M169" s="1">
        <f>COUNTIFS(tblAnalysis[Token],tblAnalysis[[#This Row],[Token]])</f>
        <v>0</v>
      </c>
      <c r="N169" s="1">
        <f>COUNTIFS($B$2:B169,tblAnalysis[[#This Row],[Token]])</f>
        <v>0</v>
      </c>
      <c r="O169" s="5">
        <f>IFERROR(SUM($H$2:H169),"")</f>
        <v>0.40399999999999997</v>
      </c>
      <c r="P169" s="6"/>
      <c r="Q169" s="27"/>
      <c r="R169" s="6" t="str">
        <f>IF(Q169="","",SUMIFS(tblAnalysis[P&amp;L SOL],tblAnalysis[Date],Q169))</f>
        <v/>
      </c>
      <c r="S169" s="10" t="str">
        <f>IF(Q169="","",SUMIFS(tblAnalysis[P&amp;L %],tblAnalysis[Date],Q169))</f>
        <v/>
      </c>
      <c r="T169" s="6" t="str">
        <f>IF(Q169="","",IFERROR(SUM($R$2:R169),""))</f>
        <v/>
      </c>
      <c r="U169" t="str">
        <f>IF(Q169="","",COUNTIFS(tblAnalysis[Date],Q169))</f>
        <v/>
      </c>
      <c r="W169" s="27" t="str">
        <f t="shared" si="50"/>
        <v/>
      </c>
      <c r="X169" s="6" t="str">
        <f t="shared" si="51"/>
        <v/>
      </c>
      <c r="Y169" s="6" t="str">
        <f>IF(Q169="","",MAX(X169,_xlfn.MAXIFS(tblAnalysis[Cum P&amp;L SOL],tblAnalysis[Date],Q169)))</f>
        <v/>
      </c>
      <c r="Z169" s="6" t="str">
        <f>IF(Q169="","",MIN(X169,_xlfn.MINIFS(tblAnalysis[Cum P&amp;L SOL],tblAnalysis[Date],Q169)))</f>
        <v/>
      </c>
      <c r="AA169" s="6" t="str">
        <f t="shared" si="52"/>
        <v/>
      </c>
      <c r="AB169"/>
      <c r="AC169" s="27" t="str">
        <f t="shared" si="53"/>
        <v/>
      </c>
      <c r="AD169" s="10" t="str">
        <f t="shared" si="54"/>
        <v/>
      </c>
      <c r="AE169" s="10" t="str">
        <f t="shared" si="55"/>
        <v/>
      </c>
      <c r="AF169" s="10" t="str">
        <f t="shared" si="56"/>
        <v/>
      </c>
      <c r="AG169"/>
      <c r="AH169" t="str">
        <f t="shared" si="57"/>
        <v/>
      </c>
      <c r="AI169" t="str">
        <f t="shared" si="58"/>
        <v/>
      </c>
      <c r="AK169" cm="1">
        <f t="array" ref="AK169">IFERROR(IF(INDEX($A:$A,ROW())="","",INDEX($A:$A,ROW())),"")</f>
        <v>168</v>
      </c>
      <c r="AL169" t="str" cm="1">
        <f t="array" ref="AL169">IFERROR(INDEX(tblTrades[sol_invested],ROW()-1),"")</f>
        <v/>
      </c>
      <c r="AM169" s="6" t="str" cm="1">
        <f t="array" ref="AM169">IFERROR(INDEX(tblAnalysis[P&amp;L SOL],ROW()-1),"")</f>
        <v/>
      </c>
      <c r="AN169" t="str" cm="1">
        <f t="array" ref="AN169">IFERROR(IF(INDEX(tblTrades[sol_invested],ROW()-1)&gt;0.5,INDEX(tblAnalysis[Token],ROW()-1)&amp;" ("&amp;TEXT(INDEX(tblTrades[sol_invested],ROW()-1),"0.0")&amp;" SOL)",""),"")</f>
        <v/>
      </c>
      <c r="AO169" s="7" t="e" cm="1">
        <f t="array" ref="AO169">IF(INDEX(tblTrades[sol_invested],ROW()-1)&gt;0.5,INDEX(tblAnalysis[Cum P&amp;L SOL],ROW()-1),"")</f>
        <v>#REF!</v>
      </c>
      <c r="AP169" s="12" t="str" cm="1">
        <f t="array" ref="AP169">IFERROR(INDEX(tblAnalysis[Entry MC ($)],ROW()-1),"")</f>
        <v/>
      </c>
      <c r="AQ169" s="10" t="str" cm="1">
        <f t="array" ref="AQ169">IFERROR(INDEX(tblAnalysis[P&amp;L %],ROW()-1),"")</f>
        <v/>
      </c>
      <c r="AR169" t="str" cm="1">
        <f t="array" ref="AR169">IFERROR(INDEX(tblAnalysis[Hold Time (s)],ROW()-1),"")</f>
        <v/>
      </c>
      <c r="AS169" s="6" t="str" cm="1">
        <f t="array" ref="AS169">IFERROR(INDEX(tblAnalysis[P&amp;L SOL],ROW()-1),"")</f>
        <v/>
      </c>
      <c r="AT169"/>
      <c r="AY169" s="10"/>
      <c r="AZ169" s="10"/>
      <c r="BA169" s="6"/>
      <c r="BB169"/>
      <c r="BF169" t="str">
        <f t="shared" si="59"/>
        <v/>
      </c>
      <c r="BG169" s="27" t="str">
        <f t="shared" si="60"/>
        <v/>
      </c>
      <c r="BH169" t="str">
        <f t="shared" si="61"/>
        <v/>
      </c>
      <c r="BL169" s="29" t="e">
        <f t="shared" si="64"/>
        <v>#N/A</v>
      </c>
      <c r="BM169" s="29" t="e">
        <f t="shared" si="65"/>
        <v>#N/A</v>
      </c>
    </row>
    <row r="170" spans="1:65" x14ac:dyDescent="0.35">
      <c r="A170">
        <f t="shared" si="46"/>
        <v>169</v>
      </c>
      <c r="B170" t="e" cm="1">
        <f t="array" ref="B170">INDEX(tblTrades[token_name],ROW()-1)</f>
        <v>#REF!</v>
      </c>
      <c r="C170" s="27" t="e" cm="1">
        <f t="array" ref="C170">INDEX(tblTrades[entry_date],ROW()-1)</f>
        <v>#REF!</v>
      </c>
      <c r="D170" s="2" t="e" cm="1">
        <f t="array" ref="D170">INDEX(tblTrades[entry_mc_actual],ROW()-1)</f>
        <v>#REF!</v>
      </c>
      <c r="E170" s="2" t="e" cm="1">
        <f t="array" ref="E170">INDEX(tblTrades[exit_mc_actual],ROW()-1)</f>
        <v>#REF!</v>
      </c>
      <c r="F170" s="3" t="e" cm="1">
        <f t="array" ref="F170">INDEX(tblTrades[time_in_trade_seconds],ROW()-1)</f>
        <v>#REF!</v>
      </c>
      <c r="G170" s="4" t="str" cm="1">
        <f t="array" ref="G170">IFERROR(INDEX(tblTrades[pnl_percentage],ROW()-1)*1,"")</f>
        <v/>
      </c>
      <c r="H170" s="5" t="str" cm="1">
        <f t="array" ref="H170">IFERROR(INDEX(tblTrades[pnl_sol],ROW()-1)*1,"")</f>
        <v/>
      </c>
      <c r="I170" t="str">
        <f t="shared" si="47"/>
        <v/>
      </c>
      <c r="J170" t="str">
        <f t="shared" si="48"/>
        <v/>
      </c>
      <c r="K170" t="str">
        <f t="shared" si="49"/>
        <v/>
      </c>
      <c r="L170" s="20" t="str" cm="1">
        <f t="array" ref="L170">IFERROR(INDEX(tblTrades[sol_invested],ROW()-1),"")</f>
        <v/>
      </c>
      <c r="M170" s="1">
        <f>COUNTIFS(tblAnalysis[Token],tblAnalysis[[#This Row],[Token]])</f>
        <v>0</v>
      </c>
      <c r="N170" s="1">
        <f>COUNTIFS($B$2:B170,tblAnalysis[[#This Row],[Token]])</f>
        <v>0</v>
      </c>
      <c r="O170" s="5">
        <f>IFERROR(SUM($H$2:H170),"")</f>
        <v>0.40399999999999997</v>
      </c>
      <c r="P170" s="6"/>
      <c r="Q170" s="27"/>
      <c r="R170" s="6" t="str">
        <f>IF(Q170="","",SUMIFS(tblAnalysis[P&amp;L SOL],tblAnalysis[Date],Q170))</f>
        <v/>
      </c>
      <c r="S170" s="10" t="str">
        <f>IF(Q170="","",SUMIFS(tblAnalysis[P&amp;L %],tblAnalysis[Date],Q170))</f>
        <v/>
      </c>
      <c r="T170" s="6" t="str">
        <f>IF(Q170="","",IFERROR(SUM($R$2:R170),""))</f>
        <v/>
      </c>
      <c r="U170" t="str">
        <f>IF(Q170="","",COUNTIFS(tblAnalysis[Date],Q170))</f>
        <v/>
      </c>
      <c r="W170" s="27" t="str">
        <f t="shared" si="50"/>
        <v/>
      </c>
      <c r="X170" s="6" t="str">
        <f t="shared" si="51"/>
        <v/>
      </c>
      <c r="Y170" s="6" t="str">
        <f>IF(Q170="","",MAX(X170,_xlfn.MAXIFS(tblAnalysis[Cum P&amp;L SOL],tblAnalysis[Date],Q170)))</f>
        <v/>
      </c>
      <c r="Z170" s="6" t="str">
        <f>IF(Q170="","",MIN(X170,_xlfn.MINIFS(tblAnalysis[Cum P&amp;L SOL],tblAnalysis[Date],Q170)))</f>
        <v/>
      </c>
      <c r="AA170" s="6" t="str">
        <f t="shared" si="52"/>
        <v/>
      </c>
      <c r="AB170"/>
      <c r="AC170" s="27" t="str">
        <f t="shared" si="53"/>
        <v/>
      </c>
      <c r="AD170" s="10" t="str">
        <f t="shared" si="54"/>
        <v/>
      </c>
      <c r="AE170" s="10" t="str">
        <f t="shared" si="55"/>
        <v/>
      </c>
      <c r="AF170" s="10" t="str">
        <f t="shared" si="56"/>
        <v/>
      </c>
      <c r="AG170"/>
      <c r="AH170" t="str">
        <f t="shared" si="57"/>
        <v/>
      </c>
      <c r="AI170" t="str">
        <f t="shared" si="58"/>
        <v/>
      </c>
      <c r="AK170" cm="1">
        <f t="array" ref="AK170">IFERROR(IF(INDEX($A:$A,ROW())="","",INDEX($A:$A,ROW())),"")</f>
        <v>169</v>
      </c>
      <c r="AL170" t="str" cm="1">
        <f t="array" ref="AL170">IFERROR(INDEX(tblTrades[sol_invested],ROW()-1),"")</f>
        <v/>
      </c>
      <c r="AM170" s="6" t="str" cm="1">
        <f t="array" ref="AM170">IFERROR(INDEX(tblAnalysis[P&amp;L SOL],ROW()-1),"")</f>
        <v/>
      </c>
      <c r="AN170" t="str" cm="1">
        <f t="array" ref="AN170">IFERROR(IF(INDEX(tblTrades[sol_invested],ROW()-1)&gt;0.5,INDEX(tblAnalysis[Token],ROW()-1)&amp;" ("&amp;TEXT(INDEX(tblTrades[sol_invested],ROW()-1),"0.0")&amp;" SOL)",""),"")</f>
        <v/>
      </c>
      <c r="AO170" s="7" t="e" cm="1">
        <f t="array" ref="AO170">IF(INDEX(tblTrades[sol_invested],ROW()-1)&gt;0.5,INDEX(tblAnalysis[Cum P&amp;L SOL],ROW()-1),"")</f>
        <v>#REF!</v>
      </c>
      <c r="AP170" s="12" t="str" cm="1">
        <f t="array" ref="AP170">IFERROR(INDEX(tblAnalysis[Entry MC ($)],ROW()-1),"")</f>
        <v/>
      </c>
      <c r="AQ170" s="10" t="str" cm="1">
        <f t="array" ref="AQ170">IFERROR(INDEX(tblAnalysis[P&amp;L %],ROW()-1),"")</f>
        <v/>
      </c>
      <c r="AR170" t="str" cm="1">
        <f t="array" ref="AR170">IFERROR(INDEX(tblAnalysis[Hold Time (s)],ROW()-1),"")</f>
        <v/>
      </c>
      <c r="AS170" s="6" t="str" cm="1">
        <f t="array" ref="AS170">IFERROR(INDEX(tblAnalysis[P&amp;L SOL],ROW()-1),"")</f>
        <v/>
      </c>
      <c r="AT170"/>
      <c r="AY170" s="10"/>
      <c r="AZ170" s="10"/>
      <c r="BA170" s="6"/>
      <c r="BB170"/>
      <c r="BF170" t="str">
        <f t="shared" si="59"/>
        <v/>
      </c>
      <c r="BG170" s="27" t="str">
        <f t="shared" si="60"/>
        <v/>
      </c>
      <c r="BH170" t="str">
        <f t="shared" si="61"/>
        <v/>
      </c>
      <c r="BL170" s="29" t="e">
        <f t="shared" si="64"/>
        <v>#N/A</v>
      </c>
      <c r="BM170" s="29" t="e">
        <f t="shared" si="65"/>
        <v>#N/A</v>
      </c>
    </row>
    <row r="171" spans="1:65" x14ac:dyDescent="0.35">
      <c r="A171">
        <f t="shared" si="46"/>
        <v>170</v>
      </c>
      <c r="B171" t="e" cm="1">
        <f t="array" ref="B171">INDEX(tblTrades[token_name],ROW()-1)</f>
        <v>#REF!</v>
      </c>
      <c r="C171" s="27" t="e" cm="1">
        <f t="array" ref="C171">INDEX(tblTrades[entry_date],ROW()-1)</f>
        <v>#REF!</v>
      </c>
      <c r="D171" s="2" t="e" cm="1">
        <f t="array" ref="D171">INDEX(tblTrades[entry_mc_actual],ROW()-1)</f>
        <v>#REF!</v>
      </c>
      <c r="E171" s="2" t="e" cm="1">
        <f t="array" ref="E171">INDEX(tblTrades[exit_mc_actual],ROW()-1)</f>
        <v>#REF!</v>
      </c>
      <c r="F171" s="3" t="e" cm="1">
        <f t="array" ref="F171">INDEX(tblTrades[time_in_trade_seconds],ROW()-1)</f>
        <v>#REF!</v>
      </c>
      <c r="G171" s="4" t="str" cm="1">
        <f t="array" ref="G171">IFERROR(INDEX(tblTrades[pnl_percentage],ROW()-1)*1,"")</f>
        <v/>
      </c>
      <c r="H171" s="5" t="str" cm="1">
        <f t="array" ref="H171">IFERROR(INDEX(tblTrades[pnl_sol],ROW()-1)*1,"")</f>
        <v/>
      </c>
      <c r="I171" t="str">
        <f t="shared" si="47"/>
        <v/>
      </c>
      <c r="J171" t="str">
        <f t="shared" si="48"/>
        <v/>
      </c>
      <c r="K171" t="str">
        <f t="shared" si="49"/>
        <v/>
      </c>
      <c r="L171" s="20" t="str" cm="1">
        <f t="array" ref="L171">IFERROR(INDEX(tblTrades[sol_invested],ROW()-1),"")</f>
        <v/>
      </c>
      <c r="M171" s="1">
        <f>COUNTIFS(tblAnalysis[Token],tblAnalysis[[#This Row],[Token]])</f>
        <v>0</v>
      </c>
      <c r="N171" s="1">
        <f>COUNTIFS($B$2:B171,tblAnalysis[[#This Row],[Token]])</f>
        <v>0</v>
      </c>
      <c r="O171" s="5">
        <f>IFERROR(SUM($H$2:H171),"")</f>
        <v>0.40399999999999997</v>
      </c>
      <c r="P171" s="6"/>
      <c r="Q171" s="27"/>
      <c r="R171" s="6" t="str">
        <f>IF(Q171="","",SUMIFS(tblAnalysis[P&amp;L SOL],tblAnalysis[Date],Q171))</f>
        <v/>
      </c>
      <c r="S171" s="10" t="str">
        <f>IF(Q171="","",SUMIFS(tblAnalysis[P&amp;L %],tblAnalysis[Date],Q171))</f>
        <v/>
      </c>
      <c r="T171" s="6" t="str">
        <f>IF(Q171="","",IFERROR(SUM($R$2:R171),""))</f>
        <v/>
      </c>
      <c r="U171" t="str">
        <f>IF(Q171="","",COUNTIFS(tblAnalysis[Date],Q171))</f>
        <v/>
      </c>
      <c r="W171" s="27" t="str">
        <f t="shared" si="50"/>
        <v/>
      </c>
      <c r="X171" s="6" t="str">
        <f t="shared" si="51"/>
        <v/>
      </c>
      <c r="Y171" s="6" t="str">
        <f>IF(Q171="","",MAX(X171,_xlfn.MAXIFS(tblAnalysis[Cum P&amp;L SOL],tblAnalysis[Date],Q171)))</f>
        <v/>
      </c>
      <c r="Z171" s="6" t="str">
        <f>IF(Q171="","",MIN(X171,_xlfn.MINIFS(tblAnalysis[Cum P&amp;L SOL],tblAnalysis[Date],Q171)))</f>
        <v/>
      </c>
      <c r="AA171" s="6" t="str">
        <f t="shared" si="52"/>
        <v/>
      </c>
      <c r="AB171"/>
      <c r="AC171" s="27" t="str">
        <f t="shared" si="53"/>
        <v/>
      </c>
      <c r="AD171" s="10" t="str">
        <f t="shared" si="54"/>
        <v/>
      </c>
      <c r="AE171" s="10" t="str">
        <f t="shared" si="55"/>
        <v/>
      </c>
      <c r="AF171" s="10" t="str">
        <f t="shared" si="56"/>
        <v/>
      </c>
      <c r="AG171"/>
      <c r="AH171" t="str">
        <f t="shared" si="57"/>
        <v/>
      </c>
      <c r="AI171" t="str">
        <f t="shared" si="58"/>
        <v/>
      </c>
      <c r="AK171" cm="1">
        <f t="array" ref="AK171">IFERROR(IF(INDEX($A:$A,ROW())="","",INDEX($A:$A,ROW())),"")</f>
        <v>170</v>
      </c>
      <c r="AL171" t="str" cm="1">
        <f t="array" ref="AL171">IFERROR(INDEX(tblTrades[sol_invested],ROW()-1),"")</f>
        <v/>
      </c>
      <c r="AM171" s="6" t="str" cm="1">
        <f t="array" ref="AM171">IFERROR(INDEX(tblAnalysis[P&amp;L SOL],ROW()-1),"")</f>
        <v/>
      </c>
      <c r="AN171" t="str" cm="1">
        <f t="array" ref="AN171">IFERROR(IF(INDEX(tblTrades[sol_invested],ROW()-1)&gt;0.5,INDEX(tblAnalysis[Token],ROW()-1)&amp;" ("&amp;TEXT(INDEX(tblTrades[sol_invested],ROW()-1),"0.0")&amp;" SOL)",""),"")</f>
        <v/>
      </c>
      <c r="AO171" s="7" t="e" cm="1">
        <f t="array" ref="AO171">IF(INDEX(tblTrades[sol_invested],ROW()-1)&gt;0.5,INDEX(tblAnalysis[Cum P&amp;L SOL],ROW()-1),"")</f>
        <v>#REF!</v>
      </c>
      <c r="AP171" s="12" t="str" cm="1">
        <f t="array" ref="AP171">IFERROR(INDEX(tblAnalysis[Entry MC ($)],ROW()-1),"")</f>
        <v/>
      </c>
      <c r="AQ171" s="10" t="str" cm="1">
        <f t="array" ref="AQ171">IFERROR(INDEX(tblAnalysis[P&amp;L %],ROW()-1),"")</f>
        <v/>
      </c>
      <c r="AR171" t="str" cm="1">
        <f t="array" ref="AR171">IFERROR(INDEX(tblAnalysis[Hold Time (s)],ROW()-1),"")</f>
        <v/>
      </c>
      <c r="AS171" s="6" t="str" cm="1">
        <f t="array" ref="AS171">IFERROR(INDEX(tblAnalysis[P&amp;L SOL],ROW()-1),"")</f>
        <v/>
      </c>
      <c r="AT171"/>
      <c r="AY171" s="10"/>
      <c r="AZ171" s="10"/>
      <c r="BA171" s="6"/>
      <c r="BB171"/>
      <c r="BF171" t="str">
        <f t="shared" si="59"/>
        <v/>
      </c>
      <c r="BG171" s="27" t="str">
        <f t="shared" si="60"/>
        <v/>
      </c>
      <c r="BH171" t="str">
        <f t="shared" si="61"/>
        <v/>
      </c>
      <c r="BL171" s="29" t="e">
        <f t="shared" si="64"/>
        <v>#N/A</v>
      </c>
      <c r="BM171" s="29" t="e">
        <f t="shared" si="65"/>
        <v>#N/A</v>
      </c>
    </row>
    <row r="172" spans="1:65" x14ac:dyDescent="0.35">
      <c r="A172">
        <f t="shared" si="46"/>
        <v>171</v>
      </c>
      <c r="B172" t="e" cm="1">
        <f t="array" ref="B172">INDEX(tblTrades[token_name],ROW()-1)</f>
        <v>#REF!</v>
      </c>
      <c r="C172" s="27" t="e" cm="1">
        <f t="array" ref="C172">INDEX(tblTrades[entry_date],ROW()-1)</f>
        <v>#REF!</v>
      </c>
      <c r="D172" s="2" t="e" cm="1">
        <f t="array" ref="D172">INDEX(tblTrades[entry_mc_actual],ROW()-1)</f>
        <v>#REF!</v>
      </c>
      <c r="E172" s="2" t="e" cm="1">
        <f t="array" ref="E172">INDEX(tblTrades[exit_mc_actual],ROW()-1)</f>
        <v>#REF!</v>
      </c>
      <c r="F172" s="3" t="e" cm="1">
        <f t="array" ref="F172">INDEX(tblTrades[time_in_trade_seconds],ROW()-1)</f>
        <v>#REF!</v>
      </c>
      <c r="G172" s="4" t="str" cm="1">
        <f t="array" ref="G172">IFERROR(INDEX(tblTrades[pnl_percentage],ROW()-1)*1,"")</f>
        <v/>
      </c>
      <c r="H172" s="5" t="str" cm="1">
        <f t="array" ref="H172">IFERROR(INDEX(tblTrades[pnl_sol],ROW()-1)*1,"")</f>
        <v/>
      </c>
      <c r="I172" t="str">
        <f t="shared" si="47"/>
        <v/>
      </c>
      <c r="J172" t="str">
        <f t="shared" si="48"/>
        <v/>
      </c>
      <c r="K172" t="str">
        <f t="shared" si="49"/>
        <v/>
      </c>
      <c r="L172" s="20" t="str" cm="1">
        <f t="array" ref="L172">IFERROR(INDEX(tblTrades[sol_invested],ROW()-1),"")</f>
        <v/>
      </c>
      <c r="M172" s="1">
        <f>COUNTIFS(tblAnalysis[Token],tblAnalysis[[#This Row],[Token]])</f>
        <v>0</v>
      </c>
      <c r="N172" s="1">
        <f>COUNTIFS($B$2:B172,tblAnalysis[[#This Row],[Token]])</f>
        <v>0</v>
      </c>
      <c r="O172" s="5">
        <f>IFERROR(SUM($H$2:H172),"")</f>
        <v>0.40399999999999997</v>
      </c>
      <c r="P172" s="6"/>
      <c r="Q172" s="27"/>
      <c r="R172" s="6" t="str">
        <f>IF(Q172="","",SUMIFS(tblAnalysis[P&amp;L SOL],tblAnalysis[Date],Q172))</f>
        <v/>
      </c>
      <c r="S172" s="10" t="str">
        <f>IF(Q172="","",SUMIFS(tblAnalysis[P&amp;L %],tblAnalysis[Date],Q172))</f>
        <v/>
      </c>
      <c r="T172" s="6" t="str">
        <f>IF(Q172="","",IFERROR(SUM($R$2:R172),""))</f>
        <v/>
      </c>
      <c r="U172" t="str">
        <f>IF(Q172="","",COUNTIFS(tblAnalysis[Date],Q172))</f>
        <v/>
      </c>
      <c r="W172" s="27" t="str">
        <f t="shared" si="50"/>
        <v/>
      </c>
      <c r="X172" s="6" t="str">
        <f t="shared" si="51"/>
        <v/>
      </c>
      <c r="Y172" s="6" t="str">
        <f>IF(Q172="","",MAX(X172,_xlfn.MAXIFS(tblAnalysis[Cum P&amp;L SOL],tblAnalysis[Date],Q172)))</f>
        <v/>
      </c>
      <c r="Z172" s="6" t="str">
        <f>IF(Q172="","",MIN(X172,_xlfn.MINIFS(tblAnalysis[Cum P&amp;L SOL],tblAnalysis[Date],Q172)))</f>
        <v/>
      </c>
      <c r="AA172" s="6" t="str">
        <f t="shared" si="52"/>
        <v/>
      </c>
      <c r="AB172"/>
      <c r="AC172" s="27" t="str">
        <f t="shared" si="53"/>
        <v/>
      </c>
      <c r="AD172" s="10" t="str">
        <f t="shared" si="54"/>
        <v/>
      </c>
      <c r="AE172" s="10" t="str">
        <f t="shared" si="55"/>
        <v/>
      </c>
      <c r="AF172" s="10" t="str">
        <f t="shared" si="56"/>
        <v/>
      </c>
      <c r="AG172"/>
      <c r="AH172" t="str">
        <f t="shared" si="57"/>
        <v/>
      </c>
      <c r="AI172" t="str">
        <f t="shared" si="58"/>
        <v/>
      </c>
      <c r="AK172" cm="1">
        <f t="array" ref="AK172">IFERROR(IF(INDEX($A:$A,ROW())="","",INDEX($A:$A,ROW())),"")</f>
        <v>171</v>
      </c>
      <c r="AL172" t="str" cm="1">
        <f t="array" ref="AL172">IFERROR(INDEX(tblTrades[sol_invested],ROW()-1),"")</f>
        <v/>
      </c>
      <c r="AM172" s="6" t="str" cm="1">
        <f t="array" ref="AM172">IFERROR(INDEX(tblAnalysis[P&amp;L SOL],ROW()-1),"")</f>
        <v/>
      </c>
      <c r="AN172" t="str" cm="1">
        <f t="array" ref="AN172">IFERROR(IF(INDEX(tblTrades[sol_invested],ROW()-1)&gt;0.5,INDEX(tblAnalysis[Token],ROW()-1)&amp;" ("&amp;TEXT(INDEX(tblTrades[sol_invested],ROW()-1),"0.0")&amp;" SOL)",""),"")</f>
        <v/>
      </c>
      <c r="AO172" s="7" t="e" cm="1">
        <f t="array" ref="AO172">IF(INDEX(tblTrades[sol_invested],ROW()-1)&gt;0.5,INDEX(tblAnalysis[Cum P&amp;L SOL],ROW()-1),"")</f>
        <v>#REF!</v>
      </c>
      <c r="AP172" s="12" t="str" cm="1">
        <f t="array" ref="AP172">IFERROR(INDEX(tblAnalysis[Entry MC ($)],ROW()-1),"")</f>
        <v/>
      </c>
      <c r="AQ172" s="10" t="str" cm="1">
        <f t="array" ref="AQ172">IFERROR(INDEX(tblAnalysis[P&amp;L %],ROW()-1),"")</f>
        <v/>
      </c>
      <c r="AR172" t="str" cm="1">
        <f t="array" ref="AR172">IFERROR(INDEX(tblAnalysis[Hold Time (s)],ROW()-1),"")</f>
        <v/>
      </c>
      <c r="AS172" s="6" t="str" cm="1">
        <f t="array" ref="AS172">IFERROR(INDEX(tblAnalysis[P&amp;L SOL],ROW()-1),"")</f>
        <v/>
      </c>
      <c r="AT172"/>
      <c r="AY172" s="10"/>
      <c r="AZ172" s="10"/>
      <c r="BA172" s="6"/>
      <c r="BB172"/>
      <c r="BF172" t="str">
        <f t="shared" si="59"/>
        <v/>
      </c>
      <c r="BG172" s="27" t="str">
        <f t="shared" si="60"/>
        <v/>
      </c>
      <c r="BH172" t="str">
        <f t="shared" si="61"/>
        <v/>
      </c>
      <c r="BL172" s="29" t="e">
        <f t="shared" si="64"/>
        <v>#N/A</v>
      </c>
      <c r="BM172" s="29" t="e">
        <f t="shared" si="65"/>
        <v>#N/A</v>
      </c>
    </row>
    <row r="173" spans="1:65" x14ac:dyDescent="0.35">
      <c r="A173">
        <f t="shared" si="46"/>
        <v>172</v>
      </c>
      <c r="B173" t="e" cm="1">
        <f t="array" ref="B173">INDEX(tblTrades[token_name],ROW()-1)</f>
        <v>#REF!</v>
      </c>
      <c r="C173" s="27" t="e" cm="1">
        <f t="array" ref="C173">INDEX(tblTrades[entry_date],ROW()-1)</f>
        <v>#REF!</v>
      </c>
      <c r="D173" s="2" t="e" cm="1">
        <f t="array" ref="D173">INDEX(tblTrades[entry_mc_actual],ROW()-1)</f>
        <v>#REF!</v>
      </c>
      <c r="E173" s="2" t="e" cm="1">
        <f t="array" ref="E173">INDEX(tblTrades[exit_mc_actual],ROW()-1)</f>
        <v>#REF!</v>
      </c>
      <c r="F173" s="3" t="e" cm="1">
        <f t="array" ref="F173">INDEX(tblTrades[time_in_trade_seconds],ROW()-1)</f>
        <v>#REF!</v>
      </c>
      <c r="G173" s="4" t="str" cm="1">
        <f t="array" ref="G173">IFERROR(INDEX(tblTrades[pnl_percentage],ROW()-1)*1,"")</f>
        <v/>
      </c>
      <c r="H173" s="5" t="str" cm="1">
        <f t="array" ref="H173">IFERROR(INDEX(tblTrades[pnl_sol],ROW()-1)*1,"")</f>
        <v/>
      </c>
      <c r="I173" t="str">
        <f t="shared" si="47"/>
        <v/>
      </c>
      <c r="J173" t="str">
        <f t="shared" si="48"/>
        <v/>
      </c>
      <c r="K173" t="str">
        <f t="shared" si="49"/>
        <v/>
      </c>
      <c r="L173" s="20" t="str" cm="1">
        <f t="array" ref="L173">IFERROR(INDEX(tblTrades[sol_invested],ROW()-1),"")</f>
        <v/>
      </c>
      <c r="M173" s="1">
        <f>COUNTIFS(tblAnalysis[Token],tblAnalysis[[#This Row],[Token]])</f>
        <v>0</v>
      </c>
      <c r="N173" s="1">
        <f>COUNTIFS($B$2:B173,tblAnalysis[[#This Row],[Token]])</f>
        <v>0</v>
      </c>
      <c r="O173" s="5">
        <f>IFERROR(SUM($H$2:H173),"")</f>
        <v>0.40399999999999997</v>
      </c>
      <c r="P173" s="6"/>
      <c r="Q173" s="27"/>
      <c r="R173" s="6" t="str">
        <f>IF(Q173="","",SUMIFS(tblAnalysis[P&amp;L SOL],tblAnalysis[Date],Q173))</f>
        <v/>
      </c>
      <c r="S173" s="10" t="str">
        <f>IF(Q173="","",SUMIFS(tblAnalysis[P&amp;L %],tblAnalysis[Date],Q173))</f>
        <v/>
      </c>
      <c r="T173" s="6" t="str">
        <f>IF(Q173="","",IFERROR(SUM($R$2:R173),""))</f>
        <v/>
      </c>
      <c r="U173" t="str">
        <f>IF(Q173="","",COUNTIFS(tblAnalysis[Date],Q173))</f>
        <v/>
      </c>
      <c r="W173" s="27" t="str">
        <f t="shared" si="50"/>
        <v/>
      </c>
      <c r="X173" s="6" t="str">
        <f t="shared" si="51"/>
        <v/>
      </c>
      <c r="Y173" s="6" t="str">
        <f>IF(Q173="","",MAX(X173,_xlfn.MAXIFS(tblAnalysis[Cum P&amp;L SOL],tblAnalysis[Date],Q173)))</f>
        <v/>
      </c>
      <c r="Z173" s="6" t="str">
        <f>IF(Q173="","",MIN(X173,_xlfn.MINIFS(tblAnalysis[Cum P&amp;L SOL],tblAnalysis[Date],Q173)))</f>
        <v/>
      </c>
      <c r="AA173" s="6" t="str">
        <f t="shared" si="52"/>
        <v/>
      </c>
      <c r="AB173"/>
      <c r="AC173" s="27" t="str">
        <f t="shared" si="53"/>
        <v/>
      </c>
      <c r="AD173" s="10" t="str">
        <f t="shared" si="54"/>
        <v/>
      </c>
      <c r="AE173" s="10" t="str">
        <f t="shared" si="55"/>
        <v/>
      </c>
      <c r="AF173" s="10" t="str">
        <f t="shared" si="56"/>
        <v/>
      </c>
      <c r="AG173"/>
      <c r="AH173" t="str">
        <f t="shared" si="57"/>
        <v/>
      </c>
      <c r="AI173" t="str">
        <f t="shared" si="58"/>
        <v/>
      </c>
      <c r="AK173" cm="1">
        <f t="array" ref="AK173">IFERROR(IF(INDEX($A:$A,ROW())="","",INDEX($A:$A,ROW())),"")</f>
        <v>172</v>
      </c>
      <c r="AL173" t="str" cm="1">
        <f t="array" ref="AL173">IFERROR(INDEX(tblTrades[sol_invested],ROW()-1),"")</f>
        <v/>
      </c>
      <c r="AM173" s="6" t="str" cm="1">
        <f t="array" ref="AM173">IFERROR(INDEX(tblAnalysis[P&amp;L SOL],ROW()-1),"")</f>
        <v/>
      </c>
      <c r="AN173" t="str" cm="1">
        <f t="array" ref="AN173">IFERROR(IF(INDEX(tblTrades[sol_invested],ROW()-1)&gt;0.5,INDEX(tblAnalysis[Token],ROW()-1)&amp;" ("&amp;TEXT(INDEX(tblTrades[sol_invested],ROW()-1),"0.0")&amp;" SOL)",""),"")</f>
        <v/>
      </c>
      <c r="AO173" s="7" t="e" cm="1">
        <f t="array" ref="AO173">IF(INDEX(tblTrades[sol_invested],ROW()-1)&gt;0.5,INDEX(tblAnalysis[Cum P&amp;L SOL],ROW()-1),"")</f>
        <v>#REF!</v>
      </c>
      <c r="AP173" s="12" t="str" cm="1">
        <f t="array" ref="AP173">IFERROR(INDEX(tblAnalysis[Entry MC ($)],ROW()-1),"")</f>
        <v/>
      </c>
      <c r="AQ173" s="10" t="str" cm="1">
        <f t="array" ref="AQ173">IFERROR(INDEX(tblAnalysis[P&amp;L %],ROW()-1),"")</f>
        <v/>
      </c>
      <c r="AR173" t="str" cm="1">
        <f t="array" ref="AR173">IFERROR(INDEX(tblAnalysis[Hold Time (s)],ROW()-1),"")</f>
        <v/>
      </c>
      <c r="AS173" s="6" t="str" cm="1">
        <f t="array" ref="AS173">IFERROR(INDEX(tblAnalysis[P&amp;L SOL],ROW()-1),"")</f>
        <v/>
      </c>
      <c r="AT173"/>
      <c r="AY173" s="10"/>
      <c r="AZ173" s="10"/>
      <c r="BA173" s="6"/>
      <c r="BB173"/>
      <c r="BF173" t="str">
        <f t="shared" si="59"/>
        <v/>
      </c>
      <c r="BG173" s="27" t="str">
        <f t="shared" si="60"/>
        <v/>
      </c>
      <c r="BH173" t="str">
        <f t="shared" si="61"/>
        <v/>
      </c>
      <c r="BL173" s="29" t="e">
        <f t="shared" si="64"/>
        <v>#N/A</v>
      </c>
      <c r="BM173" s="29" t="e">
        <f t="shared" si="65"/>
        <v>#N/A</v>
      </c>
    </row>
    <row r="174" spans="1:65" x14ac:dyDescent="0.35">
      <c r="A174">
        <f t="shared" si="46"/>
        <v>173</v>
      </c>
      <c r="B174" t="e" cm="1">
        <f t="array" ref="B174">INDEX(tblTrades[token_name],ROW()-1)</f>
        <v>#REF!</v>
      </c>
      <c r="C174" s="27" t="e" cm="1">
        <f t="array" ref="C174">INDEX(tblTrades[entry_date],ROW()-1)</f>
        <v>#REF!</v>
      </c>
      <c r="D174" s="2" t="e" cm="1">
        <f t="array" ref="D174">INDEX(tblTrades[entry_mc_actual],ROW()-1)</f>
        <v>#REF!</v>
      </c>
      <c r="E174" s="2" t="e" cm="1">
        <f t="array" ref="E174">INDEX(tblTrades[exit_mc_actual],ROW()-1)</f>
        <v>#REF!</v>
      </c>
      <c r="F174" s="3" t="e" cm="1">
        <f t="array" ref="F174">INDEX(tblTrades[time_in_trade_seconds],ROW()-1)</f>
        <v>#REF!</v>
      </c>
      <c r="G174" s="4" t="str" cm="1">
        <f t="array" ref="G174">IFERROR(INDEX(tblTrades[pnl_percentage],ROW()-1)*1,"")</f>
        <v/>
      </c>
      <c r="H174" s="5" t="str" cm="1">
        <f t="array" ref="H174">IFERROR(INDEX(tblTrades[pnl_sol],ROW()-1)*1,"")</f>
        <v/>
      </c>
      <c r="I174" t="str">
        <f t="shared" si="47"/>
        <v/>
      </c>
      <c r="J174" t="str">
        <f t="shared" si="48"/>
        <v/>
      </c>
      <c r="K174" t="str">
        <f t="shared" si="49"/>
        <v/>
      </c>
      <c r="L174" s="20" t="str" cm="1">
        <f t="array" ref="L174">IFERROR(INDEX(tblTrades[sol_invested],ROW()-1),"")</f>
        <v/>
      </c>
      <c r="M174" s="1">
        <f>COUNTIFS(tblAnalysis[Token],tblAnalysis[[#This Row],[Token]])</f>
        <v>0</v>
      </c>
      <c r="N174" s="1">
        <f>COUNTIFS($B$2:B174,tblAnalysis[[#This Row],[Token]])</f>
        <v>0</v>
      </c>
      <c r="O174" s="5">
        <f>IFERROR(SUM($H$2:H174),"")</f>
        <v>0.40399999999999997</v>
      </c>
      <c r="P174" s="6"/>
      <c r="Q174" s="27"/>
      <c r="R174" s="6" t="str">
        <f>IF(Q174="","",SUMIFS(tblAnalysis[P&amp;L SOL],tblAnalysis[Date],Q174))</f>
        <v/>
      </c>
      <c r="S174" s="10" t="str">
        <f>IF(Q174="","",SUMIFS(tblAnalysis[P&amp;L %],tblAnalysis[Date],Q174))</f>
        <v/>
      </c>
      <c r="T174" s="6" t="str">
        <f>IF(Q174="","",IFERROR(SUM($R$2:R174),""))</f>
        <v/>
      </c>
      <c r="U174" t="str">
        <f>IF(Q174="","",COUNTIFS(tblAnalysis[Date],Q174))</f>
        <v/>
      </c>
      <c r="W174" s="27" t="str">
        <f t="shared" si="50"/>
        <v/>
      </c>
      <c r="X174" s="6" t="str">
        <f t="shared" si="51"/>
        <v/>
      </c>
      <c r="Y174" s="6" t="str">
        <f>IF(Q174="","",MAX(X174,_xlfn.MAXIFS(tblAnalysis[Cum P&amp;L SOL],tblAnalysis[Date],Q174)))</f>
        <v/>
      </c>
      <c r="Z174" s="6" t="str">
        <f>IF(Q174="","",MIN(X174,_xlfn.MINIFS(tblAnalysis[Cum P&amp;L SOL],tblAnalysis[Date],Q174)))</f>
        <v/>
      </c>
      <c r="AA174" s="6" t="str">
        <f t="shared" si="52"/>
        <v/>
      </c>
      <c r="AB174"/>
      <c r="AC174" s="27" t="str">
        <f t="shared" si="53"/>
        <v/>
      </c>
      <c r="AD174" s="10" t="str">
        <f t="shared" si="54"/>
        <v/>
      </c>
      <c r="AE174" s="10" t="str">
        <f t="shared" si="55"/>
        <v/>
      </c>
      <c r="AF174" s="10" t="str">
        <f t="shared" si="56"/>
        <v/>
      </c>
      <c r="AG174"/>
      <c r="AH174" t="str">
        <f t="shared" si="57"/>
        <v/>
      </c>
      <c r="AI174" t="str">
        <f t="shared" si="58"/>
        <v/>
      </c>
      <c r="AK174" cm="1">
        <f t="array" ref="AK174">IFERROR(IF(INDEX($A:$A,ROW())="","",INDEX($A:$A,ROW())),"")</f>
        <v>173</v>
      </c>
      <c r="AL174" t="str" cm="1">
        <f t="array" ref="AL174">IFERROR(INDEX(tblTrades[sol_invested],ROW()-1),"")</f>
        <v/>
      </c>
      <c r="AM174" s="6" t="str" cm="1">
        <f t="array" ref="AM174">IFERROR(INDEX(tblAnalysis[P&amp;L SOL],ROW()-1),"")</f>
        <v/>
      </c>
      <c r="AN174" t="str" cm="1">
        <f t="array" ref="AN174">IFERROR(IF(INDEX(tblTrades[sol_invested],ROW()-1)&gt;0.5,INDEX(tblAnalysis[Token],ROW()-1)&amp;" ("&amp;TEXT(INDEX(tblTrades[sol_invested],ROW()-1),"0.0")&amp;" SOL)",""),"")</f>
        <v/>
      </c>
      <c r="AO174" s="7" t="e" cm="1">
        <f t="array" ref="AO174">IF(INDEX(tblTrades[sol_invested],ROW()-1)&gt;0.5,INDEX(tblAnalysis[Cum P&amp;L SOL],ROW()-1),"")</f>
        <v>#REF!</v>
      </c>
      <c r="AP174" s="12" t="str" cm="1">
        <f t="array" ref="AP174">IFERROR(INDEX(tblAnalysis[Entry MC ($)],ROW()-1),"")</f>
        <v/>
      </c>
      <c r="AQ174" s="10" t="str" cm="1">
        <f t="array" ref="AQ174">IFERROR(INDEX(tblAnalysis[P&amp;L %],ROW()-1),"")</f>
        <v/>
      </c>
      <c r="AR174" t="str" cm="1">
        <f t="array" ref="AR174">IFERROR(INDEX(tblAnalysis[Hold Time (s)],ROW()-1),"")</f>
        <v/>
      </c>
      <c r="AS174" s="6" t="str" cm="1">
        <f t="array" ref="AS174">IFERROR(INDEX(tblAnalysis[P&amp;L SOL],ROW()-1),"")</f>
        <v/>
      </c>
      <c r="AT174"/>
      <c r="AY174" s="10"/>
      <c r="AZ174" s="10"/>
      <c r="BA174" s="6"/>
      <c r="BB174"/>
      <c r="BF174" t="str">
        <f t="shared" si="59"/>
        <v/>
      </c>
      <c r="BG174" s="27" t="str">
        <f t="shared" si="60"/>
        <v/>
      </c>
      <c r="BH174" t="str">
        <f t="shared" si="61"/>
        <v/>
      </c>
      <c r="BL174" s="29" t="e">
        <f t="shared" si="64"/>
        <v>#N/A</v>
      </c>
      <c r="BM174" s="29" t="e">
        <f t="shared" si="65"/>
        <v>#N/A</v>
      </c>
    </row>
    <row r="175" spans="1:65" x14ac:dyDescent="0.35">
      <c r="A175">
        <f t="shared" si="46"/>
        <v>174</v>
      </c>
      <c r="B175" t="e" cm="1">
        <f t="array" ref="B175">INDEX(tblTrades[token_name],ROW()-1)</f>
        <v>#REF!</v>
      </c>
      <c r="C175" s="27" t="e" cm="1">
        <f t="array" ref="C175">INDEX(tblTrades[entry_date],ROW()-1)</f>
        <v>#REF!</v>
      </c>
      <c r="D175" s="2" t="e" cm="1">
        <f t="array" ref="D175">INDEX(tblTrades[entry_mc_actual],ROW()-1)</f>
        <v>#REF!</v>
      </c>
      <c r="E175" s="2" t="e" cm="1">
        <f t="array" ref="E175">INDEX(tblTrades[exit_mc_actual],ROW()-1)</f>
        <v>#REF!</v>
      </c>
      <c r="F175" s="3" t="e" cm="1">
        <f t="array" ref="F175">INDEX(tblTrades[time_in_trade_seconds],ROW()-1)</f>
        <v>#REF!</v>
      </c>
      <c r="G175" s="4" t="str" cm="1">
        <f t="array" ref="G175">IFERROR(INDEX(tblTrades[pnl_percentage],ROW()-1)*1,"")</f>
        <v/>
      </c>
      <c r="H175" s="5" t="str" cm="1">
        <f t="array" ref="H175">IFERROR(INDEX(tblTrades[pnl_sol],ROW()-1)*1,"")</f>
        <v/>
      </c>
      <c r="I175" t="str">
        <f t="shared" si="47"/>
        <v/>
      </c>
      <c r="J175" t="str">
        <f t="shared" si="48"/>
        <v/>
      </c>
      <c r="K175" t="str">
        <f t="shared" si="49"/>
        <v/>
      </c>
      <c r="L175" s="20" t="str" cm="1">
        <f t="array" ref="L175">IFERROR(INDEX(tblTrades[sol_invested],ROW()-1),"")</f>
        <v/>
      </c>
      <c r="M175" s="1">
        <f>COUNTIFS(tblAnalysis[Token],tblAnalysis[[#This Row],[Token]])</f>
        <v>0</v>
      </c>
      <c r="N175" s="1">
        <f>COUNTIFS($B$2:B175,tblAnalysis[[#This Row],[Token]])</f>
        <v>0</v>
      </c>
      <c r="O175" s="5">
        <f>IFERROR(SUM($H$2:H175),"")</f>
        <v>0.40399999999999997</v>
      </c>
      <c r="P175" s="6"/>
      <c r="Q175" s="27"/>
      <c r="R175" s="6" t="str">
        <f>IF(Q175="","",SUMIFS(tblAnalysis[P&amp;L SOL],tblAnalysis[Date],Q175))</f>
        <v/>
      </c>
      <c r="S175" s="10" t="str">
        <f>IF(Q175="","",SUMIFS(tblAnalysis[P&amp;L %],tblAnalysis[Date],Q175))</f>
        <v/>
      </c>
      <c r="T175" s="6" t="str">
        <f>IF(Q175="","",IFERROR(SUM($R$2:R175),""))</f>
        <v/>
      </c>
      <c r="U175" t="str">
        <f>IF(Q175="","",COUNTIFS(tblAnalysis[Date],Q175))</f>
        <v/>
      </c>
      <c r="W175" s="27" t="str">
        <f t="shared" si="50"/>
        <v/>
      </c>
      <c r="X175" s="6" t="str">
        <f t="shared" si="51"/>
        <v/>
      </c>
      <c r="Y175" s="6" t="str">
        <f>IF(Q175="","",MAX(X175,_xlfn.MAXIFS(tblAnalysis[Cum P&amp;L SOL],tblAnalysis[Date],Q175)))</f>
        <v/>
      </c>
      <c r="Z175" s="6" t="str">
        <f>IF(Q175="","",MIN(X175,_xlfn.MINIFS(tblAnalysis[Cum P&amp;L SOL],tblAnalysis[Date],Q175)))</f>
        <v/>
      </c>
      <c r="AA175" s="6" t="str">
        <f t="shared" si="52"/>
        <v/>
      </c>
      <c r="AB175"/>
      <c r="AC175" s="27" t="str">
        <f t="shared" si="53"/>
        <v/>
      </c>
      <c r="AD175" s="10" t="str">
        <f t="shared" si="54"/>
        <v/>
      </c>
      <c r="AE175" s="10" t="str">
        <f t="shared" si="55"/>
        <v/>
      </c>
      <c r="AF175" s="10" t="str">
        <f t="shared" si="56"/>
        <v/>
      </c>
      <c r="AG175"/>
      <c r="AH175" t="str">
        <f t="shared" si="57"/>
        <v/>
      </c>
      <c r="AI175" t="str">
        <f t="shared" si="58"/>
        <v/>
      </c>
      <c r="AK175" cm="1">
        <f t="array" ref="AK175">IFERROR(IF(INDEX($A:$A,ROW())="","",INDEX($A:$A,ROW())),"")</f>
        <v>174</v>
      </c>
      <c r="AL175" t="str" cm="1">
        <f t="array" ref="AL175">IFERROR(INDEX(tblTrades[sol_invested],ROW()-1),"")</f>
        <v/>
      </c>
      <c r="AM175" s="6" t="str" cm="1">
        <f t="array" ref="AM175">IFERROR(INDEX(tblAnalysis[P&amp;L SOL],ROW()-1),"")</f>
        <v/>
      </c>
      <c r="AN175" t="str" cm="1">
        <f t="array" ref="AN175">IFERROR(IF(INDEX(tblTrades[sol_invested],ROW()-1)&gt;0.5,INDEX(tblAnalysis[Token],ROW()-1)&amp;" ("&amp;TEXT(INDEX(tblTrades[sol_invested],ROW()-1),"0.0")&amp;" SOL)",""),"")</f>
        <v/>
      </c>
      <c r="AO175" s="7" t="e" cm="1">
        <f t="array" ref="AO175">IF(INDEX(tblTrades[sol_invested],ROW()-1)&gt;0.5,INDEX(tblAnalysis[Cum P&amp;L SOL],ROW()-1),"")</f>
        <v>#REF!</v>
      </c>
      <c r="AP175" s="12" t="str" cm="1">
        <f t="array" ref="AP175">IFERROR(INDEX(tblAnalysis[Entry MC ($)],ROW()-1),"")</f>
        <v/>
      </c>
      <c r="AQ175" s="10" t="str" cm="1">
        <f t="array" ref="AQ175">IFERROR(INDEX(tblAnalysis[P&amp;L %],ROW()-1),"")</f>
        <v/>
      </c>
      <c r="AR175" t="str" cm="1">
        <f t="array" ref="AR175">IFERROR(INDEX(tblAnalysis[Hold Time (s)],ROW()-1),"")</f>
        <v/>
      </c>
      <c r="AS175" s="6" t="str" cm="1">
        <f t="array" ref="AS175">IFERROR(INDEX(tblAnalysis[P&amp;L SOL],ROW()-1),"")</f>
        <v/>
      </c>
      <c r="AT175"/>
      <c r="AY175" s="10"/>
      <c r="AZ175" s="10"/>
      <c r="BA175" s="6"/>
      <c r="BB175"/>
      <c r="BF175" t="str">
        <f t="shared" si="59"/>
        <v/>
      </c>
      <c r="BG175" s="27" t="str">
        <f t="shared" si="60"/>
        <v/>
      </c>
      <c r="BH175" t="str">
        <f t="shared" si="61"/>
        <v/>
      </c>
      <c r="BL175" s="29" t="e">
        <f t="shared" si="64"/>
        <v>#N/A</v>
      </c>
      <c r="BM175" s="29" t="e">
        <f t="shared" si="65"/>
        <v>#N/A</v>
      </c>
    </row>
    <row r="176" spans="1:65" x14ac:dyDescent="0.35">
      <c r="A176">
        <f t="shared" si="46"/>
        <v>175</v>
      </c>
      <c r="B176" t="e" cm="1">
        <f t="array" ref="B176">INDEX(tblTrades[token_name],ROW()-1)</f>
        <v>#REF!</v>
      </c>
      <c r="C176" s="27" t="e" cm="1">
        <f t="array" ref="C176">INDEX(tblTrades[entry_date],ROW()-1)</f>
        <v>#REF!</v>
      </c>
      <c r="D176" s="2" t="e" cm="1">
        <f t="array" ref="D176">INDEX(tblTrades[entry_mc_actual],ROW()-1)</f>
        <v>#REF!</v>
      </c>
      <c r="E176" s="2" t="e" cm="1">
        <f t="array" ref="E176">INDEX(tblTrades[exit_mc_actual],ROW()-1)</f>
        <v>#REF!</v>
      </c>
      <c r="F176" s="3" t="e" cm="1">
        <f t="array" ref="F176">INDEX(tblTrades[time_in_trade_seconds],ROW()-1)</f>
        <v>#REF!</v>
      </c>
      <c r="G176" s="4" t="str" cm="1">
        <f t="array" ref="G176">IFERROR(INDEX(tblTrades[pnl_percentage],ROW()-1)*1,"")</f>
        <v/>
      </c>
      <c r="H176" s="5" t="str" cm="1">
        <f t="array" ref="H176">IFERROR(INDEX(tblTrades[pnl_sol],ROW()-1)*1,"")</f>
        <v/>
      </c>
      <c r="I176" t="str">
        <f t="shared" si="47"/>
        <v/>
      </c>
      <c r="J176" t="str">
        <f t="shared" si="48"/>
        <v/>
      </c>
      <c r="K176" t="str">
        <f t="shared" si="49"/>
        <v/>
      </c>
      <c r="L176" s="20" t="str" cm="1">
        <f t="array" ref="L176">IFERROR(INDEX(tblTrades[sol_invested],ROW()-1),"")</f>
        <v/>
      </c>
      <c r="M176" s="1">
        <f>COUNTIFS(tblAnalysis[Token],tblAnalysis[[#This Row],[Token]])</f>
        <v>0</v>
      </c>
      <c r="N176" s="1">
        <f>COUNTIFS($B$2:B176,tblAnalysis[[#This Row],[Token]])</f>
        <v>0</v>
      </c>
      <c r="O176" s="5">
        <f>IFERROR(SUM($H$2:H176),"")</f>
        <v>0.40399999999999997</v>
      </c>
      <c r="P176" s="6"/>
      <c r="Q176" s="27"/>
      <c r="R176" s="6" t="str">
        <f>IF(Q176="","",SUMIFS(tblAnalysis[P&amp;L SOL],tblAnalysis[Date],Q176))</f>
        <v/>
      </c>
      <c r="S176" s="10" t="str">
        <f>IF(Q176="","",SUMIFS(tblAnalysis[P&amp;L %],tblAnalysis[Date],Q176))</f>
        <v/>
      </c>
      <c r="T176" s="6" t="str">
        <f>IF(Q176="","",IFERROR(SUM($R$2:R176),""))</f>
        <v/>
      </c>
      <c r="U176" t="str">
        <f>IF(Q176="","",COUNTIFS(tblAnalysis[Date],Q176))</f>
        <v/>
      </c>
      <c r="W176" s="27" t="str">
        <f t="shared" si="50"/>
        <v/>
      </c>
      <c r="X176" s="6" t="str">
        <f t="shared" si="51"/>
        <v/>
      </c>
      <c r="Y176" s="6" t="str">
        <f>IF(Q176="","",MAX(X176,_xlfn.MAXIFS(tblAnalysis[Cum P&amp;L SOL],tblAnalysis[Date],Q176)))</f>
        <v/>
      </c>
      <c r="Z176" s="6" t="str">
        <f>IF(Q176="","",MIN(X176,_xlfn.MINIFS(tblAnalysis[Cum P&amp;L SOL],tblAnalysis[Date],Q176)))</f>
        <v/>
      </c>
      <c r="AA176" s="6" t="str">
        <f t="shared" si="52"/>
        <v/>
      </c>
      <c r="AB176"/>
      <c r="AC176" s="27" t="str">
        <f t="shared" si="53"/>
        <v/>
      </c>
      <c r="AD176" s="10" t="str">
        <f t="shared" si="54"/>
        <v/>
      </c>
      <c r="AE176" s="10" t="str">
        <f t="shared" si="55"/>
        <v/>
      </c>
      <c r="AF176" s="10" t="str">
        <f t="shared" si="56"/>
        <v/>
      </c>
      <c r="AG176"/>
      <c r="AH176" t="str">
        <f t="shared" si="57"/>
        <v/>
      </c>
      <c r="AI176" t="str">
        <f t="shared" si="58"/>
        <v/>
      </c>
      <c r="AK176" cm="1">
        <f t="array" ref="AK176">IFERROR(IF(INDEX($A:$A,ROW())="","",INDEX($A:$A,ROW())),"")</f>
        <v>175</v>
      </c>
      <c r="AL176" t="str" cm="1">
        <f t="array" ref="AL176">IFERROR(INDEX(tblTrades[sol_invested],ROW()-1),"")</f>
        <v/>
      </c>
      <c r="AM176" s="6" t="str" cm="1">
        <f t="array" ref="AM176">IFERROR(INDEX(tblAnalysis[P&amp;L SOL],ROW()-1),"")</f>
        <v/>
      </c>
      <c r="AN176" t="str" cm="1">
        <f t="array" ref="AN176">IFERROR(IF(INDEX(tblTrades[sol_invested],ROW()-1)&gt;0.5,INDEX(tblAnalysis[Token],ROW()-1)&amp;" ("&amp;TEXT(INDEX(tblTrades[sol_invested],ROW()-1),"0.0")&amp;" SOL)",""),"")</f>
        <v/>
      </c>
      <c r="AO176" s="7" t="e" cm="1">
        <f t="array" ref="AO176">IF(INDEX(tblTrades[sol_invested],ROW()-1)&gt;0.5,INDEX(tblAnalysis[Cum P&amp;L SOL],ROW()-1),"")</f>
        <v>#REF!</v>
      </c>
      <c r="AP176" s="12" t="str" cm="1">
        <f t="array" ref="AP176">IFERROR(INDEX(tblAnalysis[Entry MC ($)],ROW()-1),"")</f>
        <v/>
      </c>
      <c r="AQ176" s="10" t="str" cm="1">
        <f t="array" ref="AQ176">IFERROR(INDEX(tblAnalysis[P&amp;L %],ROW()-1),"")</f>
        <v/>
      </c>
      <c r="AR176" t="str" cm="1">
        <f t="array" ref="AR176">IFERROR(INDEX(tblAnalysis[Hold Time (s)],ROW()-1),"")</f>
        <v/>
      </c>
      <c r="AS176" s="6" t="str" cm="1">
        <f t="array" ref="AS176">IFERROR(INDEX(tblAnalysis[P&amp;L SOL],ROW()-1),"")</f>
        <v/>
      </c>
      <c r="AT176"/>
      <c r="AY176" s="10"/>
      <c r="AZ176" s="10"/>
      <c r="BA176" s="6"/>
      <c r="BB176"/>
      <c r="BF176" t="str">
        <f t="shared" si="59"/>
        <v/>
      </c>
      <c r="BG176" s="27" t="str">
        <f t="shared" si="60"/>
        <v/>
      </c>
      <c r="BH176" t="str">
        <f t="shared" si="61"/>
        <v/>
      </c>
      <c r="BL176" s="29" t="e">
        <f t="shared" si="64"/>
        <v>#N/A</v>
      </c>
      <c r="BM176" s="29" t="e">
        <f t="shared" si="65"/>
        <v>#N/A</v>
      </c>
    </row>
    <row r="177" spans="1:65" x14ac:dyDescent="0.35">
      <c r="A177">
        <f t="shared" si="46"/>
        <v>176</v>
      </c>
      <c r="B177" t="e" cm="1">
        <f t="array" ref="B177">INDEX(tblTrades[token_name],ROW()-1)</f>
        <v>#REF!</v>
      </c>
      <c r="C177" s="27" t="e" cm="1">
        <f t="array" ref="C177">INDEX(tblTrades[entry_date],ROW()-1)</f>
        <v>#REF!</v>
      </c>
      <c r="D177" s="2" t="e" cm="1">
        <f t="array" ref="D177">INDEX(tblTrades[entry_mc_actual],ROW()-1)</f>
        <v>#REF!</v>
      </c>
      <c r="E177" s="2" t="e" cm="1">
        <f t="array" ref="E177">INDEX(tblTrades[exit_mc_actual],ROW()-1)</f>
        <v>#REF!</v>
      </c>
      <c r="F177" s="3" t="e" cm="1">
        <f t="array" ref="F177">INDEX(tblTrades[time_in_trade_seconds],ROW()-1)</f>
        <v>#REF!</v>
      </c>
      <c r="G177" s="4" t="str" cm="1">
        <f t="array" ref="G177">IFERROR(INDEX(tblTrades[pnl_percentage],ROW()-1)*1,"")</f>
        <v/>
      </c>
      <c r="H177" s="5" t="str" cm="1">
        <f t="array" ref="H177">IFERROR(INDEX(tblTrades[pnl_sol],ROW()-1)*1,"")</f>
        <v/>
      </c>
      <c r="I177" t="str">
        <f t="shared" si="47"/>
        <v/>
      </c>
      <c r="J177" t="str">
        <f t="shared" si="48"/>
        <v/>
      </c>
      <c r="K177" t="str">
        <f t="shared" si="49"/>
        <v/>
      </c>
      <c r="L177" s="20" t="str" cm="1">
        <f t="array" ref="L177">IFERROR(INDEX(tblTrades[sol_invested],ROW()-1),"")</f>
        <v/>
      </c>
      <c r="M177" s="1">
        <f>COUNTIFS(tblAnalysis[Token],tblAnalysis[[#This Row],[Token]])</f>
        <v>0</v>
      </c>
      <c r="N177" s="1">
        <f>COUNTIFS($B$2:B177,tblAnalysis[[#This Row],[Token]])</f>
        <v>0</v>
      </c>
      <c r="O177" s="5">
        <f>IFERROR(SUM($H$2:H177),"")</f>
        <v>0.40399999999999997</v>
      </c>
      <c r="P177" s="6"/>
      <c r="Q177" s="27"/>
      <c r="R177" s="6" t="str">
        <f>IF(Q177="","",SUMIFS(tblAnalysis[P&amp;L SOL],tblAnalysis[Date],Q177))</f>
        <v/>
      </c>
      <c r="S177" s="10" t="str">
        <f>IF(Q177="","",SUMIFS(tblAnalysis[P&amp;L %],tblAnalysis[Date],Q177))</f>
        <v/>
      </c>
      <c r="T177" s="6" t="str">
        <f>IF(Q177="","",IFERROR(SUM($R$2:R177),""))</f>
        <v/>
      </c>
      <c r="U177" t="str">
        <f>IF(Q177="","",COUNTIFS(tblAnalysis[Date],Q177))</f>
        <v/>
      </c>
      <c r="W177" s="27" t="str">
        <f t="shared" si="50"/>
        <v/>
      </c>
      <c r="X177" s="6" t="str">
        <f t="shared" si="51"/>
        <v/>
      </c>
      <c r="Y177" s="6" t="str">
        <f>IF(Q177="","",MAX(X177,_xlfn.MAXIFS(tblAnalysis[Cum P&amp;L SOL],tblAnalysis[Date],Q177)))</f>
        <v/>
      </c>
      <c r="Z177" s="6" t="str">
        <f>IF(Q177="","",MIN(X177,_xlfn.MINIFS(tblAnalysis[Cum P&amp;L SOL],tblAnalysis[Date],Q177)))</f>
        <v/>
      </c>
      <c r="AA177" s="6" t="str">
        <f t="shared" si="52"/>
        <v/>
      </c>
      <c r="AB177"/>
      <c r="AC177" s="27" t="str">
        <f t="shared" si="53"/>
        <v/>
      </c>
      <c r="AD177" s="10" t="str">
        <f t="shared" si="54"/>
        <v/>
      </c>
      <c r="AE177" s="10" t="str">
        <f t="shared" si="55"/>
        <v/>
      </c>
      <c r="AF177" s="10" t="str">
        <f t="shared" si="56"/>
        <v/>
      </c>
      <c r="AG177"/>
      <c r="AH177" t="str">
        <f t="shared" si="57"/>
        <v/>
      </c>
      <c r="AI177" t="str">
        <f t="shared" si="58"/>
        <v/>
      </c>
      <c r="AK177" cm="1">
        <f t="array" ref="AK177">IFERROR(IF(INDEX($A:$A,ROW())="","",INDEX($A:$A,ROW())),"")</f>
        <v>176</v>
      </c>
      <c r="AL177" t="str" cm="1">
        <f t="array" ref="AL177">IFERROR(INDEX(tblTrades[sol_invested],ROW()-1),"")</f>
        <v/>
      </c>
      <c r="AM177" s="6" t="str" cm="1">
        <f t="array" ref="AM177">IFERROR(INDEX(tblAnalysis[P&amp;L SOL],ROW()-1),"")</f>
        <v/>
      </c>
      <c r="AN177" t="str" cm="1">
        <f t="array" ref="AN177">IFERROR(IF(INDEX(tblTrades[sol_invested],ROW()-1)&gt;0.5,INDEX(tblAnalysis[Token],ROW()-1)&amp;" ("&amp;TEXT(INDEX(tblTrades[sol_invested],ROW()-1),"0.0")&amp;" SOL)",""),"")</f>
        <v/>
      </c>
      <c r="AO177" s="7" t="e" cm="1">
        <f t="array" ref="AO177">IF(INDEX(tblTrades[sol_invested],ROW()-1)&gt;0.5,INDEX(tblAnalysis[Cum P&amp;L SOL],ROW()-1),"")</f>
        <v>#REF!</v>
      </c>
      <c r="AP177" s="12" t="str" cm="1">
        <f t="array" ref="AP177">IFERROR(INDEX(tblAnalysis[Entry MC ($)],ROW()-1),"")</f>
        <v/>
      </c>
      <c r="AQ177" s="10" t="str" cm="1">
        <f t="array" ref="AQ177">IFERROR(INDEX(tblAnalysis[P&amp;L %],ROW()-1),"")</f>
        <v/>
      </c>
      <c r="AR177" t="str" cm="1">
        <f t="array" ref="AR177">IFERROR(INDEX(tblAnalysis[Hold Time (s)],ROW()-1),"")</f>
        <v/>
      </c>
      <c r="AS177" s="6" t="str" cm="1">
        <f t="array" ref="AS177">IFERROR(INDEX(tblAnalysis[P&amp;L SOL],ROW()-1),"")</f>
        <v/>
      </c>
      <c r="AT177"/>
      <c r="AY177" s="10"/>
      <c r="AZ177" s="10"/>
      <c r="BA177" s="6"/>
      <c r="BB177"/>
      <c r="BF177" t="str">
        <f t="shared" si="59"/>
        <v/>
      </c>
      <c r="BG177" s="27" t="str">
        <f t="shared" si="60"/>
        <v/>
      </c>
      <c r="BH177" t="str">
        <f t="shared" si="61"/>
        <v/>
      </c>
      <c r="BL177" s="29" t="e">
        <f t="shared" si="64"/>
        <v>#N/A</v>
      </c>
      <c r="BM177" s="29" t="e">
        <f t="shared" si="65"/>
        <v>#N/A</v>
      </c>
    </row>
    <row r="178" spans="1:65" x14ac:dyDescent="0.35">
      <c r="A178">
        <f t="shared" si="46"/>
        <v>177</v>
      </c>
      <c r="B178" t="e" cm="1">
        <f t="array" ref="B178">INDEX(tblTrades[token_name],ROW()-1)</f>
        <v>#REF!</v>
      </c>
      <c r="C178" s="27" t="e" cm="1">
        <f t="array" ref="C178">INDEX(tblTrades[entry_date],ROW()-1)</f>
        <v>#REF!</v>
      </c>
      <c r="D178" s="2" t="e" cm="1">
        <f t="array" ref="D178">INDEX(tblTrades[entry_mc_actual],ROW()-1)</f>
        <v>#REF!</v>
      </c>
      <c r="E178" s="2" t="e" cm="1">
        <f t="array" ref="E178">INDEX(tblTrades[exit_mc_actual],ROW()-1)</f>
        <v>#REF!</v>
      </c>
      <c r="F178" s="3" t="e" cm="1">
        <f t="array" ref="F178">INDEX(tblTrades[time_in_trade_seconds],ROW()-1)</f>
        <v>#REF!</v>
      </c>
      <c r="G178" s="4" t="str" cm="1">
        <f t="array" ref="G178">IFERROR(INDEX(tblTrades[pnl_percentage],ROW()-1)*1,"")</f>
        <v/>
      </c>
      <c r="H178" s="5" t="str" cm="1">
        <f t="array" ref="H178">IFERROR(INDEX(tblTrades[pnl_sol],ROW()-1)*1,"")</f>
        <v/>
      </c>
      <c r="I178" t="str">
        <f t="shared" si="47"/>
        <v/>
      </c>
      <c r="J178" t="str">
        <f t="shared" si="48"/>
        <v/>
      </c>
      <c r="K178" t="str">
        <f t="shared" si="49"/>
        <v/>
      </c>
      <c r="L178" s="20" t="str" cm="1">
        <f t="array" ref="L178">IFERROR(INDEX(tblTrades[sol_invested],ROW()-1),"")</f>
        <v/>
      </c>
      <c r="M178" s="1">
        <f>COUNTIFS(tblAnalysis[Token],tblAnalysis[[#This Row],[Token]])</f>
        <v>0</v>
      </c>
      <c r="N178" s="1">
        <f>COUNTIFS($B$2:B178,tblAnalysis[[#This Row],[Token]])</f>
        <v>0</v>
      </c>
      <c r="O178" s="5">
        <f>IFERROR(SUM($H$2:H178),"")</f>
        <v>0.40399999999999997</v>
      </c>
      <c r="P178" s="6"/>
      <c r="Q178" s="27"/>
      <c r="R178" s="6" t="str">
        <f>IF(Q178="","",SUMIFS(tblAnalysis[P&amp;L SOL],tblAnalysis[Date],Q178))</f>
        <v/>
      </c>
      <c r="S178" s="10" t="str">
        <f>IF(Q178="","",SUMIFS(tblAnalysis[P&amp;L %],tblAnalysis[Date],Q178))</f>
        <v/>
      </c>
      <c r="T178" s="6" t="str">
        <f>IF(Q178="","",IFERROR(SUM($R$2:R178),""))</f>
        <v/>
      </c>
      <c r="U178" t="str">
        <f>IF(Q178="","",COUNTIFS(tblAnalysis[Date],Q178))</f>
        <v/>
      </c>
      <c r="W178" s="27" t="str">
        <f t="shared" si="50"/>
        <v/>
      </c>
      <c r="X178" s="6" t="str">
        <f t="shared" si="51"/>
        <v/>
      </c>
      <c r="Y178" s="6" t="str">
        <f>IF(Q178="","",MAX(X178,_xlfn.MAXIFS(tblAnalysis[Cum P&amp;L SOL],tblAnalysis[Date],Q178)))</f>
        <v/>
      </c>
      <c r="Z178" s="6" t="str">
        <f>IF(Q178="","",MIN(X178,_xlfn.MINIFS(tblAnalysis[Cum P&amp;L SOL],tblAnalysis[Date],Q178)))</f>
        <v/>
      </c>
      <c r="AA178" s="6" t="str">
        <f t="shared" si="52"/>
        <v/>
      </c>
      <c r="AB178"/>
      <c r="AC178" s="27" t="str">
        <f t="shared" si="53"/>
        <v/>
      </c>
      <c r="AD178" s="10" t="str">
        <f t="shared" si="54"/>
        <v/>
      </c>
      <c r="AE178" s="10" t="str">
        <f t="shared" si="55"/>
        <v/>
      </c>
      <c r="AF178" s="10" t="str">
        <f t="shared" si="56"/>
        <v/>
      </c>
      <c r="AG178"/>
      <c r="AH178" t="str">
        <f t="shared" si="57"/>
        <v/>
      </c>
      <c r="AI178" t="str">
        <f t="shared" si="58"/>
        <v/>
      </c>
      <c r="AK178" cm="1">
        <f t="array" ref="AK178">IFERROR(IF(INDEX($A:$A,ROW())="","",INDEX($A:$A,ROW())),"")</f>
        <v>177</v>
      </c>
      <c r="AL178" t="str" cm="1">
        <f t="array" ref="AL178">IFERROR(INDEX(tblTrades[sol_invested],ROW()-1),"")</f>
        <v/>
      </c>
      <c r="AM178" s="6" t="str" cm="1">
        <f t="array" ref="AM178">IFERROR(INDEX(tblAnalysis[P&amp;L SOL],ROW()-1),"")</f>
        <v/>
      </c>
      <c r="AN178" t="str" cm="1">
        <f t="array" ref="AN178">IFERROR(IF(INDEX(tblTrades[sol_invested],ROW()-1)&gt;0.5,INDEX(tblAnalysis[Token],ROW()-1)&amp;" ("&amp;TEXT(INDEX(tblTrades[sol_invested],ROW()-1),"0.0")&amp;" SOL)",""),"")</f>
        <v/>
      </c>
      <c r="AO178" s="7" t="e" cm="1">
        <f t="array" ref="AO178">IF(INDEX(tblTrades[sol_invested],ROW()-1)&gt;0.5,INDEX(tblAnalysis[Cum P&amp;L SOL],ROW()-1),"")</f>
        <v>#REF!</v>
      </c>
      <c r="AP178" s="12" t="str" cm="1">
        <f t="array" ref="AP178">IFERROR(INDEX(tblAnalysis[Entry MC ($)],ROW()-1),"")</f>
        <v/>
      </c>
      <c r="AQ178" s="10" t="str" cm="1">
        <f t="array" ref="AQ178">IFERROR(INDEX(tblAnalysis[P&amp;L %],ROW()-1),"")</f>
        <v/>
      </c>
      <c r="AR178" t="str" cm="1">
        <f t="array" ref="AR178">IFERROR(INDEX(tblAnalysis[Hold Time (s)],ROW()-1),"")</f>
        <v/>
      </c>
      <c r="AS178" s="6" t="str" cm="1">
        <f t="array" ref="AS178">IFERROR(INDEX(tblAnalysis[P&amp;L SOL],ROW()-1),"")</f>
        <v/>
      </c>
      <c r="AT178"/>
      <c r="AY178" s="10"/>
      <c r="AZ178" s="10"/>
      <c r="BA178" s="6"/>
      <c r="BB178"/>
      <c r="BF178" t="str">
        <f t="shared" si="59"/>
        <v/>
      </c>
      <c r="BG178" s="27" t="str">
        <f t="shared" si="60"/>
        <v/>
      </c>
      <c r="BH178" t="str">
        <f t="shared" si="61"/>
        <v/>
      </c>
      <c r="BL178" s="29" t="e">
        <f t="shared" si="64"/>
        <v>#N/A</v>
      </c>
      <c r="BM178" s="29" t="e">
        <f t="shared" si="65"/>
        <v>#N/A</v>
      </c>
    </row>
    <row r="179" spans="1:65" x14ac:dyDescent="0.35">
      <c r="A179">
        <f t="shared" si="46"/>
        <v>178</v>
      </c>
      <c r="B179" t="e" cm="1">
        <f t="array" ref="B179">INDEX(tblTrades[token_name],ROW()-1)</f>
        <v>#REF!</v>
      </c>
      <c r="C179" s="27" t="e" cm="1">
        <f t="array" ref="C179">INDEX(tblTrades[entry_date],ROW()-1)</f>
        <v>#REF!</v>
      </c>
      <c r="D179" s="2" t="e" cm="1">
        <f t="array" ref="D179">INDEX(tblTrades[entry_mc_actual],ROW()-1)</f>
        <v>#REF!</v>
      </c>
      <c r="E179" s="2" t="e" cm="1">
        <f t="array" ref="E179">INDEX(tblTrades[exit_mc_actual],ROW()-1)</f>
        <v>#REF!</v>
      </c>
      <c r="F179" s="3" t="e" cm="1">
        <f t="array" ref="F179">INDEX(tblTrades[time_in_trade_seconds],ROW()-1)</f>
        <v>#REF!</v>
      </c>
      <c r="G179" s="4" t="str" cm="1">
        <f t="array" ref="G179">IFERROR(INDEX(tblTrades[pnl_percentage],ROW()-1)*1,"")</f>
        <v/>
      </c>
      <c r="H179" s="5" t="str" cm="1">
        <f t="array" ref="H179">IFERROR(INDEX(tblTrades[pnl_sol],ROW()-1)*1,"")</f>
        <v/>
      </c>
      <c r="I179" t="str">
        <f t="shared" si="47"/>
        <v/>
      </c>
      <c r="J179" t="str">
        <f t="shared" si="48"/>
        <v/>
      </c>
      <c r="K179" t="str">
        <f t="shared" si="49"/>
        <v/>
      </c>
      <c r="L179" s="20" t="str" cm="1">
        <f t="array" ref="L179">IFERROR(INDEX(tblTrades[sol_invested],ROW()-1),"")</f>
        <v/>
      </c>
      <c r="M179" s="1">
        <f>COUNTIFS(tblAnalysis[Token],tblAnalysis[[#This Row],[Token]])</f>
        <v>0</v>
      </c>
      <c r="N179" s="1">
        <f>COUNTIFS($B$2:B179,tblAnalysis[[#This Row],[Token]])</f>
        <v>0</v>
      </c>
      <c r="O179" s="5">
        <f>IFERROR(SUM($H$2:H179),"")</f>
        <v>0.40399999999999997</v>
      </c>
      <c r="P179" s="6"/>
      <c r="Q179" s="27"/>
      <c r="R179" s="6" t="str">
        <f>IF(Q179="","",SUMIFS(tblAnalysis[P&amp;L SOL],tblAnalysis[Date],Q179))</f>
        <v/>
      </c>
      <c r="S179" s="10" t="str">
        <f>IF(Q179="","",SUMIFS(tblAnalysis[P&amp;L %],tblAnalysis[Date],Q179))</f>
        <v/>
      </c>
      <c r="T179" s="6" t="str">
        <f>IF(Q179="","",IFERROR(SUM($R$2:R179),""))</f>
        <v/>
      </c>
      <c r="U179" t="str">
        <f>IF(Q179="","",COUNTIFS(tblAnalysis[Date],Q179))</f>
        <v/>
      </c>
      <c r="W179" s="27" t="str">
        <f t="shared" si="50"/>
        <v/>
      </c>
      <c r="X179" s="6" t="str">
        <f t="shared" si="51"/>
        <v/>
      </c>
      <c r="Y179" s="6" t="str">
        <f>IF(Q179="","",MAX(X179,_xlfn.MAXIFS(tblAnalysis[Cum P&amp;L SOL],tblAnalysis[Date],Q179)))</f>
        <v/>
      </c>
      <c r="Z179" s="6" t="str">
        <f>IF(Q179="","",MIN(X179,_xlfn.MINIFS(tblAnalysis[Cum P&amp;L SOL],tblAnalysis[Date],Q179)))</f>
        <v/>
      </c>
      <c r="AA179" s="6" t="str">
        <f t="shared" si="52"/>
        <v/>
      </c>
      <c r="AB179"/>
      <c r="AC179" s="27" t="str">
        <f t="shared" si="53"/>
        <v/>
      </c>
      <c r="AD179" s="10" t="str">
        <f t="shared" si="54"/>
        <v/>
      </c>
      <c r="AE179" s="10" t="str">
        <f t="shared" si="55"/>
        <v/>
      </c>
      <c r="AF179" s="10" t="str">
        <f t="shared" si="56"/>
        <v/>
      </c>
      <c r="AG179"/>
      <c r="AH179" t="str">
        <f t="shared" si="57"/>
        <v/>
      </c>
      <c r="AI179" t="str">
        <f t="shared" si="58"/>
        <v/>
      </c>
      <c r="AK179" cm="1">
        <f t="array" ref="AK179">IFERROR(IF(INDEX($A:$A,ROW())="","",INDEX($A:$A,ROW())),"")</f>
        <v>178</v>
      </c>
      <c r="AL179" t="str" cm="1">
        <f t="array" ref="AL179">IFERROR(INDEX(tblTrades[sol_invested],ROW()-1),"")</f>
        <v/>
      </c>
      <c r="AM179" s="6" t="str" cm="1">
        <f t="array" ref="AM179">IFERROR(INDEX(tblAnalysis[P&amp;L SOL],ROW()-1),"")</f>
        <v/>
      </c>
      <c r="AN179" t="str" cm="1">
        <f t="array" ref="AN179">IFERROR(IF(INDEX(tblTrades[sol_invested],ROW()-1)&gt;0.5,INDEX(tblAnalysis[Token],ROW()-1)&amp;" ("&amp;TEXT(INDEX(tblTrades[sol_invested],ROW()-1),"0.0")&amp;" SOL)",""),"")</f>
        <v/>
      </c>
      <c r="AO179" s="7" t="e" cm="1">
        <f t="array" ref="AO179">IF(INDEX(tblTrades[sol_invested],ROW()-1)&gt;0.5,INDEX(tblAnalysis[Cum P&amp;L SOL],ROW()-1),"")</f>
        <v>#REF!</v>
      </c>
      <c r="AP179" s="12" t="str" cm="1">
        <f t="array" ref="AP179">IFERROR(INDEX(tblAnalysis[Entry MC ($)],ROW()-1),"")</f>
        <v/>
      </c>
      <c r="AQ179" s="10" t="str" cm="1">
        <f t="array" ref="AQ179">IFERROR(INDEX(tblAnalysis[P&amp;L %],ROW()-1),"")</f>
        <v/>
      </c>
      <c r="AR179" t="str" cm="1">
        <f t="array" ref="AR179">IFERROR(INDEX(tblAnalysis[Hold Time (s)],ROW()-1),"")</f>
        <v/>
      </c>
      <c r="AS179" s="6" t="str" cm="1">
        <f t="array" ref="AS179">IFERROR(INDEX(tblAnalysis[P&amp;L SOL],ROW()-1),"")</f>
        <v/>
      </c>
      <c r="AT179"/>
      <c r="AY179" s="10"/>
      <c r="AZ179" s="10"/>
      <c r="BA179" s="6"/>
      <c r="BB179"/>
      <c r="BF179" t="str">
        <f t="shared" si="59"/>
        <v/>
      </c>
      <c r="BG179" s="27" t="str">
        <f t="shared" si="60"/>
        <v/>
      </c>
      <c r="BH179" t="str">
        <f t="shared" si="61"/>
        <v/>
      </c>
      <c r="BL179" s="29" t="e">
        <f t="shared" si="64"/>
        <v>#N/A</v>
      </c>
      <c r="BM179" s="29" t="e">
        <f t="shared" si="65"/>
        <v>#N/A</v>
      </c>
    </row>
    <row r="180" spans="1:65" x14ac:dyDescent="0.35">
      <c r="A180">
        <f t="shared" si="46"/>
        <v>179</v>
      </c>
      <c r="B180" t="e" cm="1">
        <f t="array" ref="B180">INDEX(tblTrades[token_name],ROW()-1)</f>
        <v>#REF!</v>
      </c>
      <c r="C180" s="27" t="e" cm="1">
        <f t="array" ref="C180">INDEX(tblTrades[entry_date],ROW()-1)</f>
        <v>#REF!</v>
      </c>
      <c r="D180" s="2" t="e" cm="1">
        <f t="array" ref="D180">INDEX(tblTrades[entry_mc_actual],ROW()-1)</f>
        <v>#REF!</v>
      </c>
      <c r="E180" s="2" t="e" cm="1">
        <f t="array" ref="E180">INDEX(tblTrades[exit_mc_actual],ROW()-1)</f>
        <v>#REF!</v>
      </c>
      <c r="F180" s="3" t="e" cm="1">
        <f t="array" ref="F180">INDEX(tblTrades[time_in_trade_seconds],ROW()-1)</f>
        <v>#REF!</v>
      </c>
      <c r="G180" s="4" t="str" cm="1">
        <f t="array" ref="G180">IFERROR(INDEX(tblTrades[pnl_percentage],ROW()-1)*1,"")</f>
        <v/>
      </c>
      <c r="H180" s="5" t="str" cm="1">
        <f t="array" ref="H180">IFERROR(INDEX(tblTrades[pnl_sol],ROW()-1)*1,"")</f>
        <v/>
      </c>
      <c r="I180" t="str">
        <f t="shared" si="47"/>
        <v/>
      </c>
      <c r="J180" t="str">
        <f t="shared" si="48"/>
        <v/>
      </c>
      <c r="K180" t="str">
        <f t="shared" si="49"/>
        <v/>
      </c>
      <c r="L180" s="20" t="str" cm="1">
        <f t="array" ref="L180">IFERROR(INDEX(tblTrades[sol_invested],ROW()-1),"")</f>
        <v/>
      </c>
      <c r="M180" s="1">
        <f>COUNTIFS(tblAnalysis[Token],tblAnalysis[[#This Row],[Token]])</f>
        <v>0</v>
      </c>
      <c r="N180" s="1">
        <f>COUNTIFS($B$2:B180,tblAnalysis[[#This Row],[Token]])</f>
        <v>0</v>
      </c>
      <c r="O180" s="5">
        <f>IFERROR(SUM($H$2:H180),"")</f>
        <v>0.40399999999999997</v>
      </c>
      <c r="P180" s="6"/>
      <c r="Q180" s="27"/>
      <c r="R180" s="6" t="str">
        <f>IF(Q180="","",SUMIFS(tblAnalysis[P&amp;L SOL],tblAnalysis[Date],Q180))</f>
        <v/>
      </c>
      <c r="S180" s="10" t="str">
        <f>IF(Q180="","",SUMIFS(tblAnalysis[P&amp;L %],tblAnalysis[Date],Q180))</f>
        <v/>
      </c>
      <c r="T180" s="6" t="str">
        <f>IF(Q180="","",IFERROR(SUM($R$2:R180),""))</f>
        <v/>
      </c>
      <c r="U180" t="str">
        <f>IF(Q180="","",COUNTIFS(tblAnalysis[Date],Q180))</f>
        <v/>
      </c>
      <c r="W180" s="27" t="str">
        <f t="shared" si="50"/>
        <v/>
      </c>
      <c r="X180" s="6" t="str">
        <f t="shared" si="51"/>
        <v/>
      </c>
      <c r="Y180" s="6" t="str">
        <f>IF(Q180="","",MAX(X180,_xlfn.MAXIFS(tblAnalysis[Cum P&amp;L SOL],tblAnalysis[Date],Q180)))</f>
        <v/>
      </c>
      <c r="Z180" s="6" t="str">
        <f>IF(Q180="","",MIN(X180,_xlfn.MINIFS(tblAnalysis[Cum P&amp;L SOL],tblAnalysis[Date],Q180)))</f>
        <v/>
      </c>
      <c r="AA180" s="6" t="str">
        <f t="shared" si="52"/>
        <v/>
      </c>
      <c r="AB180"/>
      <c r="AC180" s="27" t="str">
        <f t="shared" si="53"/>
        <v/>
      </c>
      <c r="AD180" s="10" t="str">
        <f t="shared" si="54"/>
        <v/>
      </c>
      <c r="AE180" s="10" t="str">
        <f t="shared" si="55"/>
        <v/>
      </c>
      <c r="AF180" s="10" t="str">
        <f t="shared" si="56"/>
        <v/>
      </c>
      <c r="AG180"/>
      <c r="AH180" t="str">
        <f t="shared" si="57"/>
        <v/>
      </c>
      <c r="AI180" t="str">
        <f t="shared" si="58"/>
        <v/>
      </c>
      <c r="AK180" cm="1">
        <f t="array" ref="AK180">IFERROR(IF(INDEX($A:$A,ROW())="","",INDEX($A:$A,ROW())),"")</f>
        <v>179</v>
      </c>
      <c r="AL180" t="str" cm="1">
        <f t="array" ref="AL180">IFERROR(INDEX(tblTrades[sol_invested],ROW()-1),"")</f>
        <v/>
      </c>
      <c r="AM180" s="6" t="str" cm="1">
        <f t="array" ref="AM180">IFERROR(INDEX(tblAnalysis[P&amp;L SOL],ROW()-1),"")</f>
        <v/>
      </c>
      <c r="AN180" t="str" cm="1">
        <f t="array" ref="AN180">IFERROR(IF(INDEX(tblTrades[sol_invested],ROW()-1)&gt;0.5,INDEX(tblAnalysis[Token],ROW()-1)&amp;" ("&amp;TEXT(INDEX(tblTrades[sol_invested],ROW()-1),"0.0")&amp;" SOL)",""),"")</f>
        <v/>
      </c>
      <c r="AO180" s="7" t="e" cm="1">
        <f t="array" ref="AO180">IF(INDEX(tblTrades[sol_invested],ROW()-1)&gt;0.5,INDEX(tblAnalysis[Cum P&amp;L SOL],ROW()-1),"")</f>
        <v>#REF!</v>
      </c>
      <c r="AP180" s="12" t="str" cm="1">
        <f t="array" ref="AP180">IFERROR(INDEX(tblAnalysis[Entry MC ($)],ROW()-1),"")</f>
        <v/>
      </c>
      <c r="AQ180" s="10" t="str" cm="1">
        <f t="array" ref="AQ180">IFERROR(INDEX(tblAnalysis[P&amp;L %],ROW()-1),"")</f>
        <v/>
      </c>
      <c r="AR180" t="str" cm="1">
        <f t="array" ref="AR180">IFERROR(INDEX(tblAnalysis[Hold Time (s)],ROW()-1),"")</f>
        <v/>
      </c>
      <c r="AS180" s="6" t="str" cm="1">
        <f t="array" ref="AS180">IFERROR(INDEX(tblAnalysis[P&amp;L SOL],ROW()-1),"")</f>
        <v/>
      </c>
      <c r="AT180"/>
      <c r="AY180" s="10"/>
      <c r="AZ180" s="10"/>
      <c r="BA180" s="6"/>
      <c r="BB180"/>
      <c r="BF180" t="str">
        <f t="shared" si="59"/>
        <v/>
      </c>
      <c r="BG180" s="27" t="str">
        <f t="shared" si="60"/>
        <v/>
      </c>
      <c r="BH180" t="str">
        <f t="shared" si="61"/>
        <v/>
      </c>
      <c r="BL180" s="29" t="e">
        <f t="shared" si="64"/>
        <v>#N/A</v>
      </c>
      <c r="BM180" s="29" t="e">
        <f t="shared" si="65"/>
        <v>#N/A</v>
      </c>
    </row>
    <row r="181" spans="1:65" x14ac:dyDescent="0.35">
      <c r="A181">
        <f t="shared" si="46"/>
        <v>180</v>
      </c>
      <c r="B181" t="e" cm="1">
        <f t="array" ref="B181">INDEX(tblTrades[token_name],ROW()-1)</f>
        <v>#REF!</v>
      </c>
      <c r="C181" s="27" t="e" cm="1">
        <f t="array" ref="C181">INDEX(tblTrades[entry_date],ROW()-1)</f>
        <v>#REF!</v>
      </c>
      <c r="D181" s="2" t="e" cm="1">
        <f t="array" ref="D181">INDEX(tblTrades[entry_mc_actual],ROW()-1)</f>
        <v>#REF!</v>
      </c>
      <c r="E181" s="2" t="e" cm="1">
        <f t="array" ref="E181">INDEX(tblTrades[exit_mc_actual],ROW()-1)</f>
        <v>#REF!</v>
      </c>
      <c r="F181" s="3" t="e" cm="1">
        <f t="array" ref="F181">INDEX(tblTrades[time_in_trade_seconds],ROW()-1)</f>
        <v>#REF!</v>
      </c>
      <c r="G181" s="4" t="str" cm="1">
        <f t="array" ref="G181">IFERROR(INDEX(tblTrades[pnl_percentage],ROW()-1)*1,"")</f>
        <v/>
      </c>
      <c r="H181" s="5" t="str" cm="1">
        <f t="array" ref="H181">IFERROR(INDEX(tblTrades[pnl_sol],ROW()-1)*1,"")</f>
        <v/>
      </c>
      <c r="I181" t="str">
        <f t="shared" si="47"/>
        <v/>
      </c>
      <c r="J181" t="str">
        <f t="shared" si="48"/>
        <v/>
      </c>
      <c r="K181" t="str">
        <f t="shared" si="49"/>
        <v/>
      </c>
      <c r="L181" s="20" t="str" cm="1">
        <f t="array" ref="L181">IFERROR(INDEX(tblTrades[sol_invested],ROW()-1),"")</f>
        <v/>
      </c>
      <c r="M181" s="1">
        <f>COUNTIFS(tblAnalysis[Token],tblAnalysis[[#This Row],[Token]])</f>
        <v>0</v>
      </c>
      <c r="N181" s="1">
        <f>COUNTIFS($B$2:B181,tblAnalysis[[#This Row],[Token]])</f>
        <v>0</v>
      </c>
      <c r="O181" s="5">
        <f>IFERROR(SUM($H$2:H181),"")</f>
        <v>0.40399999999999997</v>
      </c>
      <c r="P181" s="6"/>
      <c r="Q181" s="27"/>
      <c r="R181" s="6" t="str">
        <f>IF(Q181="","",SUMIFS(tblAnalysis[P&amp;L SOL],tblAnalysis[Date],Q181))</f>
        <v/>
      </c>
      <c r="S181" s="10" t="str">
        <f>IF(Q181="","",SUMIFS(tblAnalysis[P&amp;L %],tblAnalysis[Date],Q181))</f>
        <v/>
      </c>
      <c r="T181" s="6" t="str">
        <f>IF(Q181="","",IFERROR(SUM($R$2:R181),""))</f>
        <v/>
      </c>
      <c r="U181" t="str">
        <f>IF(Q181="","",COUNTIFS(tblAnalysis[Date],Q181))</f>
        <v/>
      </c>
      <c r="W181" s="27" t="str">
        <f t="shared" si="50"/>
        <v/>
      </c>
      <c r="X181" s="6" t="str">
        <f t="shared" si="51"/>
        <v/>
      </c>
      <c r="Y181" s="6" t="str">
        <f>IF(Q181="","",MAX(X181,_xlfn.MAXIFS(tblAnalysis[Cum P&amp;L SOL],tblAnalysis[Date],Q181)))</f>
        <v/>
      </c>
      <c r="Z181" s="6" t="str">
        <f>IF(Q181="","",MIN(X181,_xlfn.MINIFS(tblAnalysis[Cum P&amp;L SOL],tblAnalysis[Date],Q181)))</f>
        <v/>
      </c>
      <c r="AA181" s="6" t="str">
        <f t="shared" si="52"/>
        <v/>
      </c>
      <c r="AB181"/>
      <c r="AC181" s="27" t="str">
        <f t="shared" si="53"/>
        <v/>
      </c>
      <c r="AD181" s="10" t="str">
        <f t="shared" si="54"/>
        <v/>
      </c>
      <c r="AE181" s="10" t="str">
        <f t="shared" si="55"/>
        <v/>
      </c>
      <c r="AF181" s="10" t="str">
        <f t="shared" si="56"/>
        <v/>
      </c>
      <c r="AG181"/>
      <c r="AH181" t="str">
        <f t="shared" si="57"/>
        <v/>
      </c>
      <c r="AI181" t="str">
        <f t="shared" si="58"/>
        <v/>
      </c>
      <c r="AK181" cm="1">
        <f t="array" ref="AK181">IFERROR(IF(INDEX($A:$A,ROW())="","",INDEX($A:$A,ROW())),"")</f>
        <v>180</v>
      </c>
      <c r="AL181" t="str" cm="1">
        <f t="array" ref="AL181">IFERROR(INDEX(tblTrades[sol_invested],ROW()-1),"")</f>
        <v/>
      </c>
      <c r="AM181" s="6" t="str" cm="1">
        <f t="array" ref="AM181">IFERROR(INDEX(tblAnalysis[P&amp;L SOL],ROW()-1),"")</f>
        <v/>
      </c>
      <c r="AN181" t="str" cm="1">
        <f t="array" ref="AN181">IFERROR(IF(INDEX(tblTrades[sol_invested],ROW()-1)&gt;0.5,INDEX(tblAnalysis[Token],ROW()-1)&amp;" ("&amp;TEXT(INDEX(tblTrades[sol_invested],ROW()-1),"0.0")&amp;" SOL)",""),"")</f>
        <v/>
      </c>
      <c r="AO181" s="7" t="e" cm="1">
        <f t="array" ref="AO181">IF(INDEX(tblTrades[sol_invested],ROW()-1)&gt;0.5,INDEX(tblAnalysis[Cum P&amp;L SOL],ROW()-1),"")</f>
        <v>#REF!</v>
      </c>
      <c r="AP181" s="12" t="str" cm="1">
        <f t="array" ref="AP181">IFERROR(INDEX(tblAnalysis[Entry MC ($)],ROW()-1),"")</f>
        <v/>
      </c>
      <c r="AQ181" s="10" t="str" cm="1">
        <f t="array" ref="AQ181">IFERROR(INDEX(tblAnalysis[P&amp;L %],ROW()-1),"")</f>
        <v/>
      </c>
      <c r="AR181" t="str" cm="1">
        <f t="array" ref="AR181">IFERROR(INDEX(tblAnalysis[Hold Time (s)],ROW()-1),"")</f>
        <v/>
      </c>
      <c r="AS181" s="6" t="str" cm="1">
        <f t="array" ref="AS181">IFERROR(INDEX(tblAnalysis[P&amp;L SOL],ROW()-1),"")</f>
        <v/>
      </c>
      <c r="AT181"/>
      <c r="AY181" s="10"/>
      <c r="AZ181" s="10"/>
      <c r="BA181" s="6"/>
      <c r="BB181"/>
      <c r="BF181" t="str">
        <f t="shared" si="59"/>
        <v/>
      </c>
      <c r="BG181" s="27" t="str">
        <f t="shared" si="60"/>
        <v/>
      </c>
      <c r="BH181" t="str">
        <f t="shared" si="61"/>
        <v/>
      </c>
      <c r="BL181" s="29" t="e">
        <f t="shared" si="64"/>
        <v>#N/A</v>
      </c>
      <c r="BM181" s="29" t="e">
        <f t="shared" si="65"/>
        <v>#N/A</v>
      </c>
    </row>
    <row r="182" spans="1:65" x14ac:dyDescent="0.35">
      <c r="A182">
        <f t="shared" si="46"/>
        <v>181</v>
      </c>
      <c r="B182" t="e" cm="1">
        <f t="array" ref="B182">INDEX(tblTrades[token_name],ROW()-1)</f>
        <v>#REF!</v>
      </c>
      <c r="C182" s="27" t="e" cm="1">
        <f t="array" ref="C182">INDEX(tblTrades[entry_date],ROW()-1)</f>
        <v>#REF!</v>
      </c>
      <c r="D182" s="2" t="e" cm="1">
        <f t="array" ref="D182">INDEX(tblTrades[entry_mc_actual],ROW()-1)</f>
        <v>#REF!</v>
      </c>
      <c r="E182" s="2" t="e" cm="1">
        <f t="array" ref="E182">INDEX(tblTrades[exit_mc_actual],ROW()-1)</f>
        <v>#REF!</v>
      </c>
      <c r="F182" s="3" t="e" cm="1">
        <f t="array" ref="F182">INDEX(tblTrades[time_in_trade_seconds],ROW()-1)</f>
        <v>#REF!</v>
      </c>
      <c r="G182" s="4" t="str" cm="1">
        <f t="array" ref="G182">IFERROR(INDEX(tblTrades[pnl_percentage],ROW()-1)*1,"")</f>
        <v/>
      </c>
      <c r="H182" s="5" t="str" cm="1">
        <f t="array" ref="H182">IFERROR(INDEX(tblTrades[pnl_sol],ROW()-1)*1,"")</f>
        <v/>
      </c>
      <c r="I182" t="str">
        <f t="shared" si="47"/>
        <v/>
      </c>
      <c r="J182" t="str">
        <f t="shared" si="48"/>
        <v/>
      </c>
      <c r="K182" t="str">
        <f t="shared" si="49"/>
        <v/>
      </c>
      <c r="L182" s="20" t="str" cm="1">
        <f t="array" ref="L182">IFERROR(INDEX(tblTrades[sol_invested],ROW()-1),"")</f>
        <v/>
      </c>
      <c r="M182" s="1">
        <f>COUNTIFS(tblAnalysis[Token],tblAnalysis[[#This Row],[Token]])</f>
        <v>0</v>
      </c>
      <c r="N182" s="1">
        <f>COUNTIFS($B$2:B182,tblAnalysis[[#This Row],[Token]])</f>
        <v>0</v>
      </c>
      <c r="O182" s="5">
        <f>IFERROR(SUM($H$2:H182),"")</f>
        <v>0.40399999999999997</v>
      </c>
      <c r="P182" s="6"/>
      <c r="Q182" s="27"/>
      <c r="R182" s="6" t="str">
        <f>IF(Q182="","",SUMIFS(tblAnalysis[P&amp;L SOL],tblAnalysis[Date],Q182))</f>
        <v/>
      </c>
      <c r="S182" s="10" t="str">
        <f>IF(Q182="","",SUMIFS(tblAnalysis[P&amp;L %],tblAnalysis[Date],Q182))</f>
        <v/>
      </c>
      <c r="T182" s="6" t="str">
        <f>IF(Q182="","",IFERROR(SUM($R$2:R182),""))</f>
        <v/>
      </c>
      <c r="U182" t="str">
        <f>IF(Q182="","",COUNTIFS(tblAnalysis[Date],Q182))</f>
        <v/>
      </c>
      <c r="W182" s="27" t="str">
        <f t="shared" si="50"/>
        <v/>
      </c>
      <c r="X182" s="6" t="str">
        <f t="shared" si="51"/>
        <v/>
      </c>
      <c r="Y182" s="6" t="str">
        <f>IF(Q182="","",MAX(X182,_xlfn.MAXIFS(tblAnalysis[Cum P&amp;L SOL],tblAnalysis[Date],Q182)))</f>
        <v/>
      </c>
      <c r="Z182" s="6" t="str">
        <f>IF(Q182="","",MIN(X182,_xlfn.MINIFS(tblAnalysis[Cum P&amp;L SOL],tblAnalysis[Date],Q182)))</f>
        <v/>
      </c>
      <c r="AA182" s="6" t="str">
        <f t="shared" si="52"/>
        <v/>
      </c>
      <c r="AB182"/>
      <c r="AC182" s="27" t="str">
        <f t="shared" si="53"/>
        <v/>
      </c>
      <c r="AD182" s="10" t="str">
        <f t="shared" si="54"/>
        <v/>
      </c>
      <c r="AE182" s="10" t="str">
        <f t="shared" si="55"/>
        <v/>
      </c>
      <c r="AF182" s="10" t="str">
        <f t="shared" si="56"/>
        <v/>
      </c>
      <c r="AG182"/>
      <c r="AH182" t="str">
        <f t="shared" si="57"/>
        <v/>
      </c>
      <c r="AI182" t="str">
        <f t="shared" si="58"/>
        <v/>
      </c>
      <c r="AK182" cm="1">
        <f t="array" ref="AK182">IFERROR(IF(INDEX($A:$A,ROW())="","",INDEX($A:$A,ROW())),"")</f>
        <v>181</v>
      </c>
      <c r="AL182" t="str" cm="1">
        <f t="array" ref="AL182">IFERROR(INDEX(tblTrades[sol_invested],ROW()-1),"")</f>
        <v/>
      </c>
      <c r="AM182" s="6" t="str" cm="1">
        <f t="array" ref="AM182">IFERROR(INDEX(tblAnalysis[P&amp;L SOL],ROW()-1),"")</f>
        <v/>
      </c>
      <c r="AN182" t="str" cm="1">
        <f t="array" ref="AN182">IFERROR(IF(INDEX(tblTrades[sol_invested],ROW()-1)&gt;0.5,INDEX(tblAnalysis[Token],ROW()-1)&amp;" ("&amp;TEXT(INDEX(tblTrades[sol_invested],ROW()-1),"0.0")&amp;" SOL)",""),"")</f>
        <v/>
      </c>
      <c r="AO182" s="7" t="e" cm="1">
        <f t="array" ref="AO182">IF(INDEX(tblTrades[sol_invested],ROW()-1)&gt;0.5,INDEX(tblAnalysis[Cum P&amp;L SOL],ROW()-1),"")</f>
        <v>#REF!</v>
      </c>
      <c r="AP182" s="12" t="str" cm="1">
        <f t="array" ref="AP182">IFERROR(INDEX(tblAnalysis[Entry MC ($)],ROW()-1),"")</f>
        <v/>
      </c>
      <c r="AQ182" s="10" t="str" cm="1">
        <f t="array" ref="AQ182">IFERROR(INDEX(tblAnalysis[P&amp;L %],ROW()-1),"")</f>
        <v/>
      </c>
      <c r="AR182" t="str" cm="1">
        <f t="array" ref="AR182">IFERROR(INDEX(tblAnalysis[Hold Time (s)],ROW()-1),"")</f>
        <v/>
      </c>
      <c r="AS182" s="6" t="str" cm="1">
        <f t="array" ref="AS182">IFERROR(INDEX(tblAnalysis[P&amp;L SOL],ROW()-1),"")</f>
        <v/>
      </c>
      <c r="AT182"/>
      <c r="AY182" s="10"/>
      <c r="AZ182" s="10"/>
      <c r="BA182" s="6"/>
      <c r="BB182"/>
      <c r="BF182" t="str">
        <f t="shared" si="59"/>
        <v/>
      </c>
      <c r="BG182" s="27" t="str">
        <f t="shared" si="60"/>
        <v/>
      </c>
      <c r="BH182" t="str">
        <f t="shared" si="61"/>
        <v/>
      </c>
      <c r="BL182" s="29" t="e">
        <f t="shared" si="64"/>
        <v>#N/A</v>
      </c>
      <c r="BM182" s="29" t="e">
        <f t="shared" si="65"/>
        <v>#N/A</v>
      </c>
    </row>
    <row r="183" spans="1:65" x14ac:dyDescent="0.35">
      <c r="A183">
        <f t="shared" si="46"/>
        <v>182</v>
      </c>
      <c r="B183" t="e" cm="1">
        <f t="array" ref="B183">INDEX(tblTrades[token_name],ROW()-1)</f>
        <v>#REF!</v>
      </c>
      <c r="C183" s="27" t="e" cm="1">
        <f t="array" ref="C183">INDEX(tblTrades[entry_date],ROW()-1)</f>
        <v>#REF!</v>
      </c>
      <c r="D183" s="2" t="e" cm="1">
        <f t="array" ref="D183">INDEX(tblTrades[entry_mc_actual],ROW()-1)</f>
        <v>#REF!</v>
      </c>
      <c r="E183" s="2" t="e" cm="1">
        <f t="array" ref="E183">INDEX(tblTrades[exit_mc_actual],ROW()-1)</f>
        <v>#REF!</v>
      </c>
      <c r="F183" s="3" t="e" cm="1">
        <f t="array" ref="F183">INDEX(tblTrades[time_in_trade_seconds],ROW()-1)</f>
        <v>#REF!</v>
      </c>
      <c r="G183" s="4" t="str" cm="1">
        <f t="array" ref="G183">IFERROR(INDEX(tblTrades[pnl_percentage],ROW()-1)*1,"")</f>
        <v/>
      </c>
      <c r="H183" s="5" t="str" cm="1">
        <f t="array" ref="H183">IFERROR(INDEX(tblTrades[pnl_sol],ROW()-1)*1,"")</f>
        <v/>
      </c>
      <c r="I183" t="str">
        <f t="shared" si="47"/>
        <v/>
      </c>
      <c r="J183" t="str">
        <f t="shared" si="48"/>
        <v/>
      </c>
      <c r="K183" t="str">
        <f t="shared" si="49"/>
        <v/>
      </c>
      <c r="L183" s="20" t="str" cm="1">
        <f t="array" ref="L183">IFERROR(INDEX(tblTrades[sol_invested],ROW()-1),"")</f>
        <v/>
      </c>
      <c r="M183" s="1">
        <f>COUNTIFS(tblAnalysis[Token],tblAnalysis[[#This Row],[Token]])</f>
        <v>0</v>
      </c>
      <c r="N183" s="1">
        <f>COUNTIFS($B$2:B183,tblAnalysis[[#This Row],[Token]])</f>
        <v>0</v>
      </c>
      <c r="O183" s="5">
        <f>IFERROR(SUM($H$2:H183),"")</f>
        <v>0.40399999999999997</v>
      </c>
      <c r="P183" s="6"/>
      <c r="Q183" s="27"/>
      <c r="R183" s="6" t="str">
        <f>IF(Q183="","",SUMIFS(tblAnalysis[P&amp;L SOL],tblAnalysis[Date],Q183))</f>
        <v/>
      </c>
      <c r="S183" s="10" t="str">
        <f>IF(Q183="","",SUMIFS(tblAnalysis[P&amp;L %],tblAnalysis[Date],Q183))</f>
        <v/>
      </c>
      <c r="T183" s="6" t="str">
        <f>IF(Q183="","",IFERROR(SUM($R$2:R183),""))</f>
        <v/>
      </c>
      <c r="U183" t="str">
        <f>IF(Q183="","",COUNTIFS(tblAnalysis[Date],Q183))</f>
        <v/>
      </c>
      <c r="W183" s="27" t="str">
        <f t="shared" si="50"/>
        <v/>
      </c>
      <c r="X183" s="6" t="str">
        <f t="shared" si="51"/>
        <v/>
      </c>
      <c r="Y183" s="6" t="str">
        <f>IF(Q183="","",MAX(X183,_xlfn.MAXIFS(tblAnalysis[Cum P&amp;L SOL],tblAnalysis[Date],Q183)))</f>
        <v/>
      </c>
      <c r="Z183" s="6" t="str">
        <f>IF(Q183="","",MIN(X183,_xlfn.MINIFS(tblAnalysis[Cum P&amp;L SOL],tblAnalysis[Date],Q183)))</f>
        <v/>
      </c>
      <c r="AA183" s="6" t="str">
        <f t="shared" si="52"/>
        <v/>
      </c>
      <c r="AB183"/>
      <c r="AC183" s="27" t="str">
        <f t="shared" si="53"/>
        <v/>
      </c>
      <c r="AD183" s="10" t="str">
        <f t="shared" si="54"/>
        <v/>
      </c>
      <c r="AE183" s="10" t="str">
        <f t="shared" si="55"/>
        <v/>
      </c>
      <c r="AF183" s="10" t="str">
        <f t="shared" si="56"/>
        <v/>
      </c>
      <c r="AG183"/>
      <c r="AH183" t="str">
        <f t="shared" si="57"/>
        <v/>
      </c>
      <c r="AI183" t="str">
        <f t="shared" si="58"/>
        <v/>
      </c>
      <c r="AK183" cm="1">
        <f t="array" ref="AK183">IFERROR(IF(INDEX($A:$A,ROW())="","",INDEX($A:$A,ROW())),"")</f>
        <v>182</v>
      </c>
      <c r="AL183" t="str" cm="1">
        <f t="array" ref="AL183">IFERROR(INDEX(tblTrades[sol_invested],ROW()-1),"")</f>
        <v/>
      </c>
      <c r="AM183" s="6" t="str" cm="1">
        <f t="array" ref="AM183">IFERROR(INDEX(tblAnalysis[P&amp;L SOL],ROW()-1),"")</f>
        <v/>
      </c>
      <c r="AN183" t="str" cm="1">
        <f t="array" ref="AN183">IFERROR(IF(INDEX(tblTrades[sol_invested],ROW()-1)&gt;0.5,INDEX(tblAnalysis[Token],ROW()-1)&amp;" ("&amp;TEXT(INDEX(tblTrades[sol_invested],ROW()-1),"0.0")&amp;" SOL)",""),"")</f>
        <v/>
      </c>
      <c r="AO183" s="7" t="e" cm="1">
        <f t="array" ref="AO183">IF(INDEX(tblTrades[sol_invested],ROW()-1)&gt;0.5,INDEX(tblAnalysis[Cum P&amp;L SOL],ROW()-1),"")</f>
        <v>#REF!</v>
      </c>
      <c r="AP183" s="12" t="str" cm="1">
        <f t="array" ref="AP183">IFERROR(INDEX(tblAnalysis[Entry MC ($)],ROW()-1),"")</f>
        <v/>
      </c>
      <c r="AQ183" s="10" t="str" cm="1">
        <f t="array" ref="AQ183">IFERROR(INDEX(tblAnalysis[P&amp;L %],ROW()-1),"")</f>
        <v/>
      </c>
      <c r="AR183" t="str" cm="1">
        <f t="array" ref="AR183">IFERROR(INDEX(tblAnalysis[Hold Time (s)],ROW()-1),"")</f>
        <v/>
      </c>
      <c r="AS183" s="6" t="str" cm="1">
        <f t="array" ref="AS183">IFERROR(INDEX(tblAnalysis[P&amp;L SOL],ROW()-1),"")</f>
        <v/>
      </c>
      <c r="AT183"/>
      <c r="AY183" s="10"/>
      <c r="AZ183" s="10"/>
      <c r="BA183" s="6"/>
      <c r="BB183"/>
      <c r="BF183" t="str">
        <f t="shared" si="59"/>
        <v/>
      </c>
      <c r="BG183" s="27" t="str">
        <f t="shared" si="60"/>
        <v/>
      </c>
      <c r="BH183" t="str">
        <f t="shared" si="61"/>
        <v/>
      </c>
      <c r="BL183" s="29" t="e">
        <f t="shared" si="64"/>
        <v>#N/A</v>
      </c>
      <c r="BM183" s="29" t="e">
        <f t="shared" si="65"/>
        <v>#N/A</v>
      </c>
    </row>
    <row r="184" spans="1:65" x14ac:dyDescent="0.35">
      <c r="A184">
        <f t="shared" si="46"/>
        <v>183</v>
      </c>
      <c r="B184" t="e" cm="1">
        <f t="array" ref="B184">INDEX(tblTrades[token_name],ROW()-1)</f>
        <v>#REF!</v>
      </c>
      <c r="C184" s="27" t="e" cm="1">
        <f t="array" ref="C184">INDEX(tblTrades[entry_date],ROW()-1)</f>
        <v>#REF!</v>
      </c>
      <c r="D184" s="2" t="e" cm="1">
        <f t="array" ref="D184">INDEX(tblTrades[entry_mc_actual],ROW()-1)</f>
        <v>#REF!</v>
      </c>
      <c r="E184" s="2" t="e" cm="1">
        <f t="array" ref="E184">INDEX(tblTrades[exit_mc_actual],ROW()-1)</f>
        <v>#REF!</v>
      </c>
      <c r="F184" s="3" t="e" cm="1">
        <f t="array" ref="F184">INDEX(tblTrades[time_in_trade_seconds],ROW()-1)</f>
        <v>#REF!</v>
      </c>
      <c r="G184" s="4" t="str" cm="1">
        <f t="array" ref="G184">IFERROR(INDEX(tblTrades[pnl_percentage],ROW()-1)*1,"")</f>
        <v/>
      </c>
      <c r="H184" s="5" t="str" cm="1">
        <f t="array" ref="H184">IFERROR(INDEX(tblTrades[pnl_sol],ROW()-1)*1,"")</f>
        <v/>
      </c>
      <c r="I184" t="str">
        <f t="shared" si="47"/>
        <v/>
      </c>
      <c r="J184" t="str">
        <f t="shared" si="48"/>
        <v/>
      </c>
      <c r="K184" t="str">
        <f t="shared" si="49"/>
        <v/>
      </c>
      <c r="L184" s="20" t="str" cm="1">
        <f t="array" ref="L184">IFERROR(INDEX(tblTrades[sol_invested],ROW()-1),"")</f>
        <v/>
      </c>
      <c r="M184" s="1">
        <f>COUNTIFS(tblAnalysis[Token],tblAnalysis[[#This Row],[Token]])</f>
        <v>0</v>
      </c>
      <c r="N184" s="1">
        <f>COUNTIFS($B$2:B184,tblAnalysis[[#This Row],[Token]])</f>
        <v>0</v>
      </c>
      <c r="O184" s="5">
        <f>IFERROR(SUM($H$2:H184),"")</f>
        <v>0.40399999999999997</v>
      </c>
      <c r="P184" s="6"/>
      <c r="Q184" s="27"/>
      <c r="R184" s="6" t="str">
        <f>IF(Q184="","",SUMIFS(tblAnalysis[P&amp;L SOL],tblAnalysis[Date],Q184))</f>
        <v/>
      </c>
      <c r="S184" s="10" t="str">
        <f>IF(Q184="","",SUMIFS(tblAnalysis[P&amp;L %],tblAnalysis[Date],Q184))</f>
        <v/>
      </c>
      <c r="T184" s="6" t="str">
        <f>IF(Q184="","",IFERROR(SUM($R$2:R184),""))</f>
        <v/>
      </c>
      <c r="U184" t="str">
        <f>IF(Q184="","",COUNTIFS(tblAnalysis[Date],Q184))</f>
        <v/>
      </c>
      <c r="W184" s="27" t="str">
        <f t="shared" si="50"/>
        <v/>
      </c>
      <c r="X184" s="6" t="str">
        <f t="shared" si="51"/>
        <v/>
      </c>
      <c r="Y184" s="6" t="str">
        <f>IF(Q184="","",MAX(X184,_xlfn.MAXIFS(tblAnalysis[Cum P&amp;L SOL],tblAnalysis[Date],Q184)))</f>
        <v/>
      </c>
      <c r="Z184" s="6" t="str">
        <f>IF(Q184="","",MIN(X184,_xlfn.MINIFS(tblAnalysis[Cum P&amp;L SOL],tblAnalysis[Date],Q184)))</f>
        <v/>
      </c>
      <c r="AA184" s="6" t="str">
        <f t="shared" si="52"/>
        <v/>
      </c>
      <c r="AB184"/>
      <c r="AC184" s="27" t="str">
        <f t="shared" si="53"/>
        <v/>
      </c>
      <c r="AD184" s="10" t="str">
        <f t="shared" si="54"/>
        <v/>
      </c>
      <c r="AE184" s="10" t="str">
        <f t="shared" si="55"/>
        <v/>
      </c>
      <c r="AF184" s="10" t="str">
        <f t="shared" si="56"/>
        <v/>
      </c>
      <c r="AG184"/>
      <c r="AH184" t="str">
        <f t="shared" si="57"/>
        <v/>
      </c>
      <c r="AI184" t="str">
        <f t="shared" si="58"/>
        <v/>
      </c>
      <c r="AK184" cm="1">
        <f t="array" ref="AK184">IFERROR(IF(INDEX($A:$A,ROW())="","",INDEX($A:$A,ROW())),"")</f>
        <v>183</v>
      </c>
      <c r="AL184" t="str" cm="1">
        <f t="array" ref="AL184">IFERROR(INDEX(tblTrades[sol_invested],ROW()-1),"")</f>
        <v/>
      </c>
      <c r="AM184" s="6" t="str" cm="1">
        <f t="array" ref="AM184">IFERROR(INDEX(tblAnalysis[P&amp;L SOL],ROW()-1),"")</f>
        <v/>
      </c>
      <c r="AN184" t="str" cm="1">
        <f t="array" ref="AN184">IFERROR(IF(INDEX(tblTrades[sol_invested],ROW()-1)&gt;0.5,INDEX(tblAnalysis[Token],ROW()-1)&amp;" ("&amp;TEXT(INDEX(tblTrades[sol_invested],ROW()-1),"0.0")&amp;" SOL)",""),"")</f>
        <v/>
      </c>
      <c r="AO184" s="7" t="e" cm="1">
        <f t="array" ref="AO184">IF(INDEX(tblTrades[sol_invested],ROW()-1)&gt;0.5,INDEX(tblAnalysis[Cum P&amp;L SOL],ROW()-1),"")</f>
        <v>#REF!</v>
      </c>
      <c r="AP184" s="12" t="str" cm="1">
        <f t="array" ref="AP184">IFERROR(INDEX(tblAnalysis[Entry MC ($)],ROW()-1),"")</f>
        <v/>
      </c>
      <c r="AQ184" s="10" t="str" cm="1">
        <f t="array" ref="AQ184">IFERROR(INDEX(tblAnalysis[P&amp;L %],ROW()-1),"")</f>
        <v/>
      </c>
      <c r="AR184" t="str" cm="1">
        <f t="array" ref="AR184">IFERROR(INDEX(tblAnalysis[Hold Time (s)],ROW()-1),"")</f>
        <v/>
      </c>
      <c r="AS184" s="6" t="str" cm="1">
        <f t="array" ref="AS184">IFERROR(INDEX(tblAnalysis[P&amp;L SOL],ROW()-1),"")</f>
        <v/>
      </c>
      <c r="AT184"/>
      <c r="AY184" s="10"/>
      <c r="AZ184" s="10"/>
      <c r="BA184" s="6"/>
      <c r="BB184"/>
      <c r="BF184" t="str">
        <f t="shared" si="59"/>
        <v/>
      </c>
      <c r="BG184" s="27" t="str">
        <f t="shared" si="60"/>
        <v/>
      </c>
      <c r="BH184" t="str">
        <f t="shared" si="61"/>
        <v/>
      </c>
      <c r="BL184" s="29" t="e">
        <f t="shared" si="64"/>
        <v>#N/A</v>
      </c>
      <c r="BM184" s="29" t="e">
        <f t="shared" si="65"/>
        <v>#N/A</v>
      </c>
    </row>
    <row r="185" spans="1:65" x14ac:dyDescent="0.35">
      <c r="A185">
        <f t="shared" si="46"/>
        <v>184</v>
      </c>
      <c r="B185" t="e" cm="1">
        <f t="array" ref="B185">INDEX(tblTrades[token_name],ROW()-1)</f>
        <v>#REF!</v>
      </c>
      <c r="C185" s="27" t="e" cm="1">
        <f t="array" ref="C185">INDEX(tblTrades[entry_date],ROW()-1)</f>
        <v>#REF!</v>
      </c>
      <c r="D185" s="2" t="e" cm="1">
        <f t="array" ref="D185">INDEX(tblTrades[entry_mc_actual],ROW()-1)</f>
        <v>#REF!</v>
      </c>
      <c r="E185" s="2" t="e" cm="1">
        <f t="array" ref="E185">INDEX(tblTrades[exit_mc_actual],ROW()-1)</f>
        <v>#REF!</v>
      </c>
      <c r="F185" s="3" t="e" cm="1">
        <f t="array" ref="F185">INDEX(tblTrades[time_in_trade_seconds],ROW()-1)</f>
        <v>#REF!</v>
      </c>
      <c r="G185" s="4" t="str" cm="1">
        <f t="array" ref="G185">IFERROR(INDEX(tblTrades[pnl_percentage],ROW()-1)*1,"")</f>
        <v/>
      </c>
      <c r="H185" s="5" t="str" cm="1">
        <f t="array" ref="H185">IFERROR(INDEX(tblTrades[pnl_sol],ROW()-1)*1,"")</f>
        <v/>
      </c>
      <c r="I185" t="str">
        <f t="shared" si="47"/>
        <v/>
      </c>
      <c r="J185" t="str">
        <f t="shared" si="48"/>
        <v/>
      </c>
      <c r="K185" t="str">
        <f t="shared" si="49"/>
        <v/>
      </c>
      <c r="L185" s="20" t="str" cm="1">
        <f t="array" ref="L185">IFERROR(INDEX(tblTrades[sol_invested],ROW()-1),"")</f>
        <v/>
      </c>
      <c r="M185" s="1">
        <f>COUNTIFS(tblAnalysis[Token],tblAnalysis[[#This Row],[Token]])</f>
        <v>0</v>
      </c>
      <c r="N185" s="1">
        <f>COUNTIFS($B$2:B3,tblAnalysis[[#This Row],[Token]])</f>
        <v>0</v>
      </c>
      <c r="O185" s="5">
        <f>IFERROR(SUM($H$2:H3),"")</f>
        <v>0.40399999999999997</v>
      </c>
      <c r="P185" s="6"/>
      <c r="Q185" s="27"/>
      <c r="R185" s="6" t="str">
        <f>IF(Q185="","",SUMIFS(tblAnalysis[P&amp;L SOL],tblAnalysis[Date],Q185))</f>
        <v/>
      </c>
      <c r="S185" s="10" t="str">
        <f>IF(Q185="","",SUMIFS(tblAnalysis[P&amp;L %],tblAnalysis[Date],Q185))</f>
        <v/>
      </c>
      <c r="T185" s="6" t="str">
        <f>IF(Q185="","",IFERROR(SUM($R$2:R185),""))</f>
        <v/>
      </c>
      <c r="U185" t="str">
        <f>IF(Q185="","",COUNTIFS(tblAnalysis[Date],Q185))</f>
        <v/>
      </c>
      <c r="W185" s="27" t="str">
        <f t="shared" si="50"/>
        <v/>
      </c>
      <c r="X185" s="6" t="str">
        <f t="shared" si="51"/>
        <v/>
      </c>
      <c r="Y185" s="6" t="str">
        <f>IF(Q185="","",MAX(X185,_xlfn.MAXIFS(tblAnalysis[Cum P&amp;L SOL],tblAnalysis[Date],Q185)))</f>
        <v/>
      </c>
      <c r="Z185" s="6" t="str">
        <f>IF(Q185="","",MIN(X185,_xlfn.MINIFS(tblAnalysis[Cum P&amp;L SOL],tblAnalysis[Date],Q185)))</f>
        <v/>
      </c>
      <c r="AA185" s="6" t="str">
        <f t="shared" si="52"/>
        <v/>
      </c>
      <c r="AB185"/>
      <c r="AC185" s="27" t="str">
        <f t="shared" si="53"/>
        <v/>
      </c>
      <c r="AD185" s="10" t="str">
        <f t="shared" si="54"/>
        <v/>
      </c>
      <c r="AE185" s="10" t="str">
        <f t="shared" si="55"/>
        <v/>
      </c>
      <c r="AF185" s="10" t="str">
        <f t="shared" si="56"/>
        <v/>
      </c>
      <c r="AG185"/>
      <c r="AH185" t="str">
        <f t="shared" si="57"/>
        <v/>
      </c>
      <c r="AI185" t="str">
        <f t="shared" si="58"/>
        <v/>
      </c>
      <c r="AK185" cm="1">
        <f t="array" ref="AK185">IFERROR(IF(INDEX($A:$A,ROW())="","",INDEX($A:$A,ROW())),"")</f>
        <v>184</v>
      </c>
      <c r="AL185" t="str" cm="1">
        <f t="array" ref="AL185">IFERROR(INDEX(tblTrades[sol_invested],ROW()-1),"")</f>
        <v/>
      </c>
      <c r="AM185" s="6" t="str" cm="1">
        <f t="array" ref="AM185">IFERROR(INDEX(tblAnalysis[P&amp;L SOL],ROW()-1),"")</f>
        <v/>
      </c>
      <c r="AN185" t="str" cm="1">
        <f t="array" ref="AN185">IFERROR(IF(INDEX(tblTrades[sol_invested],ROW()-1)&gt;0.5,INDEX(tblAnalysis[Token],ROW()-1)&amp;" ("&amp;TEXT(INDEX(tblTrades[sol_invested],ROW()-1),"0.0")&amp;" SOL)",""),"")</f>
        <v/>
      </c>
      <c r="AO185" s="7" t="e" cm="1">
        <f t="array" ref="AO185">IF(INDEX(tblTrades[sol_invested],ROW()-1)&gt;0.5,INDEX(tblAnalysis[Cum P&amp;L SOL],ROW()-1),"")</f>
        <v>#REF!</v>
      </c>
      <c r="AP185" s="12" t="str" cm="1">
        <f t="array" ref="AP185">IFERROR(INDEX(tblAnalysis[Entry MC ($)],ROW()-1),"")</f>
        <v/>
      </c>
      <c r="AQ185" s="10" t="str" cm="1">
        <f t="array" ref="AQ185">IFERROR(INDEX(tblAnalysis[P&amp;L %],ROW()-1),"")</f>
        <v/>
      </c>
      <c r="AR185" t="str" cm="1">
        <f t="array" ref="AR185">IFERROR(INDEX(tblAnalysis[Hold Time (s)],ROW()-1),"")</f>
        <v/>
      </c>
      <c r="AS185" s="6" t="str" cm="1">
        <f t="array" ref="AS185">IFERROR(INDEX(tblAnalysis[P&amp;L SOL],ROW()-1),"")</f>
        <v/>
      </c>
      <c r="AT185"/>
      <c r="AY185" s="10"/>
      <c r="AZ185" s="10"/>
      <c r="BA185" s="6"/>
      <c r="BB185"/>
      <c r="BF185" t="str">
        <f t="shared" si="59"/>
        <v/>
      </c>
      <c r="BG185" s="27" t="str">
        <f t="shared" si="60"/>
        <v/>
      </c>
      <c r="BH185" t="str">
        <f t="shared" si="61"/>
        <v/>
      </c>
      <c r="BL185" s="29" t="e">
        <f t="shared" si="64"/>
        <v>#N/A</v>
      </c>
      <c r="BM185" s="29" t="e">
        <f t="shared" si="65"/>
        <v>#N/A</v>
      </c>
    </row>
    <row r="186" spans="1:65" x14ac:dyDescent="0.35">
      <c r="P186" s="6"/>
      <c r="Q186" s="27"/>
      <c r="R186" s="6" t="str">
        <f>IF(Q186="","",SUMIFS(tblAnalysis[P&amp;L SOL],tblAnalysis[Date],Q186))</f>
        <v/>
      </c>
      <c r="S186" s="10" t="str">
        <f>IF(Q186="","",SUMIFS(tblAnalysis[P&amp;L %],tblAnalysis[Date],Q186))</f>
        <v/>
      </c>
      <c r="T186" s="6" t="str">
        <f>IF(Q186="","",IFERROR(SUM($R$2:R186),""))</f>
        <v/>
      </c>
      <c r="U186" t="str">
        <f>IF(Q186="","",COUNTIFS(tblAnalysis[Date],Q186))</f>
        <v/>
      </c>
      <c r="W186" s="27" t="str">
        <f t="shared" si="50"/>
        <v/>
      </c>
      <c r="X186" s="6" t="str">
        <f t="shared" si="51"/>
        <v/>
      </c>
      <c r="Y186" s="6" t="str">
        <f>IF(Q186="","",MAX(X186,_xlfn.MAXIFS(tblAnalysis[Cum P&amp;L SOL],tblAnalysis[Date],Q186)))</f>
        <v/>
      </c>
      <c r="Z186" s="6" t="str">
        <f>IF(Q186="","",MIN(X186,_xlfn.MINIFS(tblAnalysis[Cum P&amp;L SOL],tblAnalysis[Date],Q186)))</f>
        <v/>
      </c>
      <c r="AA186" s="6" t="str">
        <f t="shared" si="52"/>
        <v/>
      </c>
      <c r="AB186"/>
      <c r="AC186" s="27" t="str">
        <f t="shared" si="53"/>
        <v/>
      </c>
      <c r="AD186" s="10" t="str">
        <f t="shared" si="54"/>
        <v/>
      </c>
      <c r="AE186" s="10" t="str">
        <f t="shared" si="55"/>
        <v/>
      </c>
      <c r="AF186" s="10" t="str">
        <f t="shared" si="56"/>
        <v/>
      </c>
      <c r="AG186"/>
      <c r="AH186" t="str">
        <f t="shared" si="57"/>
        <v/>
      </c>
      <c r="AI186" t="str">
        <f t="shared" si="58"/>
        <v/>
      </c>
      <c r="AK186" t="str" cm="1">
        <f t="array" ref="AK186">IFERROR(IF(INDEX($A:$A,ROW())="","",INDEX($A:$A,ROW())),"")</f>
        <v/>
      </c>
      <c r="AL186" t="str" cm="1">
        <f t="array" ref="AL186">IFERROR(INDEX(tblTrades[sol_invested],ROW()-1),"")</f>
        <v/>
      </c>
      <c r="AM186" s="6" t="str" cm="1">
        <f t="array" ref="AM186">IFERROR(INDEX(tblAnalysis[P&amp;L SOL],ROW()-1),"")</f>
        <v/>
      </c>
      <c r="AN186" t="str" cm="1">
        <f t="array" ref="AN186">IFERROR(IF(INDEX(tblTrades[sol_invested],ROW()-1)&gt;0.5,INDEX(tblAnalysis[Token],ROW()-1)&amp;" ("&amp;TEXT(INDEX(tblTrades[sol_invested],ROW()-1),"0.0")&amp;" SOL)",""),"")</f>
        <v/>
      </c>
      <c r="AO186" s="7"/>
      <c r="AP186" s="12" t="str" cm="1">
        <f t="array" ref="AP186">IFERROR(INDEX(tblAnalysis[Entry MC ($)],ROW()-1),"")</f>
        <v/>
      </c>
      <c r="AQ186" s="10" t="str" cm="1">
        <f t="array" ref="AQ186">IFERROR(INDEX(tblAnalysis[P&amp;L %],ROW()-1),"")</f>
        <v/>
      </c>
      <c r="AR186" t="str" cm="1">
        <f t="array" ref="AR186">IFERROR(INDEX(tblAnalysis[Hold Time (s)],ROW()-1),"")</f>
        <v/>
      </c>
      <c r="AS186" s="6" t="str" cm="1">
        <f t="array" ref="AS186">IFERROR(INDEX(tblAnalysis[P&amp;L SOL],ROW()-1),"")</f>
        <v/>
      </c>
      <c r="AT186"/>
      <c r="AY186" s="10"/>
      <c r="AZ186" s="10"/>
      <c r="BA186" s="6"/>
      <c r="BB186"/>
      <c r="BF186" t="str">
        <f t="shared" si="59"/>
        <v/>
      </c>
      <c r="BG186" s="27" t="str">
        <f t="shared" si="60"/>
        <v/>
      </c>
      <c r="BH186" t="str">
        <f t="shared" si="61"/>
        <v/>
      </c>
      <c r="BL186" s="29" t="e">
        <f t="shared" si="64"/>
        <v>#N/A</v>
      </c>
      <c r="BM186" s="29" t="e">
        <f t="shared" si="65"/>
        <v>#N/A</v>
      </c>
    </row>
    <row r="187" spans="1:65" x14ac:dyDescent="0.35">
      <c r="P187" s="6"/>
      <c r="Q187" s="27"/>
      <c r="R187" s="6" t="str">
        <f>IF(Q187="","",SUMIFS(tblAnalysis[P&amp;L SOL],tblAnalysis[Date],Q187))</f>
        <v/>
      </c>
      <c r="S187" s="10" t="str">
        <f>IF(Q187="","",SUMIFS(tblAnalysis[P&amp;L %],tblAnalysis[Date],Q187))</f>
        <v/>
      </c>
      <c r="T187" s="6" t="str">
        <f>IF(Q187="","",IFERROR(SUM($R$2:R187),""))</f>
        <v/>
      </c>
      <c r="U187" t="str">
        <f>IF(Q187="","",COUNTIFS(tblAnalysis[Date],Q187))</f>
        <v/>
      </c>
      <c r="W187" s="27" t="str">
        <f t="shared" si="50"/>
        <v/>
      </c>
      <c r="X187" s="6" t="str">
        <f t="shared" si="51"/>
        <v/>
      </c>
      <c r="Y187" s="6" t="str">
        <f>IF(Q187="","",MAX(X187,_xlfn.MAXIFS(tblAnalysis[Cum P&amp;L SOL],tblAnalysis[Date],Q187)))</f>
        <v/>
      </c>
      <c r="Z187" s="6" t="str">
        <f>IF(Q187="","",MIN(X187,_xlfn.MINIFS(tblAnalysis[Cum P&amp;L SOL],tblAnalysis[Date],Q187)))</f>
        <v/>
      </c>
      <c r="AA187" s="6" t="str">
        <f t="shared" si="52"/>
        <v/>
      </c>
      <c r="AB187"/>
      <c r="AC187" s="27" t="str">
        <f t="shared" si="53"/>
        <v/>
      </c>
      <c r="AD187" s="10" t="str">
        <f t="shared" si="54"/>
        <v/>
      </c>
      <c r="AE187" s="10" t="str">
        <f t="shared" si="55"/>
        <v/>
      </c>
      <c r="AF187" s="10" t="str">
        <f t="shared" si="56"/>
        <v/>
      </c>
      <c r="AG187"/>
      <c r="AH187" t="str">
        <f t="shared" si="57"/>
        <v/>
      </c>
      <c r="AI187" t="str">
        <f t="shared" si="58"/>
        <v/>
      </c>
      <c r="AK187" t="str" cm="1">
        <f t="array" ref="AK187">IFERROR(IF(INDEX($A:$A,ROW())="","",INDEX($A:$A,ROW())),"")</f>
        <v/>
      </c>
      <c r="AL187" t="str" cm="1">
        <f t="array" ref="AL187">IFERROR(INDEX(tblTrades[sol_invested],ROW()-1),"")</f>
        <v/>
      </c>
      <c r="AM187" s="6" t="str" cm="1">
        <f t="array" ref="AM187">IFERROR(INDEX(tblAnalysis[P&amp;L SOL],ROW()-1),"")</f>
        <v/>
      </c>
      <c r="AN187" t="str" cm="1">
        <f t="array" ref="AN187">IFERROR(IF(INDEX(tblTrades[sol_invested],ROW()-1)&gt;0.5,INDEX(tblAnalysis[Token],ROW()-1)&amp;" ("&amp;TEXT(INDEX(tblTrades[sol_invested],ROW()-1),"0.0")&amp;" SOL)",""),"")</f>
        <v/>
      </c>
      <c r="AO187" s="7"/>
      <c r="AP187" s="12" t="str" cm="1">
        <f t="array" ref="AP187">IFERROR(INDEX(tblAnalysis[Entry MC ($)],ROW()-1),"")</f>
        <v/>
      </c>
      <c r="AQ187" s="10" t="str" cm="1">
        <f t="array" ref="AQ187">IFERROR(INDEX(tblAnalysis[P&amp;L %],ROW()-1),"")</f>
        <v/>
      </c>
      <c r="AR187" t="str" cm="1">
        <f t="array" ref="AR187">IFERROR(INDEX(tblAnalysis[Hold Time (s)],ROW()-1),"")</f>
        <v/>
      </c>
      <c r="AS187" s="6" t="str" cm="1">
        <f t="array" ref="AS187">IFERROR(INDEX(tblAnalysis[P&amp;L SOL],ROW()-1),"")</f>
        <v/>
      </c>
      <c r="AT187"/>
      <c r="AY187" s="10"/>
      <c r="AZ187" s="10"/>
      <c r="BA187" s="6"/>
      <c r="BB187"/>
      <c r="BF187" t="str">
        <f t="shared" si="59"/>
        <v/>
      </c>
      <c r="BG187" s="27" t="str">
        <f t="shared" si="60"/>
        <v/>
      </c>
      <c r="BH187" t="str">
        <f t="shared" si="61"/>
        <v/>
      </c>
      <c r="BL187" s="29" t="e">
        <f t="shared" si="64"/>
        <v>#N/A</v>
      </c>
      <c r="BM187" s="29" t="e">
        <f t="shared" si="65"/>
        <v>#N/A</v>
      </c>
    </row>
    <row r="188" spans="1:65" x14ac:dyDescent="0.35">
      <c r="P188" s="6"/>
      <c r="Q188" s="27"/>
      <c r="R188" s="6" t="str">
        <f>IF(Q188="","",SUMIFS(tblAnalysis[P&amp;L SOL],tblAnalysis[Date],Q188))</f>
        <v/>
      </c>
      <c r="S188" s="10" t="str">
        <f>IF(Q188="","",SUMIFS(tblAnalysis[P&amp;L %],tblAnalysis[Date],Q188))</f>
        <v/>
      </c>
      <c r="T188" s="6" t="str">
        <f>IF(Q188="","",IFERROR(SUM($R$2:R188),""))</f>
        <v/>
      </c>
      <c r="U188" t="str">
        <f>IF(Q188="","",COUNTIFS(tblAnalysis[Date],Q188))</f>
        <v/>
      </c>
      <c r="W188" s="27" t="str">
        <f t="shared" si="50"/>
        <v/>
      </c>
      <c r="X188" s="6" t="str">
        <f t="shared" si="51"/>
        <v/>
      </c>
      <c r="Y188" s="6" t="str">
        <f>IF(Q188="","",MAX(X188,_xlfn.MAXIFS(tblAnalysis[Cum P&amp;L SOL],tblAnalysis[Date],Q188)))</f>
        <v/>
      </c>
      <c r="Z188" s="6" t="str">
        <f>IF(Q188="","",MIN(X188,_xlfn.MINIFS(tblAnalysis[Cum P&amp;L SOL],tblAnalysis[Date],Q188)))</f>
        <v/>
      </c>
      <c r="AA188" s="6" t="str">
        <f t="shared" si="52"/>
        <v/>
      </c>
      <c r="AB188"/>
      <c r="AC188" s="27" t="str">
        <f t="shared" si="53"/>
        <v/>
      </c>
      <c r="AD188" s="10" t="str">
        <f t="shared" si="54"/>
        <v/>
      </c>
      <c r="AE188" s="10" t="str">
        <f t="shared" si="55"/>
        <v/>
      </c>
      <c r="AF188" s="10" t="str">
        <f t="shared" si="56"/>
        <v/>
      </c>
      <c r="AG188"/>
      <c r="AH188" t="str">
        <f t="shared" si="57"/>
        <v/>
      </c>
      <c r="AI188" t="str">
        <f t="shared" si="58"/>
        <v/>
      </c>
      <c r="AK188" t="str" cm="1">
        <f t="array" ref="AK188">IFERROR(IF(INDEX($A:$A,ROW())="","",INDEX($A:$A,ROW())),"")</f>
        <v/>
      </c>
      <c r="AL188" t="str" cm="1">
        <f t="array" ref="AL188">IFERROR(INDEX(tblTrades[sol_invested],ROW()-1),"")</f>
        <v/>
      </c>
      <c r="AM188" s="6" t="str" cm="1">
        <f t="array" ref="AM188">IFERROR(INDEX(tblAnalysis[P&amp;L SOL],ROW()-1),"")</f>
        <v/>
      </c>
      <c r="AN188" t="str" cm="1">
        <f t="array" ref="AN188">IFERROR(IF(INDEX(tblTrades[sol_invested],ROW()-1)&gt;0.5,INDEX(tblAnalysis[Token],ROW()-1)&amp;" ("&amp;TEXT(INDEX(tblTrades[sol_invested],ROW()-1),"0.0")&amp;" SOL)",""),"")</f>
        <v/>
      </c>
      <c r="AO188" s="7"/>
      <c r="AP188" s="12" t="str" cm="1">
        <f t="array" ref="AP188">IFERROR(INDEX(tblAnalysis[Entry MC ($)],ROW()-1),"")</f>
        <v/>
      </c>
      <c r="AQ188" s="10" t="str" cm="1">
        <f t="array" ref="AQ188">IFERROR(INDEX(tblAnalysis[P&amp;L %],ROW()-1),"")</f>
        <v/>
      </c>
      <c r="AR188" t="str" cm="1">
        <f t="array" ref="AR188">IFERROR(INDEX(tblAnalysis[Hold Time (s)],ROW()-1),"")</f>
        <v/>
      </c>
      <c r="AS188" s="6" t="str" cm="1">
        <f t="array" ref="AS188">IFERROR(INDEX(tblAnalysis[P&amp;L SOL],ROW()-1),"")</f>
        <v/>
      </c>
      <c r="AT188"/>
      <c r="AY188" s="10"/>
      <c r="AZ188" s="10"/>
      <c r="BA188" s="6"/>
      <c r="BB188"/>
      <c r="BF188" t="str">
        <f t="shared" si="59"/>
        <v/>
      </c>
      <c r="BG188" s="27" t="str">
        <f t="shared" si="60"/>
        <v/>
      </c>
      <c r="BH188" t="str">
        <f t="shared" si="61"/>
        <v/>
      </c>
      <c r="BL188" s="29" t="e">
        <f t="shared" si="64"/>
        <v>#N/A</v>
      </c>
      <c r="BM188" s="29" t="e">
        <f t="shared" si="65"/>
        <v>#N/A</v>
      </c>
    </row>
    <row r="189" spans="1:65" x14ac:dyDescent="0.35">
      <c r="P189" s="6"/>
      <c r="Q189" s="27"/>
      <c r="R189" s="6" t="str">
        <f>IF(Q189="","",SUMIFS(tblAnalysis[P&amp;L SOL],tblAnalysis[Date],Q189))</f>
        <v/>
      </c>
      <c r="S189" s="10" t="str">
        <f>IF(Q189="","",SUMIFS(tblAnalysis[P&amp;L %],tblAnalysis[Date],Q189))</f>
        <v/>
      </c>
      <c r="T189" s="6" t="str">
        <f>IF(Q189="","",IFERROR(SUM($R$2:R189),""))</f>
        <v/>
      </c>
      <c r="U189" t="str">
        <f>IF(Q189="","",COUNTIFS(tblAnalysis[Date],Q189))</f>
        <v/>
      </c>
      <c r="W189" s="27" t="str">
        <f t="shared" si="50"/>
        <v/>
      </c>
      <c r="X189" s="6" t="str">
        <f t="shared" si="51"/>
        <v/>
      </c>
      <c r="Y189" s="6" t="str">
        <f>IF(Q189="","",MAX(X189,_xlfn.MAXIFS(tblAnalysis[Cum P&amp;L SOL],tblAnalysis[Date],Q189)))</f>
        <v/>
      </c>
      <c r="Z189" s="6" t="str">
        <f>IF(Q189="","",MIN(X189,_xlfn.MINIFS(tblAnalysis[Cum P&amp;L SOL],tblAnalysis[Date],Q189)))</f>
        <v/>
      </c>
      <c r="AA189" s="6" t="str">
        <f t="shared" si="52"/>
        <v/>
      </c>
      <c r="AB189"/>
      <c r="AC189" s="27" t="str">
        <f t="shared" si="53"/>
        <v/>
      </c>
      <c r="AD189" s="10" t="str">
        <f t="shared" si="54"/>
        <v/>
      </c>
      <c r="AE189" s="10" t="str">
        <f t="shared" si="55"/>
        <v/>
      </c>
      <c r="AF189" s="10" t="str">
        <f t="shared" si="56"/>
        <v/>
      </c>
      <c r="AG189"/>
      <c r="AH189" t="str">
        <f t="shared" si="57"/>
        <v/>
      </c>
      <c r="AI189" t="str">
        <f t="shared" si="58"/>
        <v/>
      </c>
      <c r="AK189" t="str" cm="1">
        <f t="array" ref="AK189">IFERROR(IF(INDEX($A:$A,ROW())="","",INDEX($A:$A,ROW())),"")</f>
        <v/>
      </c>
      <c r="AL189" t="str" cm="1">
        <f t="array" ref="AL189">IFERROR(INDEX(tblTrades[sol_invested],ROW()-1),"")</f>
        <v/>
      </c>
      <c r="AM189" s="6" t="str" cm="1">
        <f t="array" ref="AM189">IFERROR(INDEX(tblAnalysis[P&amp;L SOL],ROW()-1),"")</f>
        <v/>
      </c>
      <c r="AN189" t="str" cm="1">
        <f t="array" ref="AN189">IFERROR(IF(INDEX(tblTrades[sol_invested],ROW()-1)&gt;0.5,INDEX(tblAnalysis[Token],ROW()-1)&amp;" ("&amp;TEXT(INDEX(tblTrades[sol_invested],ROW()-1),"0.0")&amp;" SOL)",""),"")</f>
        <v/>
      </c>
      <c r="AO189" s="7"/>
      <c r="AP189" s="12" t="str" cm="1">
        <f t="array" ref="AP189">IFERROR(INDEX(tblAnalysis[Entry MC ($)],ROW()-1),"")</f>
        <v/>
      </c>
      <c r="AQ189" s="10" t="str" cm="1">
        <f t="array" ref="AQ189">IFERROR(INDEX(tblAnalysis[P&amp;L %],ROW()-1),"")</f>
        <v/>
      </c>
      <c r="AR189" t="str" cm="1">
        <f t="array" ref="AR189">IFERROR(INDEX(tblAnalysis[Hold Time (s)],ROW()-1),"")</f>
        <v/>
      </c>
      <c r="AS189" s="6" t="str" cm="1">
        <f t="array" ref="AS189">IFERROR(INDEX(tblAnalysis[P&amp;L SOL],ROW()-1),"")</f>
        <v/>
      </c>
      <c r="AT189"/>
      <c r="AY189" s="10"/>
      <c r="AZ189" s="10"/>
      <c r="BA189" s="6"/>
      <c r="BB189"/>
      <c r="BF189" t="str">
        <f t="shared" si="59"/>
        <v/>
      </c>
      <c r="BG189" s="27" t="str">
        <f t="shared" si="60"/>
        <v/>
      </c>
      <c r="BH189" t="str">
        <f t="shared" si="61"/>
        <v/>
      </c>
      <c r="BL189" s="29" t="e">
        <f t="shared" si="64"/>
        <v>#N/A</v>
      </c>
      <c r="BM189" s="29" t="e">
        <f t="shared" si="65"/>
        <v>#N/A</v>
      </c>
    </row>
    <row r="190" spans="1:65" x14ac:dyDescent="0.35">
      <c r="P190" s="6"/>
      <c r="Q190" s="27"/>
      <c r="R190" s="6" t="str">
        <f>IF(Q190="","",SUMIFS(tblAnalysis[P&amp;L SOL],tblAnalysis[Date],Q190))</f>
        <v/>
      </c>
      <c r="S190" s="10" t="str">
        <f>IF(Q190="","",SUMIFS(tblAnalysis[P&amp;L %],tblAnalysis[Date],Q190))</f>
        <v/>
      </c>
      <c r="T190" s="6" t="str">
        <f>IF(Q190="","",IFERROR(SUM($R$2:R190),""))</f>
        <v/>
      </c>
      <c r="U190" t="str">
        <f>IF(Q190="","",COUNTIFS(tblAnalysis[Date],Q190))</f>
        <v/>
      </c>
      <c r="W190" s="27" t="str">
        <f t="shared" si="50"/>
        <v/>
      </c>
      <c r="X190" s="6" t="str">
        <f t="shared" si="51"/>
        <v/>
      </c>
      <c r="Y190" s="6" t="str">
        <f>IF(Q190="","",MAX(X190,_xlfn.MAXIFS(tblAnalysis[Cum P&amp;L SOL],tblAnalysis[Date],Q190)))</f>
        <v/>
      </c>
      <c r="Z190" s="6" t="str">
        <f>IF(Q190="","",MIN(X190,_xlfn.MINIFS(tblAnalysis[Cum P&amp;L SOL],tblAnalysis[Date],Q190)))</f>
        <v/>
      </c>
      <c r="AA190" s="6" t="str">
        <f t="shared" si="52"/>
        <v/>
      </c>
      <c r="AB190"/>
      <c r="AC190" s="27" t="str">
        <f t="shared" si="53"/>
        <v/>
      </c>
      <c r="AD190" s="10" t="str">
        <f t="shared" si="54"/>
        <v/>
      </c>
      <c r="AE190" s="10" t="str">
        <f t="shared" si="55"/>
        <v/>
      </c>
      <c r="AF190" s="10" t="str">
        <f t="shared" si="56"/>
        <v/>
      </c>
      <c r="AG190"/>
      <c r="AH190" t="str">
        <f t="shared" si="57"/>
        <v/>
      </c>
      <c r="AI190" t="str">
        <f t="shared" si="58"/>
        <v/>
      </c>
      <c r="AK190" t="str" cm="1">
        <f t="array" ref="AK190">IFERROR(IF(INDEX($A:$A,ROW())="","",INDEX($A:$A,ROW())),"")</f>
        <v/>
      </c>
      <c r="AL190" t="str" cm="1">
        <f t="array" ref="AL190">IFERROR(INDEX(tblTrades[sol_invested],ROW()-1),"")</f>
        <v/>
      </c>
      <c r="AM190" s="6" t="str" cm="1">
        <f t="array" ref="AM190">IFERROR(INDEX(tblAnalysis[P&amp;L SOL],ROW()-1),"")</f>
        <v/>
      </c>
      <c r="AN190" t="str" cm="1">
        <f t="array" ref="AN190">IFERROR(IF(INDEX(tblTrades[sol_invested],ROW()-1)&gt;0.5,INDEX(tblAnalysis[Token],ROW()-1)&amp;" ("&amp;TEXT(INDEX(tblTrades[sol_invested],ROW()-1),"0.0")&amp;" SOL)",""),"")</f>
        <v/>
      </c>
      <c r="AO190" s="7"/>
      <c r="AP190" s="12" t="str" cm="1">
        <f t="array" ref="AP190">IFERROR(INDEX(tblAnalysis[Entry MC ($)],ROW()-1),"")</f>
        <v/>
      </c>
      <c r="AQ190" s="10" t="str" cm="1">
        <f t="array" ref="AQ190">IFERROR(INDEX(tblAnalysis[P&amp;L %],ROW()-1),"")</f>
        <v/>
      </c>
      <c r="AR190" t="str" cm="1">
        <f t="array" ref="AR190">IFERROR(INDEX(tblAnalysis[Hold Time (s)],ROW()-1),"")</f>
        <v/>
      </c>
      <c r="AS190" s="6" t="str" cm="1">
        <f t="array" ref="AS190">IFERROR(INDEX(tblAnalysis[P&amp;L SOL],ROW()-1),"")</f>
        <v/>
      </c>
      <c r="AT190"/>
      <c r="AY190" s="10"/>
      <c r="AZ190" s="10"/>
      <c r="BA190" s="6"/>
      <c r="BB190"/>
      <c r="BF190" t="str">
        <f t="shared" si="59"/>
        <v/>
      </c>
      <c r="BG190" s="27" t="str">
        <f t="shared" si="60"/>
        <v/>
      </c>
      <c r="BH190" t="str">
        <f t="shared" si="61"/>
        <v/>
      </c>
      <c r="BL190" s="29" t="e">
        <f t="shared" si="64"/>
        <v>#N/A</v>
      </c>
      <c r="BM190" s="29" t="e">
        <f t="shared" si="65"/>
        <v>#N/A</v>
      </c>
    </row>
    <row r="191" spans="1:65" x14ac:dyDescent="0.35">
      <c r="P191" s="6"/>
      <c r="Q191" s="27"/>
      <c r="R191" s="6" t="str">
        <f>IF(Q191="","",SUMIFS(tblAnalysis[P&amp;L SOL],tblAnalysis[Date],Q191))</f>
        <v/>
      </c>
      <c r="S191" s="10" t="str">
        <f>IF(Q191="","",SUMIFS(tblAnalysis[P&amp;L %],tblAnalysis[Date],Q191))</f>
        <v/>
      </c>
      <c r="T191" s="6" t="str">
        <f>IF(Q191="","",IFERROR(SUM($R$2:R191),""))</f>
        <v/>
      </c>
      <c r="U191" t="str">
        <f>IF(Q191="","",COUNTIFS(tblAnalysis[Date],Q191))</f>
        <v/>
      </c>
      <c r="W191" s="27" t="str">
        <f t="shared" si="50"/>
        <v/>
      </c>
      <c r="X191" s="6" t="str">
        <f t="shared" si="51"/>
        <v/>
      </c>
      <c r="Y191" s="6" t="str">
        <f>IF(Q191="","",MAX(X191,_xlfn.MAXIFS(tblAnalysis[Cum P&amp;L SOL],tblAnalysis[Date],Q191)))</f>
        <v/>
      </c>
      <c r="Z191" s="6" t="str">
        <f>IF(Q191="","",MIN(X191,_xlfn.MINIFS(tblAnalysis[Cum P&amp;L SOL],tblAnalysis[Date],Q191)))</f>
        <v/>
      </c>
      <c r="AA191" s="6" t="str">
        <f t="shared" si="52"/>
        <v/>
      </c>
      <c r="AB191"/>
      <c r="AC191" s="27" t="str">
        <f t="shared" si="53"/>
        <v/>
      </c>
      <c r="AD191" s="10" t="str">
        <f t="shared" si="54"/>
        <v/>
      </c>
      <c r="AE191" s="10" t="str">
        <f t="shared" si="55"/>
        <v/>
      </c>
      <c r="AF191" s="10" t="str">
        <f t="shared" si="56"/>
        <v/>
      </c>
      <c r="AG191"/>
      <c r="AH191" t="str">
        <f t="shared" si="57"/>
        <v/>
      </c>
      <c r="AI191" t="str">
        <f t="shared" si="58"/>
        <v/>
      </c>
      <c r="AK191" t="str" cm="1">
        <f t="array" ref="AK191">IFERROR(IF(INDEX($A:$A,ROW())="","",INDEX($A:$A,ROW())),"")</f>
        <v/>
      </c>
      <c r="AL191" t="str" cm="1">
        <f t="array" ref="AL191">IFERROR(INDEX(tblTrades[sol_invested],ROW()-1),"")</f>
        <v/>
      </c>
      <c r="AM191" s="6" t="str" cm="1">
        <f t="array" ref="AM191">IFERROR(INDEX(tblAnalysis[P&amp;L SOL],ROW()-1),"")</f>
        <v/>
      </c>
      <c r="AN191" t="str" cm="1">
        <f t="array" ref="AN191">IFERROR(IF(INDEX(tblTrades[sol_invested],ROW()-1)&gt;0.5,INDEX(tblAnalysis[Token],ROW()-1)&amp;" ("&amp;TEXT(INDEX(tblTrades[sol_invested],ROW()-1),"0.0")&amp;" SOL)",""),"")</f>
        <v/>
      </c>
      <c r="AO191" s="7"/>
      <c r="AP191" s="12" t="str" cm="1">
        <f t="array" ref="AP191">IFERROR(INDEX(tblAnalysis[Entry MC ($)],ROW()-1),"")</f>
        <v/>
      </c>
      <c r="AQ191" s="10" t="str" cm="1">
        <f t="array" ref="AQ191">IFERROR(INDEX(tblAnalysis[P&amp;L %],ROW()-1),"")</f>
        <v/>
      </c>
      <c r="AR191" t="str" cm="1">
        <f t="array" ref="AR191">IFERROR(INDEX(tblAnalysis[Hold Time (s)],ROW()-1),"")</f>
        <v/>
      </c>
      <c r="AS191" s="6" t="str" cm="1">
        <f t="array" ref="AS191">IFERROR(INDEX(tblAnalysis[P&amp;L SOL],ROW()-1),"")</f>
        <v/>
      </c>
      <c r="AT191"/>
      <c r="AY191" s="10"/>
      <c r="AZ191" s="10"/>
      <c r="BA191" s="6"/>
      <c r="BB191"/>
      <c r="BF191" t="str">
        <f t="shared" si="59"/>
        <v/>
      </c>
      <c r="BG191" s="27" t="str">
        <f t="shared" si="60"/>
        <v/>
      </c>
      <c r="BH191" t="str">
        <f t="shared" si="61"/>
        <v/>
      </c>
      <c r="BL191" s="29" t="e">
        <f t="shared" si="64"/>
        <v>#N/A</v>
      </c>
      <c r="BM191" s="29" t="e">
        <f t="shared" si="65"/>
        <v>#N/A</v>
      </c>
    </row>
    <row r="192" spans="1:65" x14ac:dyDescent="0.35">
      <c r="P192" s="6"/>
      <c r="Q192" s="27"/>
      <c r="R192" s="6" t="str">
        <f>IF(Q192="","",SUMIFS(tblAnalysis[P&amp;L SOL],tblAnalysis[Date],Q192))</f>
        <v/>
      </c>
      <c r="S192" s="10" t="str">
        <f>IF(Q192="","",SUMIFS(tblAnalysis[P&amp;L %],tblAnalysis[Date],Q192))</f>
        <v/>
      </c>
      <c r="T192" s="6" t="str">
        <f>IF(Q192="","",IFERROR(SUM($R$2:R192),""))</f>
        <v/>
      </c>
      <c r="U192" t="str">
        <f>IF(Q192="","",COUNTIFS(tblAnalysis[Date],Q192))</f>
        <v/>
      </c>
      <c r="W192" s="27" t="str">
        <f t="shared" si="50"/>
        <v/>
      </c>
      <c r="X192" s="6" t="str">
        <f t="shared" si="51"/>
        <v/>
      </c>
      <c r="Y192" s="6" t="str">
        <f>IF(Q192="","",MAX(X192,_xlfn.MAXIFS(tblAnalysis[Cum P&amp;L SOL],tblAnalysis[Date],Q192)))</f>
        <v/>
      </c>
      <c r="Z192" s="6" t="str">
        <f>IF(Q192="","",MIN(X192,_xlfn.MINIFS(tblAnalysis[Cum P&amp;L SOL],tblAnalysis[Date],Q192)))</f>
        <v/>
      </c>
      <c r="AA192" s="6" t="str">
        <f t="shared" si="52"/>
        <v/>
      </c>
      <c r="AB192"/>
      <c r="AC192" s="27" t="str">
        <f t="shared" si="53"/>
        <v/>
      </c>
      <c r="AD192" s="10" t="str">
        <f t="shared" si="54"/>
        <v/>
      </c>
      <c r="AE192" s="10" t="str">
        <f t="shared" si="55"/>
        <v/>
      </c>
      <c r="AF192" s="10" t="str">
        <f t="shared" si="56"/>
        <v/>
      </c>
      <c r="AG192"/>
      <c r="AH192" t="str">
        <f t="shared" si="57"/>
        <v/>
      </c>
      <c r="AI192" t="str">
        <f t="shared" si="58"/>
        <v/>
      </c>
      <c r="AK192" t="str" cm="1">
        <f t="array" ref="AK192">IFERROR(IF(INDEX($A:$A,ROW())="","",INDEX($A:$A,ROW())),"")</f>
        <v/>
      </c>
      <c r="AL192" t="str" cm="1">
        <f t="array" ref="AL192">IFERROR(INDEX(tblTrades[sol_invested],ROW()-1),"")</f>
        <v/>
      </c>
      <c r="AM192" s="6" t="str" cm="1">
        <f t="array" ref="AM192">IFERROR(INDEX(tblAnalysis[P&amp;L SOL],ROW()-1),"")</f>
        <v/>
      </c>
      <c r="AN192" t="str" cm="1">
        <f t="array" ref="AN192">IFERROR(IF(INDEX(tblTrades[sol_invested],ROW()-1)&gt;0.5,INDEX(tblAnalysis[Token],ROW()-1)&amp;" ("&amp;TEXT(INDEX(tblTrades[sol_invested],ROW()-1),"0.0")&amp;" SOL)",""),"")</f>
        <v/>
      </c>
      <c r="AO192" s="7"/>
      <c r="AP192" s="12" t="str" cm="1">
        <f t="array" ref="AP192">IFERROR(INDEX(tblAnalysis[Entry MC ($)],ROW()-1),"")</f>
        <v/>
      </c>
      <c r="AQ192" s="10" t="str" cm="1">
        <f t="array" ref="AQ192">IFERROR(INDEX(tblAnalysis[P&amp;L %],ROW()-1),"")</f>
        <v/>
      </c>
      <c r="AR192" t="str" cm="1">
        <f t="array" ref="AR192">IFERROR(INDEX(tblAnalysis[Hold Time (s)],ROW()-1),"")</f>
        <v/>
      </c>
      <c r="AS192" s="6" t="str" cm="1">
        <f t="array" ref="AS192">IFERROR(INDEX(tblAnalysis[P&amp;L SOL],ROW()-1),"")</f>
        <v/>
      </c>
      <c r="AT192"/>
      <c r="AY192" s="10"/>
      <c r="AZ192" s="10"/>
      <c r="BA192" s="6"/>
      <c r="BB192"/>
      <c r="BF192" t="str">
        <f t="shared" si="59"/>
        <v/>
      </c>
      <c r="BG192" s="27" t="str">
        <f t="shared" si="60"/>
        <v/>
      </c>
      <c r="BH192" t="str">
        <f t="shared" si="61"/>
        <v/>
      </c>
      <c r="BL192" s="29" t="e">
        <f t="shared" si="64"/>
        <v>#N/A</v>
      </c>
      <c r="BM192" s="29" t="e">
        <f t="shared" si="65"/>
        <v>#N/A</v>
      </c>
    </row>
    <row r="193" spans="16:65" x14ac:dyDescent="0.35">
      <c r="P193" s="6"/>
      <c r="Q193" s="27"/>
      <c r="R193" s="6" t="str">
        <f>IF(Q193="","",SUMIFS(tblAnalysis[P&amp;L SOL],tblAnalysis[Date],Q193))</f>
        <v/>
      </c>
      <c r="S193" s="10" t="str">
        <f>IF(Q193="","",SUMIFS(tblAnalysis[P&amp;L %],tblAnalysis[Date],Q193))</f>
        <v/>
      </c>
      <c r="T193" s="6" t="str">
        <f>IF(Q193="","",IFERROR(SUM($R$2:R193),""))</f>
        <v/>
      </c>
      <c r="U193" t="str">
        <f>IF(Q193="","",COUNTIFS(tblAnalysis[Date],Q193))</f>
        <v/>
      </c>
      <c r="W193" s="27" t="str">
        <f t="shared" si="50"/>
        <v/>
      </c>
      <c r="X193" s="6" t="str">
        <f t="shared" si="51"/>
        <v/>
      </c>
      <c r="Y193" s="6" t="str">
        <f>IF(Q193="","",MAX(X193,_xlfn.MAXIFS(tblAnalysis[Cum P&amp;L SOL],tblAnalysis[Date],Q193)))</f>
        <v/>
      </c>
      <c r="Z193" s="6" t="str">
        <f>IF(Q193="","",MIN(X193,_xlfn.MINIFS(tblAnalysis[Cum P&amp;L SOL],tblAnalysis[Date],Q193)))</f>
        <v/>
      </c>
      <c r="AA193" s="6" t="str">
        <f t="shared" si="52"/>
        <v/>
      </c>
      <c r="AB193"/>
      <c r="AC193" s="27" t="str">
        <f t="shared" si="53"/>
        <v/>
      </c>
      <c r="AD193" s="10" t="str">
        <f t="shared" si="54"/>
        <v/>
      </c>
      <c r="AE193" s="10" t="str">
        <f t="shared" si="55"/>
        <v/>
      </c>
      <c r="AF193" s="10" t="str">
        <f t="shared" si="56"/>
        <v/>
      </c>
      <c r="AG193"/>
      <c r="AH193" t="str">
        <f t="shared" si="57"/>
        <v/>
      </c>
      <c r="AI193" t="str">
        <f t="shared" si="58"/>
        <v/>
      </c>
      <c r="AK193" t="str" cm="1">
        <f t="array" ref="AK193">IFERROR(IF(INDEX($A:$A,ROW())="","",INDEX($A:$A,ROW())),"")</f>
        <v/>
      </c>
      <c r="AL193" t="str" cm="1">
        <f t="array" ref="AL193">IFERROR(INDEX(tblTrades[sol_invested],ROW()-1),"")</f>
        <v/>
      </c>
      <c r="AM193" s="6" t="str" cm="1">
        <f t="array" ref="AM193">IFERROR(INDEX(tblAnalysis[P&amp;L SOL],ROW()-1),"")</f>
        <v/>
      </c>
      <c r="AN193" t="str" cm="1">
        <f t="array" ref="AN193">IFERROR(IF(INDEX(tblTrades[sol_invested],ROW()-1)&gt;0.5,INDEX(tblAnalysis[Token],ROW()-1)&amp;" ("&amp;TEXT(INDEX(tblTrades[sol_invested],ROW()-1),"0.0")&amp;" SOL)",""),"")</f>
        <v/>
      </c>
      <c r="AO193" s="7"/>
      <c r="AP193" s="12" t="str" cm="1">
        <f t="array" ref="AP193">IFERROR(INDEX(tblAnalysis[Entry MC ($)],ROW()-1),"")</f>
        <v/>
      </c>
      <c r="AQ193" s="10" t="str" cm="1">
        <f t="array" ref="AQ193">IFERROR(INDEX(tblAnalysis[P&amp;L %],ROW()-1),"")</f>
        <v/>
      </c>
      <c r="AR193" t="str" cm="1">
        <f t="array" ref="AR193">IFERROR(INDEX(tblAnalysis[Hold Time (s)],ROW()-1),"")</f>
        <v/>
      </c>
      <c r="AS193" s="6" t="str" cm="1">
        <f t="array" ref="AS193">IFERROR(INDEX(tblAnalysis[P&amp;L SOL],ROW()-1),"")</f>
        <v/>
      </c>
      <c r="AT193"/>
      <c r="AY193" s="10"/>
      <c r="AZ193" s="10"/>
      <c r="BA193" s="6"/>
      <c r="BB193"/>
      <c r="BF193" t="str">
        <f t="shared" si="59"/>
        <v/>
      </c>
      <c r="BG193" s="27" t="str">
        <f t="shared" si="60"/>
        <v/>
      </c>
      <c r="BH193" t="str">
        <f t="shared" si="61"/>
        <v/>
      </c>
      <c r="BL193" s="29" t="e">
        <f t="shared" si="64"/>
        <v>#N/A</v>
      </c>
      <c r="BM193" s="29" t="e">
        <f t="shared" si="65"/>
        <v>#N/A</v>
      </c>
    </row>
    <row r="194" spans="16:65" x14ac:dyDescent="0.35">
      <c r="P194" s="6"/>
      <c r="Q194" s="27"/>
      <c r="R194" s="6" t="str">
        <f>IF(Q194="","",SUMIFS(tblAnalysis[P&amp;L SOL],tblAnalysis[Date],Q194))</f>
        <v/>
      </c>
      <c r="S194" s="10" t="str">
        <f>IF(Q194="","",SUMIFS(tblAnalysis[P&amp;L %],tblAnalysis[Date],Q194))</f>
        <v/>
      </c>
      <c r="T194" s="6" t="str">
        <f>IF(Q194="","",IFERROR(SUM($R$2:R194),""))</f>
        <v/>
      </c>
      <c r="U194" t="str">
        <f>IF(Q194="","",COUNTIFS(tblAnalysis[Date],Q194))</f>
        <v/>
      </c>
      <c r="W194" s="27" t="str">
        <f t="shared" si="50"/>
        <v/>
      </c>
      <c r="X194" s="6" t="str">
        <f t="shared" si="51"/>
        <v/>
      </c>
      <c r="Y194" s="6" t="str">
        <f>IF(Q194="","",MAX(X194,_xlfn.MAXIFS(tblAnalysis[Cum P&amp;L SOL],tblAnalysis[Date],Q194)))</f>
        <v/>
      </c>
      <c r="Z194" s="6" t="str">
        <f>IF(Q194="","",MIN(X194,_xlfn.MINIFS(tblAnalysis[Cum P&amp;L SOL],tblAnalysis[Date],Q194)))</f>
        <v/>
      </c>
      <c r="AA194" s="6" t="str">
        <f t="shared" si="52"/>
        <v/>
      </c>
      <c r="AB194"/>
      <c r="AC194" s="27" t="str">
        <f t="shared" si="53"/>
        <v/>
      </c>
      <c r="AD194" s="10" t="str">
        <f t="shared" si="54"/>
        <v/>
      </c>
      <c r="AE194" s="10" t="str">
        <f t="shared" si="55"/>
        <v/>
      </c>
      <c r="AF194" s="10" t="str">
        <f t="shared" si="56"/>
        <v/>
      </c>
      <c r="AG194"/>
      <c r="AH194" t="str">
        <f t="shared" si="57"/>
        <v/>
      </c>
      <c r="AI194" t="str">
        <f t="shared" si="58"/>
        <v/>
      </c>
      <c r="AK194" t="str" cm="1">
        <f t="array" ref="AK194">IFERROR(IF(INDEX($A:$A,ROW())="","",INDEX($A:$A,ROW())),"")</f>
        <v/>
      </c>
      <c r="AL194" t="str" cm="1">
        <f t="array" ref="AL194">IFERROR(INDEX(tblTrades[sol_invested],ROW()-1),"")</f>
        <v/>
      </c>
      <c r="AM194" s="6" t="str" cm="1">
        <f t="array" ref="AM194">IFERROR(INDEX(tblAnalysis[P&amp;L SOL],ROW()-1),"")</f>
        <v/>
      </c>
      <c r="AN194" t="str" cm="1">
        <f t="array" ref="AN194">IFERROR(IF(INDEX(tblTrades[sol_invested],ROW()-1)&gt;0.5,INDEX(tblAnalysis[Token],ROW()-1)&amp;" ("&amp;TEXT(INDEX(tblTrades[sol_invested],ROW()-1),"0.0")&amp;" SOL)",""),"")</f>
        <v/>
      </c>
      <c r="AO194" s="7"/>
      <c r="AP194" s="12" t="str" cm="1">
        <f t="array" ref="AP194">IFERROR(INDEX(tblAnalysis[Entry MC ($)],ROW()-1),"")</f>
        <v/>
      </c>
      <c r="AQ194" s="10" t="str" cm="1">
        <f t="array" ref="AQ194">IFERROR(INDEX(tblAnalysis[P&amp;L %],ROW()-1),"")</f>
        <v/>
      </c>
      <c r="AR194" t="str" cm="1">
        <f t="array" ref="AR194">IFERROR(INDEX(tblAnalysis[Hold Time (s)],ROW()-1),"")</f>
        <v/>
      </c>
      <c r="AS194" s="6" t="str" cm="1">
        <f t="array" ref="AS194">IFERROR(INDEX(tblAnalysis[P&amp;L SOL],ROW()-1),"")</f>
        <v/>
      </c>
      <c r="AT194"/>
      <c r="AY194" s="10"/>
      <c r="AZ194" s="10"/>
      <c r="BA194" s="6"/>
      <c r="BB194"/>
      <c r="BF194" t="str">
        <f t="shared" si="59"/>
        <v/>
      </c>
      <c r="BG194" s="27" t="str">
        <f t="shared" si="60"/>
        <v/>
      </c>
      <c r="BH194" t="str">
        <f t="shared" si="61"/>
        <v/>
      </c>
      <c r="BL194" s="29" t="e">
        <f t="shared" si="64"/>
        <v>#N/A</v>
      </c>
      <c r="BM194" s="29" t="e">
        <f t="shared" si="65"/>
        <v>#N/A</v>
      </c>
    </row>
    <row r="195" spans="16:65" x14ac:dyDescent="0.35">
      <c r="P195" s="6"/>
      <c r="Q195" s="27"/>
      <c r="R195" s="6" t="str">
        <f>IF(Q195="","",SUMIFS(tblAnalysis[P&amp;L SOL],tblAnalysis[Date],Q195))</f>
        <v/>
      </c>
      <c r="S195" s="10" t="str">
        <f>IF(Q195="","",SUMIFS(tblAnalysis[P&amp;L %],tblAnalysis[Date],Q195))</f>
        <v/>
      </c>
      <c r="T195" s="6" t="str">
        <f>IF(Q195="","",IFERROR(SUM($R$2:R195),""))</f>
        <v/>
      </c>
      <c r="U195" t="str">
        <f>IF(Q195="","",COUNTIFS(tblAnalysis[Date],Q195))</f>
        <v/>
      </c>
      <c r="W195" s="27" t="str">
        <f t="shared" ref="W195:W258" si="66">IF(Q195="","",Q195)</f>
        <v/>
      </c>
      <c r="X195" s="6" t="str">
        <f t="shared" ref="X195:X258" si="67">IF(Q195="","",IF(ROW()=2,0,AA194))</f>
        <v/>
      </c>
      <c r="Y195" s="6" t="str">
        <f>IF(Q195="","",MAX(X195,_xlfn.MAXIFS(tblAnalysis[Cum P&amp;L SOL],tblAnalysis[Date],Q195)))</f>
        <v/>
      </c>
      <c r="Z195" s="6" t="str">
        <f>IF(Q195="","",MIN(X195,_xlfn.MINIFS(tblAnalysis[Cum P&amp;L SOL],tblAnalysis[Date],Q195)))</f>
        <v/>
      </c>
      <c r="AA195" s="6" t="str">
        <f t="shared" ref="AA195:AA258" si="68">IF(Q195="","",T195)</f>
        <v/>
      </c>
      <c r="AB195"/>
      <c r="AC195" s="27" t="str">
        <f t="shared" ref="AC195:AC258" si="69">IF(Q195="","",Q195)</f>
        <v/>
      </c>
      <c r="AD195" s="10" t="str">
        <f t="shared" ref="AD195:AD258" si="70">IF(Q195="","",(Y195-X195)/$BK$1)</f>
        <v/>
      </c>
      <c r="AE195" s="10" t="str">
        <f t="shared" ref="AE195:AE258" si="71">IF(Q195="","",(Z195-X195)/$BK$1)</f>
        <v/>
      </c>
      <c r="AF195" s="10" t="str">
        <f t="shared" ref="AF195:AF258" si="72">IF(Q195="","",(AA195-X195)/$BK$1)</f>
        <v/>
      </c>
      <c r="AG195"/>
      <c r="AH195" t="str">
        <f t="shared" ref="AH195:AH258" si="73">IF(Q195="","",IF(AA195&gt;=X195,U195,0))</f>
        <v/>
      </c>
      <c r="AI195" t="str">
        <f t="shared" ref="AI195:AI258" si="74">IF(Q195="","",IF(AA195&lt;X195,U195,0))</f>
        <v/>
      </c>
      <c r="AK195" t="str" cm="1">
        <f t="array" ref="AK195">IFERROR(IF(INDEX($A:$A,ROW())="","",INDEX($A:$A,ROW())),"")</f>
        <v/>
      </c>
      <c r="AL195" t="str" cm="1">
        <f t="array" ref="AL195">IFERROR(INDEX(tblTrades[sol_invested],ROW()-1),"")</f>
        <v/>
      </c>
      <c r="AM195" s="6" t="str" cm="1">
        <f t="array" ref="AM195">IFERROR(INDEX(tblAnalysis[P&amp;L SOL],ROW()-1),"")</f>
        <v/>
      </c>
      <c r="AN195" t="str" cm="1">
        <f t="array" ref="AN195">IFERROR(IF(INDEX(tblTrades[sol_invested],ROW()-1)&gt;0.5,INDEX(tblAnalysis[Token],ROW()-1)&amp;" ("&amp;TEXT(INDEX(tblTrades[sol_invested],ROW()-1),"0.0")&amp;" SOL)",""),"")</f>
        <v/>
      </c>
      <c r="AO195" s="7"/>
      <c r="AP195" s="12" t="str" cm="1">
        <f t="array" ref="AP195">IFERROR(INDEX(tblAnalysis[Entry MC ($)],ROW()-1),"")</f>
        <v/>
      </c>
      <c r="AQ195" s="10" t="str" cm="1">
        <f t="array" ref="AQ195">IFERROR(INDEX(tblAnalysis[P&amp;L %],ROW()-1),"")</f>
        <v/>
      </c>
      <c r="AR195" t="str" cm="1">
        <f t="array" ref="AR195">IFERROR(INDEX(tblAnalysis[Hold Time (s)],ROW()-1),"")</f>
        <v/>
      </c>
      <c r="AS195" s="6" t="str" cm="1">
        <f t="array" ref="AS195">IFERROR(INDEX(tblAnalysis[P&amp;L SOL],ROW()-1),"")</f>
        <v/>
      </c>
      <c r="AT195"/>
      <c r="AY195" s="10"/>
      <c r="AZ195" s="10"/>
      <c r="BA195" s="6"/>
      <c r="BB195"/>
      <c r="BF195" t="str">
        <f t="shared" ref="BF195:BF258" si="75">IF(W195="","","("&amp;U195&amp;")")</f>
        <v/>
      </c>
      <c r="BG195" s="27" t="str">
        <f t="shared" ref="BG195:BG258" si="76">IF(W195="","",W195)</f>
        <v/>
      </c>
      <c r="BH195" t="str">
        <f t="shared" ref="BH195:BH258" si="77">IF(W195="","",-2.5)</f>
        <v/>
      </c>
      <c r="BL195" s="29" t="e">
        <f t="shared" si="64"/>
        <v>#N/A</v>
      </c>
      <c r="BM195" s="29" t="e">
        <f t="shared" si="65"/>
        <v>#N/A</v>
      </c>
    </row>
    <row r="196" spans="16:65" x14ac:dyDescent="0.35">
      <c r="P196" s="6"/>
      <c r="Q196" s="27"/>
      <c r="R196" s="6" t="str">
        <f>IF(Q196="","",SUMIFS(tblAnalysis[P&amp;L SOL],tblAnalysis[Date],Q196))</f>
        <v/>
      </c>
      <c r="S196" s="10" t="str">
        <f>IF(Q196="","",SUMIFS(tblAnalysis[P&amp;L %],tblAnalysis[Date],Q196))</f>
        <v/>
      </c>
      <c r="T196" s="6" t="str">
        <f>IF(Q196="","",IFERROR(SUM($R$2:R196),""))</f>
        <v/>
      </c>
      <c r="U196" t="str">
        <f>IF(Q196="","",COUNTIFS(tblAnalysis[Date],Q196))</f>
        <v/>
      </c>
      <c r="W196" s="27" t="str">
        <f t="shared" si="66"/>
        <v/>
      </c>
      <c r="X196" s="6" t="str">
        <f t="shared" si="67"/>
        <v/>
      </c>
      <c r="Y196" s="6" t="str">
        <f>IF(Q196="","",MAX(X196,_xlfn.MAXIFS(tblAnalysis[Cum P&amp;L SOL],tblAnalysis[Date],Q196)))</f>
        <v/>
      </c>
      <c r="Z196" s="6" t="str">
        <f>IF(Q196="","",MIN(X196,_xlfn.MINIFS(tblAnalysis[Cum P&amp;L SOL],tblAnalysis[Date],Q196)))</f>
        <v/>
      </c>
      <c r="AA196" s="6" t="str">
        <f t="shared" si="68"/>
        <v/>
      </c>
      <c r="AB196"/>
      <c r="AC196" s="27" t="str">
        <f t="shared" si="69"/>
        <v/>
      </c>
      <c r="AD196" s="10" t="str">
        <f t="shared" si="70"/>
        <v/>
      </c>
      <c r="AE196" s="10" t="str">
        <f t="shared" si="71"/>
        <v/>
      </c>
      <c r="AF196" s="10" t="str">
        <f t="shared" si="72"/>
        <v/>
      </c>
      <c r="AG196"/>
      <c r="AH196" t="str">
        <f t="shared" si="73"/>
        <v/>
      </c>
      <c r="AI196" t="str">
        <f t="shared" si="74"/>
        <v/>
      </c>
      <c r="AK196" t="str" cm="1">
        <f t="array" ref="AK196">IFERROR(IF(INDEX($A:$A,ROW())="","",INDEX($A:$A,ROW())),"")</f>
        <v/>
      </c>
      <c r="AL196" t="str" cm="1">
        <f t="array" ref="AL196">IFERROR(INDEX(tblTrades[sol_invested],ROW()-1),"")</f>
        <v/>
      </c>
      <c r="AM196" s="6" t="str" cm="1">
        <f t="array" ref="AM196">IFERROR(INDEX(tblAnalysis[P&amp;L SOL],ROW()-1),"")</f>
        <v/>
      </c>
      <c r="AN196" t="str" cm="1">
        <f t="array" ref="AN196">IFERROR(IF(INDEX(tblTrades[sol_invested],ROW()-1)&gt;0.5,INDEX(tblAnalysis[Token],ROW()-1)&amp;" ("&amp;TEXT(INDEX(tblTrades[sol_invested],ROW()-1),"0.0")&amp;" SOL)",""),"")</f>
        <v/>
      </c>
      <c r="AO196" s="7"/>
      <c r="AP196" s="12" t="str" cm="1">
        <f t="array" ref="AP196">IFERROR(INDEX(tblAnalysis[Entry MC ($)],ROW()-1),"")</f>
        <v/>
      </c>
      <c r="AQ196" s="10" t="str" cm="1">
        <f t="array" ref="AQ196">IFERROR(INDEX(tblAnalysis[P&amp;L %],ROW()-1),"")</f>
        <v/>
      </c>
      <c r="AR196" t="str" cm="1">
        <f t="array" ref="AR196">IFERROR(INDEX(tblAnalysis[Hold Time (s)],ROW()-1),"")</f>
        <v/>
      </c>
      <c r="AS196" s="6" t="str" cm="1">
        <f t="array" ref="AS196">IFERROR(INDEX(tblAnalysis[P&amp;L SOL],ROW()-1),"")</f>
        <v/>
      </c>
      <c r="AT196"/>
      <c r="AY196" s="10"/>
      <c r="AZ196" s="10"/>
      <c r="BA196" s="6"/>
      <c r="BB196"/>
      <c r="BF196" t="str">
        <f t="shared" si="75"/>
        <v/>
      </c>
      <c r="BG196" s="27" t="str">
        <f t="shared" si="76"/>
        <v/>
      </c>
      <c r="BH196" t="str">
        <f t="shared" si="77"/>
        <v/>
      </c>
      <c r="BL196" s="29" t="e">
        <f t="shared" si="64"/>
        <v>#N/A</v>
      </c>
      <c r="BM196" s="29" t="e">
        <f t="shared" si="65"/>
        <v>#N/A</v>
      </c>
    </row>
    <row r="197" spans="16:65" x14ac:dyDescent="0.35">
      <c r="P197" s="6"/>
      <c r="Q197" s="27"/>
      <c r="R197" s="6" t="str">
        <f>IF(Q197="","",SUMIFS(tblAnalysis[P&amp;L SOL],tblAnalysis[Date],Q197))</f>
        <v/>
      </c>
      <c r="S197" s="10" t="str">
        <f>IF(Q197="","",SUMIFS(tblAnalysis[P&amp;L %],tblAnalysis[Date],Q197))</f>
        <v/>
      </c>
      <c r="T197" s="6" t="str">
        <f>IF(Q197="","",IFERROR(SUM($R$2:R197),""))</f>
        <v/>
      </c>
      <c r="U197" t="str">
        <f>IF(Q197="","",COUNTIFS(tblAnalysis[Date],Q197))</f>
        <v/>
      </c>
      <c r="W197" s="27" t="str">
        <f t="shared" si="66"/>
        <v/>
      </c>
      <c r="X197" s="6" t="str">
        <f t="shared" si="67"/>
        <v/>
      </c>
      <c r="Y197" s="6" t="str">
        <f>IF(Q197="","",MAX(X197,_xlfn.MAXIFS(tblAnalysis[Cum P&amp;L SOL],tblAnalysis[Date],Q197)))</f>
        <v/>
      </c>
      <c r="Z197" s="6" t="str">
        <f>IF(Q197="","",MIN(X197,_xlfn.MINIFS(tblAnalysis[Cum P&amp;L SOL],tblAnalysis[Date],Q197)))</f>
        <v/>
      </c>
      <c r="AA197" s="6" t="str">
        <f t="shared" si="68"/>
        <v/>
      </c>
      <c r="AB197"/>
      <c r="AC197" s="27" t="str">
        <f t="shared" si="69"/>
        <v/>
      </c>
      <c r="AD197" s="10" t="str">
        <f t="shared" si="70"/>
        <v/>
      </c>
      <c r="AE197" s="10" t="str">
        <f t="shared" si="71"/>
        <v/>
      </c>
      <c r="AF197" s="10" t="str">
        <f t="shared" si="72"/>
        <v/>
      </c>
      <c r="AG197"/>
      <c r="AH197" t="str">
        <f t="shared" si="73"/>
        <v/>
      </c>
      <c r="AI197" t="str">
        <f t="shared" si="74"/>
        <v/>
      </c>
      <c r="AK197" t="str" cm="1">
        <f t="array" ref="AK197">IFERROR(IF(INDEX($A:$A,ROW())="","",INDEX($A:$A,ROW())),"")</f>
        <v/>
      </c>
      <c r="AL197" t="str" cm="1">
        <f t="array" ref="AL197">IFERROR(INDEX(tblTrades[sol_invested],ROW()-1),"")</f>
        <v/>
      </c>
      <c r="AM197" s="6" t="str" cm="1">
        <f t="array" ref="AM197">IFERROR(INDEX(tblAnalysis[P&amp;L SOL],ROW()-1),"")</f>
        <v/>
      </c>
      <c r="AN197" t="str" cm="1">
        <f t="array" ref="AN197">IFERROR(IF(INDEX(tblTrades[sol_invested],ROW()-1)&gt;0.5,INDEX(tblAnalysis[Token],ROW()-1)&amp;" ("&amp;TEXT(INDEX(tblTrades[sol_invested],ROW()-1),"0.0")&amp;" SOL)",""),"")</f>
        <v/>
      </c>
      <c r="AO197" s="7"/>
      <c r="AP197" s="12" t="str" cm="1">
        <f t="array" ref="AP197">IFERROR(INDEX(tblAnalysis[Entry MC ($)],ROW()-1),"")</f>
        <v/>
      </c>
      <c r="AQ197" s="10" t="str" cm="1">
        <f t="array" ref="AQ197">IFERROR(INDEX(tblAnalysis[P&amp;L %],ROW()-1),"")</f>
        <v/>
      </c>
      <c r="AR197" t="str" cm="1">
        <f t="array" ref="AR197">IFERROR(INDEX(tblAnalysis[Hold Time (s)],ROW()-1),"")</f>
        <v/>
      </c>
      <c r="AS197" s="6" t="str" cm="1">
        <f t="array" ref="AS197">IFERROR(INDEX(tblAnalysis[P&amp;L SOL],ROW()-1),"")</f>
        <v/>
      </c>
      <c r="AT197"/>
      <c r="AY197" s="10"/>
      <c r="AZ197" s="10"/>
      <c r="BA197" s="6"/>
      <c r="BB197"/>
      <c r="BF197" t="str">
        <f t="shared" si="75"/>
        <v/>
      </c>
      <c r="BG197" s="27" t="str">
        <f t="shared" si="76"/>
        <v/>
      </c>
      <c r="BH197" t="str">
        <f t="shared" si="77"/>
        <v/>
      </c>
      <c r="BL197" s="29" t="e">
        <f t="shared" si="64"/>
        <v>#N/A</v>
      </c>
      <c r="BM197" s="29" t="e">
        <f t="shared" si="65"/>
        <v>#N/A</v>
      </c>
    </row>
    <row r="198" spans="16:65" x14ac:dyDescent="0.35">
      <c r="P198" s="6"/>
      <c r="Q198" s="27"/>
      <c r="R198" s="6" t="str">
        <f>IF(Q198="","",SUMIFS(tblAnalysis[P&amp;L SOL],tblAnalysis[Date],Q198))</f>
        <v/>
      </c>
      <c r="S198" s="10" t="str">
        <f>IF(Q198="","",SUMIFS(tblAnalysis[P&amp;L %],tblAnalysis[Date],Q198))</f>
        <v/>
      </c>
      <c r="T198" s="6" t="str">
        <f>IF(Q198="","",IFERROR(SUM($R$2:R198),""))</f>
        <v/>
      </c>
      <c r="U198" t="str">
        <f>IF(Q198="","",COUNTIFS(tblAnalysis[Date],Q198))</f>
        <v/>
      </c>
      <c r="W198" s="27" t="str">
        <f t="shared" si="66"/>
        <v/>
      </c>
      <c r="X198" s="6" t="str">
        <f t="shared" si="67"/>
        <v/>
      </c>
      <c r="Y198" s="6" t="str">
        <f>IF(Q198="","",MAX(X198,_xlfn.MAXIFS(tblAnalysis[Cum P&amp;L SOL],tblAnalysis[Date],Q198)))</f>
        <v/>
      </c>
      <c r="Z198" s="6" t="str">
        <f>IF(Q198="","",MIN(X198,_xlfn.MINIFS(tblAnalysis[Cum P&amp;L SOL],tblAnalysis[Date],Q198)))</f>
        <v/>
      </c>
      <c r="AA198" s="6" t="str">
        <f t="shared" si="68"/>
        <v/>
      </c>
      <c r="AB198"/>
      <c r="AC198" s="27" t="str">
        <f t="shared" si="69"/>
        <v/>
      </c>
      <c r="AD198" s="10" t="str">
        <f t="shared" si="70"/>
        <v/>
      </c>
      <c r="AE198" s="10" t="str">
        <f t="shared" si="71"/>
        <v/>
      </c>
      <c r="AF198" s="10" t="str">
        <f t="shared" si="72"/>
        <v/>
      </c>
      <c r="AG198"/>
      <c r="AH198" t="str">
        <f t="shared" si="73"/>
        <v/>
      </c>
      <c r="AI198" t="str">
        <f t="shared" si="74"/>
        <v/>
      </c>
      <c r="AK198" t="str" cm="1">
        <f t="array" ref="AK198">IFERROR(IF(INDEX($A:$A,ROW())="","",INDEX($A:$A,ROW())),"")</f>
        <v/>
      </c>
      <c r="AL198" t="str" cm="1">
        <f t="array" ref="AL198">IFERROR(INDEX(tblTrades[sol_invested],ROW()-1),"")</f>
        <v/>
      </c>
      <c r="AM198" s="6" t="str" cm="1">
        <f t="array" ref="AM198">IFERROR(INDEX(tblAnalysis[P&amp;L SOL],ROW()-1),"")</f>
        <v/>
      </c>
      <c r="AN198" t="str" cm="1">
        <f t="array" ref="AN198">IFERROR(IF(INDEX(tblTrades[sol_invested],ROW()-1)&gt;0.5,INDEX(tblAnalysis[Token],ROW()-1)&amp;" ("&amp;TEXT(INDEX(tblTrades[sol_invested],ROW()-1),"0.0")&amp;" SOL)",""),"")</f>
        <v/>
      </c>
      <c r="AO198" s="7"/>
      <c r="AP198" s="12" t="str" cm="1">
        <f t="array" ref="AP198">IFERROR(INDEX(tblAnalysis[Entry MC ($)],ROW()-1),"")</f>
        <v/>
      </c>
      <c r="AQ198" s="10" t="str" cm="1">
        <f t="array" ref="AQ198">IFERROR(INDEX(tblAnalysis[P&amp;L %],ROW()-1),"")</f>
        <v/>
      </c>
      <c r="AR198" t="str" cm="1">
        <f t="array" ref="AR198">IFERROR(INDEX(tblAnalysis[Hold Time (s)],ROW()-1),"")</f>
        <v/>
      </c>
      <c r="AS198" s="6" t="str" cm="1">
        <f t="array" ref="AS198">IFERROR(INDEX(tblAnalysis[P&amp;L SOL],ROW()-1),"")</f>
        <v/>
      </c>
      <c r="AT198"/>
      <c r="AY198" s="10"/>
      <c r="AZ198" s="10"/>
      <c r="BA198" s="6"/>
      <c r="BB198"/>
      <c r="BF198" t="str">
        <f t="shared" si="75"/>
        <v/>
      </c>
      <c r="BG198" s="27" t="str">
        <f t="shared" si="76"/>
        <v/>
      </c>
      <c r="BH198" t="str">
        <f t="shared" si="77"/>
        <v/>
      </c>
      <c r="BL198" s="29" t="e">
        <f t="shared" si="64"/>
        <v>#N/A</v>
      </c>
      <c r="BM198" s="29" t="e">
        <f t="shared" si="65"/>
        <v>#N/A</v>
      </c>
    </row>
    <row r="199" spans="16:65" x14ac:dyDescent="0.35">
      <c r="P199" s="6"/>
      <c r="Q199" s="27"/>
      <c r="R199" s="6" t="str">
        <f>IF(Q199="","",SUMIFS(tblAnalysis[P&amp;L SOL],tblAnalysis[Date],Q199))</f>
        <v/>
      </c>
      <c r="S199" s="10" t="str">
        <f>IF(Q199="","",SUMIFS(tblAnalysis[P&amp;L %],tblAnalysis[Date],Q199))</f>
        <v/>
      </c>
      <c r="T199" s="6" t="str">
        <f>IF(Q199="","",IFERROR(SUM($R$2:R199),""))</f>
        <v/>
      </c>
      <c r="U199" t="str">
        <f>IF(Q199="","",COUNTIFS(tblAnalysis[Date],Q199))</f>
        <v/>
      </c>
      <c r="W199" s="27" t="str">
        <f t="shared" si="66"/>
        <v/>
      </c>
      <c r="X199" s="6" t="str">
        <f t="shared" si="67"/>
        <v/>
      </c>
      <c r="Y199" s="6" t="str">
        <f>IF(Q199="","",MAX(X199,_xlfn.MAXIFS(tblAnalysis[Cum P&amp;L SOL],tblAnalysis[Date],Q199)))</f>
        <v/>
      </c>
      <c r="Z199" s="6" t="str">
        <f>IF(Q199="","",MIN(X199,_xlfn.MINIFS(tblAnalysis[Cum P&amp;L SOL],tblAnalysis[Date],Q199)))</f>
        <v/>
      </c>
      <c r="AA199" s="6" t="str">
        <f t="shared" si="68"/>
        <v/>
      </c>
      <c r="AB199"/>
      <c r="AC199" s="27" t="str">
        <f t="shared" si="69"/>
        <v/>
      </c>
      <c r="AD199" s="10" t="str">
        <f t="shared" si="70"/>
        <v/>
      </c>
      <c r="AE199" s="10" t="str">
        <f t="shared" si="71"/>
        <v/>
      </c>
      <c r="AF199" s="10" t="str">
        <f t="shared" si="72"/>
        <v/>
      </c>
      <c r="AG199"/>
      <c r="AH199" t="str">
        <f t="shared" si="73"/>
        <v/>
      </c>
      <c r="AI199" t="str">
        <f t="shared" si="74"/>
        <v/>
      </c>
      <c r="AK199" t="str" cm="1">
        <f t="array" ref="AK199">IFERROR(IF(INDEX($A:$A,ROW())="","",INDEX($A:$A,ROW())),"")</f>
        <v/>
      </c>
      <c r="AL199" t="str" cm="1">
        <f t="array" ref="AL199">IFERROR(INDEX(tblTrades[sol_invested],ROW()-1),"")</f>
        <v/>
      </c>
      <c r="AM199" s="6" t="str" cm="1">
        <f t="array" ref="AM199">IFERROR(INDEX(tblAnalysis[P&amp;L SOL],ROW()-1),"")</f>
        <v/>
      </c>
      <c r="AN199" t="str" cm="1">
        <f t="array" ref="AN199">IFERROR(IF(INDEX(tblTrades[sol_invested],ROW()-1)&gt;0.5,INDEX(tblAnalysis[Token],ROW()-1)&amp;" ("&amp;TEXT(INDEX(tblTrades[sol_invested],ROW()-1),"0.0")&amp;" SOL)",""),"")</f>
        <v/>
      </c>
      <c r="AO199" s="7"/>
      <c r="AP199" s="12" t="str" cm="1">
        <f t="array" ref="AP199">IFERROR(INDEX(tblAnalysis[Entry MC ($)],ROW()-1),"")</f>
        <v/>
      </c>
      <c r="AQ199" s="10" t="str" cm="1">
        <f t="array" ref="AQ199">IFERROR(INDEX(tblAnalysis[P&amp;L %],ROW()-1),"")</f>
        <v/>
      </c>
      <c r="AR199" t="str" cm="1">
        <f t="array" ref="AR199">IFERROR(INDEX(tblAnalysis[Hold Time (s)],ROW()-1),"")</f>
        <v/>
      </c>
      <c r="AS199" s="6" t="str" cm="1">
        <f t="array" ref="AS199">IFERROR(INDEX(tblAnalysis[P&amp;L SOL],ROW()-1),"")</f>
        <v/>
      </c>
      <c r="AT199"/>
      <c r="AY199" s="10"/>
      <c r="AZ199" s="10"/>
      <c r="BA199" s="6"/>
      <c r="BB199"/>
      <c r="BF199" t="str">
        <f t="shared" si="75"/>
        <v/>
      </c>
      <c r="BG199" s="27" t="str">
        <f t="shared" si="76"/>
        <v/>
      </c>
      <c r="BH199" t="str">
        <f t="shared" si="77"/>
        <v/>
      </c>
      <c r="BL199" s="29" t="e">
        <f t="shared" si="64"/>
        <v>#N/A</v>
      </c>
      <c r="BM199" s="29" t="e">
        <f t="shared" si="65"/>
        <v>#N/A</v>
      </c>
    </row>
    <row r="200" spans="16:65" x14ac:dyDescent="0.35">
      <c r="P200" s="6"/>
      <c r="Q200" s="27"/>
      <c r="R200" s="6" t="str">
        <f>IF(Q200="","",SUMIFS(tblAnalysis[P&amp;L SOL],tblAnalysis[Date],Q200))</f>
        <v/>
      </c>
      <c r="S200" s="10" t="str">
        <f>IF(Q200="","",SUMIFS(tblAnalysis[P&amp;L %],tblAnalysis[Date],Q200))</f>
        <v/>
      </c>
      <c r="T200" s="6" t="str">
        <f>IF(Q200="","",IFERROR(SUM($R$2:R200),""))</f>
        <v/>
      </c>
      <c r="U200" t="str">
        <f>IF(Q200="","",COUNTIFS(tblAnalysis[Date],Q200))</f>
        <v/>
      </c>
      <c r="W200" s="27" t="str">
        <f t="shared" si="66"/>
        <v/>
      </c>
      <c r="X200" s="6" t="str">
        <f t="shared" si="67"/>
        <v/>
      </c>
      <c r="Y200" s="6" t="str">
        <f>IF(Q200="","",MAX(X200,_xlfn.MAXIFS(tblAnalysis[Cum P&amp;L SOL],tblAnalysis[Date],Q200)))</f>
        <v/>
      </c>
      <c r="Z200" s="6" t="str">
        <f>IF(Q200="","",MIN(X200,_xlfn.MINIFS(tblAnalysis[Cum P&amp;L SOL],tblAnalysis[Date],Q200)))</f>
        <v/>
      </c>
      <c r="AA200" s="6" t="str">
        <f t="shared" si="68"/>
        <v/>
      </c>
      <c r="AB200"/>
      <c r="AC200" s="27" t="str">
        <f t="shared" si="69"/>
        <v/>
      </c>
      <c r="AD200" s="10" t="str">
        <f t="shared" si="70"/>
        <v/>
      </c>
      <c r="AE200" s="10" t="str">
        <f t="shared" si="71"/>
        <v/>
      </c>
      <c r="AF200" s="10" t="str">
        <f t="shared" si="72"/>
        <v/>
      </c>
      <c r="AG200"/>
      <c r="AH200" t="str">
        <f t="shared" si="73"/>
        <v/>
      </c>
      <c r="AI200" t="str">
        <f t="shared" si="74"/>
        <v/>
      </c>
      <c r="AK200" t="str" cm="1">
        <f t="array" ref="AK200">IFERROR(IF(INDEX($A:$A,ROW())="","",INDEX($A:$A,ROW())),"")</f>
        <v/>
      </c>
      <c r="AL200" t="str" cm="1">
        <f t="array" ref="AL200">IFERROR(INDEX(tblTrades[sol_invested],ROW()-1),"")</f>
        <v/>
      </c>
      <c r="AM200" s="6" t="str" cm="1">
        <f t="array" ref="AM200">IFERROR(INDEX(tblAnalysis[P&amp;L SOL],ROW()-1),"")</f>
        <v/>
      </c>
      <c r="AN200" t="str" cm="1">
        <f t="array" ref="AN200">IFERROR(IF(INDEX(tblTrades[sol_invested],ROW()-1)&gt;0.5,INDEX(tblAnalysis[Token],ROW()-1)&amp;" ("&amp;TEXT(INDEX(tblTrades[sol_invested],ROW()-1),"0.0")&amp;" SOL)",""),"")</f>
        <v/>
      </c>
      <c r="AO200" s="7"/>
      <c r="AP200" s="12" t="str" cm="1">
        <f t="array" ref="AP200">IFERROR(INDEX(tblAnalysis[Entry MC ($)],ROW()-1),"")</f>
        <v/>
      </c>
      <c r="AQ200" s="10" t="str" cm="1">
        <f t="array" ref="AQ200">IFERROR(INDEX(tblAnalysis[P&amp;L %],ROW()-1),"")</f>
        <v/>
      </c>
      <c r="AR200" t="str" cm="1">
        <f t="array" ref="AR200">IFERROR(INDEX(tblAnalysis[Hold Time (s)],ROW()-1),"")</f>
        <v/>
      </c>
      <c r="AS200" s="6" t="str" cm="1">
        <f t="array" ref="AS200">IFERROR(INDEX(tblAnalysis[P&amp;L SOL],ROW()-1),"")</f>
        <v/>
      </c>
      <c r="AT200"/>
      <c r="AY200" s="10"/>
      <c r="AZ200" s="10"/>
      <c r="BA200" s="6"/>
      <c r="BB200"/>
      <c r="BF200" t="str">
        <f t="shared" si="75"/>
        <v/>
      </c>
      <c r="BG200" s="27" t="str">
        <f t="shared" si="76"/>
        <v/>
      </c>
      <c r="BH200" t="str">
        <f t="shared" si="77"/>
        <v/>
      </c>
      <c r="BL200" s="29" t="e">
        <f t="shared" si="64"/>
        <v>#N/A</v>
      </c>
      <c r="BM200" s="29" t="e">
        <f t="shared" si="65"/>
        <v>#N/A</v>
      </c>
    </row>
    <row r="201" spans="16:65" x14ac:dyDescent="0.35">
      <c r="P201" s="6"/>
      <c r="Q201" s="27"/>
      <c r="R201" s="6" t="str">
        <f>IF(Q201="","",SUMIFS(tblAnalysis[P&amp;L SOL],tblAnalysis[Date],Q201))</f>
        <v/>
      </c>
      <c r="S201" s="10" t="str">
        <f>IF(Q201="","",SUMIFS(tblAnalysis[P&amp;L %],tblAnalysis[Date],Q201))</f>
        <v/>
      </c>
      <c r="T201" s="6" t="str">
        <f>IF(Q201="","",IFERROR(SUM($R$2:R201),""))</f>
        <v/>
      </c>
      <c r="U201" t="str">
        <f>IF(Q201="","",COUNTIFS(tblAnalysis[Date],Q201))</f>
        <v/>
      </c>
      <c r="W201" s="27" t="str">
        <f t="shared" si="66"/>
        <v/>
      </c>
      <c r="X201" s="6" t="str">
        <f t="shared" si="67"/>
        <v/>
      </c>
      <c r="Y201" s="6" t="str">
        <f>IF(Q201="","",MAX(X201,_xlfn.MAXIFS(tblAnalysis[Cum P&amp;L SOL],tblAnalysis[Date],Q201)))</f>
        <v/>
      </c>
      <c r="Z201" s="6" t="str">
        <f>IF(Q201="","",MIN(X201,_xlfn.MINIFS(tblAnalysis[Cum P&amp;L SOL],tblAnalysis[Date],Q201)))</f>
        <v/>
      </c>
      <c r="AA201" s="6" t="str">
        <f t="shared" si="68"/>
        <v/>
      </c>
      <c r="AB201"/>
      <c r="AC201" s="27" t="str">
        <f t="shared" si="69"/>
        <v/>
      </c>
      <c r="AD201" s="10" t="str">
        <f t="shared" si="70"/>
        <v/>
      </c>
      <c r="AE201" s="10" t="str">
        <f t="shared" si="71"/>
        <v/>
      </c>
      <c r="AF201" s="10" t="str">
        <f t="shared" si="72"/>
        <v/>
      </c>
      <c r="AG201"/>
      <c r="AH201" t="str">
        <f t="shared" si="73"/>
        <v/>
      </c>
      <c r="AI201" t="str">
        <f t="shared" si="74"/>
        <v/>
      </c>
      <c r="AK201" t="str" cm="1">
        <f t="array" ref="AK201">IFERROR(IF(INDEX($A:$A,ROW())="","",INDEX($A:$A,ROW())),"")</f>
        <v/>
      </c>
      <c r="AL201" t="str" cm="1">
        <f t="array" ref="AL201">IFERROR(INDEX(tblTrades[sol_invested],ROW()-1),"")</f>
        <v/>
      </c>
      <c r="AM201" s="6" t="str" cm="1">
        <f t="array" ref="AM201">IFERROR(INDEX(tblAnalysis[P&amp;L SOL],ROW()-1),"")</f>
        <v/>
      </c>
      <c r="AN201" t="str" cm="1">
        <f t="array" ref="AN201">IFERROR(IF(INDEX(tblTrades[sol_invested],ROW()-1)&gt;0.5,INDEX(tblAnalysis[Token],ROW()-1)&amp;" ("&amp;TEXT(INDEX(tblTrades[sol_invested],ROW()-1),"0.0")&amp;" SOL)",""),"")</f>
        <v/>
      </c>
      <c r="AO201" s="7"/>
      <c r="AP201" s="12" t="str" cm="1">
        <f t="array" ref="AP201">IFERROR(INDEX(tblAnalysis[Entry MC ($)],ROW()-1),"")</f>
        <v/>
      </c>
      <c r="AQ201" s="10" t="str" cm="1">
        <f t="array" ref="AQ201">IFERROR(INDEX(tblAnalysis[P&amp;L %],ROW()-1),"")</f>
        <v/>
      </c>
      <c r="AR201" t="str" cm="1">
        <f t="array" ref="AR201">IFERROR(INDEX(tblAnalysis[Hold Time (s)],ROW()-1),"")</f>
        <v/>
      </c>
      <c r="AS201" s="6" t="str" cm="1">
        <f t="array" ref="AS201">IFERROR(INDEX(tblAnalysis[P&amp;L SOL],ROW()-1),"")</f>
        <v/>
      </c>
      <c r="AT201"/>
      <c r="AY201" s="10"/>
      <c r="AZ201" s="10"/>
      <c r="BA201" s="6"/>
      <c r="BB201"/>
      <c r="BF201" t="str">
        <f t="shared" si="75"/>
        <v/>
      </c>
      <c r="BG201" s="27" t="str">
        <f t="shared" si="76"/>
        <v/>
      </c>
      <c r="BH201" t="str">
        <f t="shared" si="77"/>
        <v/>
      </c>
      <c r="BL201" s="29" t="e">
        <f t="shared" si="64"/>
        <v>#N/A</v>
      </c>
      <c r="BM201" s="29" t="e">
        <f t="shared" si="65"/>
        <v>#N/A</v>
      </c>
    </row>
    <row r="202" spans="16:65" x14ac:dyDescent="0.35">
      <c r="P202" s="6"/>
      <c r="Q202" s="27"/>
      <c r="R202" s="6" t="str">
        <f>IF(Q202="","",SUMIFS(tblAnalysis[P&amp;L SOL],tblAnalysis[Date],Q202))</f>
        <v/>
      </c>
      <c r="S202" s="10" t="str">
        <f>IF(Q202="","",SUMIFS(tblAnalysis[P&amp;L %],tblAnalysis[Date],Q202))</f>
        <v/>
      </c>
      <c r="T202" s="6" t="str">
        <f>IF(Q202="","",IFERROR(SUM($R$2:R202),""))</f>
        <v/>
      </c>
      <c r="U202" t="str">
        <f>IF(Q202="","",COUNTIFS(tblAnalysis[Date],Q202))</f>
        <v/>
      </c>
      <c r="W202" s="27" t="str">
        <f t="shared" si="66"/>
        <v/>
      </c>
      <c r="X202" s="6" t="str">
        <f t="shared" si="67"/>
        <v/>
      </c>
      <c r="Y202" s="6" t="str">
        <f>IF(Q202="","",MAX(X202,_xlfn.MAXIFS(tblAnalysis[Cum P&amp;L SOL],tblAnalysis[Date],Q202)))</f>
        <v/>
      </c>
      <c r="Z202" s="6" t="str">
        <f>IF(Q202="","",MIN(X202,_xlfn.MINIFS(tblAnalysis[Cum P&amp;L SOL],tblAnalysis[Date],Q202)))</f>
        <v/>
      </c>
      <c r="AA202" s="6" t="str">
        <f t="shared" si="68"/>
        <v/>
      </c>
      <c r="AB202"/>
      <c r="AC202" s="27" t="str">
        <f t="shared" si="69"/>
        <v/>
      </c>
      <c r="AD202" s="10" t="str">
        <f t="shared" si="70"/>
        <v/>
      </c>
      <c r="AE202" s="10" t="str">
        <f t="shared" si="71"/>
        <v/>
      </c>
      <c r="AF202" s="10" t="str">
        <f t="shared" si="72"/>
        <v/>
      </c>
      <c r="AG202"/>
      <c r="AH202" t="str">
        <f t="shared" si="73"/>
        <v/>
      </c>
      <c r="AI202" t="str">
        <f t="shared" si="74"/>
        <v/>
      </c>
      <c r="AK202" t="str" cm="1">
        <f t="array" ref="AK202">IFERROR(IF(INDEX($A:$A,ROW())="","",INDEX($A:$A,ROW())),"")</f>
        <v/>
      </c>
      <c r="AL202" t="str" cm="1">
        <f t="array" ref="AL202">IFERROR(INDEX(tblTrades[sol_invested],ROW()-1),"")</f>
        <v/>
      </c>
      <c r="AM202" s="6" t="str" cm="1">
        <f t="array" ref="AM202">IFERROR(INDEX(tblAnalysis[P&amp;L SOL],ROW()-1),"")</f>
        <v/>
      </c>
      <c r="AN202" t="str" cm="1">
        <f t="array" ref="AN202">IFERROR(IF(INDEX(tblTrades[sol_invested],ROW()-1)&gt;0.5,INDEX(tblAnalysis[Token],ROW()-1)&amp;" ("&amp;TEXT(INDEX(tblTrades[sol_invested],ROW()-1),"0.0")&amp;" SOL)",""),"")</f>
        <v/>
      </c>
      <c r="AO202" s="7"/>
      <c r="AP202" s="12" t="str" cm="1">
        <f t="array" ref="AP202">IFERROR(INDEX(tblAnalysis[Entry MC ($)],ROW()-1),"")</f>
        <v/>
      </c>
      <c r="AQ202" s="10" t="str" cm="1">
        <f t="array" ref="AQ202">IFERROR(INDEX(tblAnalysis[P&amp;L %],ROW()-1),"")</f>
        <v/>
      </c>
      <c r="AR202" t="str" cm="1">
        <f t="array" ref="AR202">IFERROR(INDEX(tblAnalysis[Hold Time (s)],ROW()-1),"")</f>
        <v/>
      </c>
      <c r="AS202" s="6" t="str" cm="1">
        <f t="array" ref="AS202">IFERROR(INDEX(tblAnalysis[P&amp;L SOL],ROW()-1),"")</f>
        <v/>
      </c>
      <c r="AT202"/>
      <c r="AY202" s="10"/>
      <c r="AZ202" s="10"/>
      <c r="BA202" s="6"/>
      <c r="BB202"/>
      <c r="BF202" t="str">
        <f t="shared" si="75"/>
        <v/>
      </c>
      <c r="BG202" s="27" t="str">
        <f t="shared" si="76"/>
        <v/>
      </c>
      <c r="BH202" t="str">
        <f t="shared" si="77"/>
        <v/>
      </c>
      <c r="BL202" s="29" t="e">
        <f t="shared" si="64"/>
        <v>#N/A</v>
      </c>
      <c r="BM202" s="29" t="e">
        <f t="shared" si="65"/>
        <v>#N/A</v>
      </c>
    </row>
    <row r="203" spans="16:65" x14ac:dyDescent="0.35">
      <c r="P203" s="6"/>
      <c r="Q203" s="27"/>
      <c r="R203" s="6" t="str">
        <f>IF(Q203="","",SUMIFS(tblAnalysis[P&amp;L SOL],tblAnalysis[Date],Q203))</f>
        <v/>
      </c>
      <c r="S203" s="10" t="str">
        <f>IF(Q203="","",SUMIFS(tblAnalysis[P&amp;L %],tblAnalysis[Date],Q203))</f>
        <v/>
      </c>
      <c r="T203" s="6" t="str">
        <f>IF(Q203="","",IFERROR(SUM($R$2:R203),""))</f>
        <v/>
      </c>
      <c r="U203" t="str">
        <f>IF(Q203="","",COUNTIFS(tblAnalysis[Date],Q203))</f>
        <v/>
      </c>
      <c r="W203" s="27" t="str">
        <f t="shared" si="66"/>
        <v/>
      </c>
      <c r="X203" s="6" t="str">
        <f t="shared" si="67"/>
        <v/>
      </c>
      <c r="Y203" s="6" t="str">
        <f>IF(Q203="","",MAX(X203,_xlfn.MAXIFS(tblAnalysis[Cum P&amp;L SOL],tblAnalysis[Date],Q203)))</f>
        <v/>
      </c>
      <c r="Z203" s="6" t="str">
        <f>IF(Q203="","",MIN(X203,_xlfn.MINIFS(tblAnalysis[Cum P&amp;L SOL],tblAnalysis[Date],Q203)))</f>
        <v/>
      </c>
      <c r="AA203" s="6" t="str">
        <f t="shared" si="68"/>
        <v/>
      </c>
      <c r="AB203"/>
      <c r="AC203" s="27" t="str">
        <f t="shared" si="69"/>
        <v/>
      </c>
      <c r="AD203" s="10" t="str">
        <f t="shared" si="70"/>
        <v/>
      </c>
      <c r="AE203" s="10" t="str">
        <f t="shared" si="71"/>
        <v/>
      </c>
      <c r="AF203" s="10" t="str">
        <f t="shared" si="72"/>
        <v/>
      </c>
      <c r="AG203"/>
      <c r="AH203" t="str">
        <f t="shared" si="73"/>
        <v/>
      </c>
      <c r="AI203" t="str">
        <f t="shared" si="74"/>
        <v/>
      </c>
      <c r="AK203" t="str" cm="1">
        <f t="array" ref="AK203">IFERROR(IF(INDEX($A:$A,ROW())="","",INDEX($A:$A,ROW())),"")</f>
        <v/>
      </c>
      <c r="AL203" t="str" cm="1">
        <f t="array" ref="AL203">IFERROR(INDEX(tblTrades[sol_invested],ROW()-1),"")</f>
        <v/>
      </c>
      <c r="AM203" s="6" t="str" cm="1">
        <f t="array" ref="AM203">IFERROR(INDEX(tblAnalysis[P&amp;L SOL],ROW()-1),"")</f>
        <v/>
      </c>
      <c r="AN203" t="str" cm="1">
        <f t="array" ref="AN203">IFERROR(IF(INDEX(tblTrades[sol_invested],ROW()-1)&gt;0.5,INDEX(tblAnalysis[Token],ROW()-1)&amp;" ("&amp;TEXT(INDEX(tblTrades[sol_invested],ROW()-1),"0.0")&amp;" SOL)",""),"")</f>
        <v/>
      </c>
      <c r="AO203" s="7"/>
      <c r="AP203" s="12" t="str" cm="1">
        <f t="array" ref="AP203">IFERROR(INDEX(tblAnalysis[Entry MC ($)],ROW()-1),"")</f>
        <v/>
      </c>
      <c r="AQ203" s="10" t="str" cm="1">
        <f t="array" ref="AQ203">IFERROR(INDEX(tblAnalysis[P&amp;L %],ROW()-1),"")</f>
        <v/>
      </c>
      <c r="AR203" t="str" cm="1">
        <f t="array" ref="AR203">IFERROR(INDEX(tblAnalysis[Hold Time (s)],ROW()-1),"")</f>
        <v/>
      </c>
      <c r="AS203" s="6" t="str" cm="1">
        <f t="array" ref="AS203">IFERROR(INDEX(tblAnalysis[P&amp;L SOL],ROW()-1),"")</f>
        <v/>
      </c>
      <c r="AT203"/>
      <c r="AY203" s="10"/>
      <c r="AZ203" s="10"/>
      <c r="BA203" s="6"/>
      <c r="BB203"/>
      <c r="BF203" t="str">
        <f t="shared" si="75"/>
        <v/>
      </c>
      <c r="BG203" s="27" t="str">
        <f t="shared" si="76"/>
        <v/>
      </c>
      <c r="BH203" t="str">
        <f t="shared" si="77"/>
        <v/>
      </c>
      <c r="BL203" s="29" t="e">
        <f t="shared" si="64"/>
        <v>#N/A</v>
      </c>
      <c r="BM203" s="29" t="e">
        <f t="shared" si="65"/>
        <v>#N/A</v>
      </c>
    </row>
    <row r="204" spans="16:65" x14ac:dyDescent="0.35">
      <c r="P204" s="6"/>
      <c r="Q204" s="27"/>
      <c r="R204" s="6" t="str">
        <f>IF(Q204="","",SUMIFS(tblAnalysis[P&amp;L SOL],tblAnalysis[Date],Q204))</f>
        <v/>
      </c>
      <c r="S204" s="10" t="str">
        <f>IF(Q204="","",SUMIFS(tblAnalysis[P&amp;L %],tblAnalysis[Date],Q204))</f>
        <v/>
      </c>
      <c r="T204" s="6" t="str">
        <f>IF(Q204="","",IFERROR(SUM($R$2:R204),""))</f>
        <v/>
      </c>
      <c r="U204" t="str">
        <f>IF(Q204="","",COUNTIFS(tblAnalysis[Date],Q204))</f>
        <v/>
      </c>
      <c r="W204" s="27" t="str">
        <f t="shared" si="66"/>
        <v/>
      </c>
      <c r="X204" s="6" t="str">
        <f t="shared" si="67"/>
        <v/>
      </c>
      <c r="Y204" s="6" t="str">
        <f>IF(Q204="","",MAX(X204,_xlfn.MAXIFS(tblAnalysis[Cum P&amp;L SOL],tblAnalysis[Date],Q204)))</f>
        <v/>
      </c>
      <c r="Z204" s="6" t="str">
        <f>IF(Q204="","",MIN(X204,_xlfn.MINIFS(tblAnalysis[Cum P&amp;L SOL],tblAnalysis[Date],Q204)))</f>
        <v/>
      </c>
      <c r="AA204" s="6" t="str">
        <f t="shared" si="68"/>
        <v/>
      </c>
      <c r="AB204"/>
      <c r="AC204" s="27" t="str">
        <f t="shared" si="69"/>
        <v/>
      </c>
      <c r="AD204" s="10" t="str">
        <f t="shared" si="70"/>
        <v/>
      </c>
      <c r="AE204" s="10" t="str">
        <f t="shared" si="71"/>
        <v/>
      </c>
      <c r="AF204" s="10" t="str">
        <f t="shared" si="72"/>
        <v/>
      </c>
      <c r="AG204"/>
      <c r="AH204" t="str">
        <f t="shared" si="73"/>
        <v/>
      </c>
      <c r="AI204" t="str">
        <f t="shared" si="74"/>
        <v/>
      </c>
      <c r="AK204" t="str" cm="1">
        <f t="array" ref="AK204">IFERROR(IF(INDEX($A:$A,ROW())="","",INDEX($A:$A,ROW())),"")</f>
        <v/>
      </c>
      <c r="AL204" t="str" cm="1">
        <f t="array" ref="AL204">IFERROR(INDEX(tblTrades[sol_invested],ROW()-1),"")</f>
        <v/>
      </c>
      <c r="AM204" s="6" t="str" cm="1">
        <f t="array" ref="AM204">IFERROR(INDEX(tblAnalysis[P&amp;L SOL],ROW()-1),"")</f>
        <v/>
      </c>
      <c r="AN204" t="str" cm="1">
        <f t="array" ref="AN204">IFERROR(IF(INDEX(tblTrades[sol_invested],ROW()-1)&gt;0.5,INDEX(tblAnalysis[Token],ROW()-1)&amp;" ("&amp;TEXT(INDEX(tblTrades[sol_invested],ROW()-1),"0.0")&amp;" SOL)",""),"")</f>
        <v/>
      </c>
      <c r="AO204" s="7"/>
      <c r="AP204" s="12" t="str" cm="1">
        <f t="array" ref="AP204">IFERROR(INDEX(tblAnalysis[Entry MC ($)],ROW()-1),"")</f>
        <v/>
      </c>
      <c r="AQ204" s="10" t="str" cm="1">
        <f t="array" ref="AQ204">IFERROR(INDEX(tblAnalysis[P&amp;L %],ROW()-1),"")</f>
        <v/>
      </c>
      <c r="AR204" t="str" cm="1">
        <f t="array" ref="AR204">IFERROR(INDEX(tblAnalysis[Hold Time (s)],ROW()-1),"")</f>
        <v/>
      </c>
      <c r="AS204" s="6" t="str" cm="1">
        <f t="array" ref="AS204">IFERROR(INDEX(tblAnalysis[P&amp;L SOL],ROW()-1),"")</f>
        <v/>
      </c>
      <c r="AT204"/>
      <c r="AY204" s="10"/>
      <c r="AZ204" s="10"/>
      <c r="BA204" s="6"/>
      <c r="BB204"/>
      <c r="BF204" t="str">
        <f t="shared" si="75"/>
        <v/>
      </c>
      <c r="BG204" s="27" t="str">
        <f t="shared" si="76"/>
        <v/>
      </c>
      <c r="BH204" t="str">
        <f t="shared" si="77"/>
        <v/>
      </c>
      <c r="BL204" s="29" t="e">
        <f t="shared" si="64"/>
        <v>#N/A</v>
      </c>
      <c r="BM204" s="29" t="e">
        <f t="shared" si="65"/>
        <v>#N/A</v>
      </c>
    </row>
    <row r="205" spans="16:65" x14ac:dyDescent="0.35">
      <c r="P205" s="6"/>
      <c r="Q205" s="27"/>
      <c r="R205" s="6" t="str">
        <f>IF(Q205="","",SUMIFS(tblAnalysis[P&amp;L SOL],tblAnalysis[Date],Q205))</f>
        <v/>
      </c>
      <c r="S205" s="10" t="str">
        <f>IF(Q205="","",SUMIFS(tblAnalysis[P&amp;L %],tblAnalysis[Date],Q205))</f>
        <v/>
      </c>
      <c r="T205" s="6" t="str">
        <f>IF(Q205="","",IFERROR(SUM($R$2:R205),""))</f>
        <v/>
      </c>
      <c r="U205" t="str">
        <f>IF(Q205="","",COUNTIFS(tblAnalysis[Date],Q205))</f>
        <v/>
      </c>
      <c r="W205" s="27" t="str">
        <f t="shared" si="66"/>
        <v/>
      </c>
      <c r="X205" s="6" t="str">
        <f t="shared" si="67"/>
        <v/>
      </c>
      <c r="Y205" s="6" t="str">
        <f>IF(Q205="","",MAX(X205,_xlfn.MAXIFS(tblAnalysis[Cum P&amp;L SOL],tblAnalysis[Date],Q205)))</f>
        <v/>
      </c>
      <c r="Z205" s="6" t="str">
        <f>IF(Q205="","",MIN(X205,_xlfn.MINIFS(tblAnalysis[Cum P&amp;L SOL],tblAnalysis[Date],Q205)))</f>
        <v/>
      </c>
      <c r="AA205" s="6" t="str">
        <f t="shared" si="68"/>
        <v/>
      </c>
      <c r="AB205"/>
      <c r="AC205" s="27" t="str">
        <f t="shared" si="69"/>
        <v/>
      </c>
      <c r="AD205" s="10" t="str">
        <f t="shared" si="70"/>
        <v/>
      </c>
      <c r="AE205" s="10" t="str">
        <f t="shared" si="71"/>
        <v/>
      </c>
      <c r="AF205" s="10" t="str">
        <f t="shared" si="72"/>
        <v/>
      </c>
      <c r="AG205"/>
      <c r="AH205" t="str">
        <f t="shared" si="73"/>
        <v/>
      </c>
      <c r="AI205" t="str">
        <f t="shared" si="74"/>
        <v/>
      </c>
      <c r="AK205" t="str" cm="1">
        <f t="array" ref="AK205">IFERROR(IF(INDEX($A:$A,ROW())="","",INDEX($A:$A,ROW())),"")</f>
        <v/>
      </c>
      <c r="AL205" t="str" cm="1">
        <f t="array" ref="AL205">IFERROR(INDEX(tblTrades[sol_invested],ROW()-1),"")</f>
        <v/>
      </c>
      <c r="AM205" s="6" t="str" cm="1">
        <f t="array" ref="AM205">IFERROR(INDEX(tblAnalysis[P&amp;L SOL],ROW()-1),"")</f>
        <v/>
      </c>
      <c r="AN205" t="str" cm="1">
        <f t="array" ref="AN205">IFERROR(IF(INDEX(tblTrades[sol_invested],ROW()-1)&gt;0.5,INDEX(tblAnalysis[Token],ROW()-1)&amp;" ("&amp;TEXT(INDEX(tblTrades[sol_invested],ROW()-1),"0.0")&amp;" SOL)",""),"")</f>
        <v/>
      </c>
      <c r="AO205" s="7"/>
      <c r="AP205" s="12" t="str" cm="1">
        <f t="array" ref="AP205">IFERROR(INDEX(tblAnalysis[Entry MC ($)],ROW()-1),"")</f>
        <v/>
      </c>
      <c r="AQ205" s="10" t="str" cm="1">
        <f t="array" ref="AQ205">IFERROR(INDEX(tblAnalysis[P&amp;L %],ROW()-1),"")</f>
        <v/>
      </c>
      <c r="AR205" t="str" cm="1">
        <f t="array" ref="AR205">IFERROR(INDEX(tblAnalysis[Hold Time (s)],ROW()-1),"")</f>
        <v/>
      </c>
      <c r="AS205" s="6" t="str" cm="1">
        <f t="array" ref="AS205">IFERROR(INDEX(tblAnalysis[P&amp;L SOL],ROW()-1),"")</f>
        <v/>
      </c>
      <c r="AT205"/>
      <c r="AY205" s="10"/>
      <c r="AZ205" s="10"/>
      <c r="BA205" s="6"/>
      <c r="BB205"/>
      <c r="BF205" t="str">
        <f t="shared" si="75"/>
        <v/>
      </c>
      <c r="BG205" s="27" t="str">
        <f t="shared" si="76"/>
        <v/>
      </c>
      <c r="BH205" t="str">
        <f t="shared" si="77"/>
        <v/>
      </c>
      <c r="BL205" s="29" t="e">
        <f t="shared" si="64"/>
        <v>#N/A</v>
      </c>
      <c r="BM205" s="29" t="e">
        <f t="shared" si="65"/>
        <v>#N/A</v>
      </c>
    </row>
    <row r="206" spans="16:65" x14ac:dyDescent="0.35">
      <c r="P206" s="6"/>
      <c r="Q206" s="27"/>
      <c r="R206" s="6" t="str">
        <f>IF(Q206="","",SUMIFS(tblAnalysis[P&amp;L SOL],tblAnalysis[Date],Q206))</f>
        <v/>
      </c>
      <c r="S206" s="10" t="str">
        <f>IF(Q206="","",SUMIFS(tblAnalysis[P&amp;L %],tblAnalysis[Date],Q206))</f>
        <v/>
      </c>
      <c r="T206" s="6" t="str">
        <f>IF(Q206="","",IFERROR(SUM($R$2:R206),""))</f>
        <v/>
      </c>
      <c r="U206" t="str">
        <f>IF(Q206="","",COUNTIFS(tblAnalysis[Date],Q206))</f>
        <v/>
      </c>
      <c r="W206" s="27" t="str">
        <f t="shared" si="66"/>
        <v/>
      </c>
      <c r="X206" s="6" t="str">
        <f t="shared" si="67"/>
        <v/>
      </c>
      <c r="Y206" s="6" t="str">
        <f>IF(Q206="","",MAX(X206,_xlfn.MAXIFS(tblAnalysis[Cum P&amp;L SOL],tblAnalysis[Date],Q206)))</f>
        <v/>
      </c>
      <c r="Z206" s="6" t="str">
        <f>IF(Q206="","",MIN(X206,_xlfn.MINIFS(tblAnalysis[Cum P&amp;L SOL],tblAnalysis[Date],Q206)))</f>
        <v/>
      </c>
      <c r="AA206" s="6" t="str">
        <f t="shared" si="68"/>
        <v/>
      </c>
      <c r="AB206"/>
      <c r="AC206" s="27" t="str">
        <f t="shared" si="69"/>
        <v/>
      </c>
      <c r="AD206" s="10" t="str">
        <f t="shared" si="70"/>
        <v/>
      </c>
      <c r="AE206" s="10" t="str">
        <f t="shared" si="71"/>
        <v/>
      </c>
      <c r="AF206" s="10" t="str">
        <f t="shared" si="72"/>
        <v/>
      </c>
      <c r="AG206"/>
      <c r="AH206" t="str">
        <f t="shared" si="73"/>
        <v/>
      </c>
      <c r="AI206" t="str">
        <f t="shared" si="74"/>
        <v/>
      </c>
      <c r="AK206" t="str" cm="1">
        <f t="array" ref="AK206">IFERROR(IF(INDEX($A:$A,ROW())="","",INDEX($A:$A,ROW())),"")</f>
        <v/>
      </c>
      <c r="AL206" t="str" cm="1">
        <f t="array" ref="AL206">IFERROR(INDEX(tblTrades[sol_invested],ROW()-1),"")</f>
        <v/>
      </c>
      <c r="AM206" s="6" t="str" cm="1">
        <f t="array" ref="AM206">IFERROR(INDEX(tblAnalysis[P&amp;L SOL],ROW()-1),"")</f>
        <v/>
      </c>
      <c r="AN206" t="str" cm="1">
        <f t="array" ref="AN206">IFERROR(IF(INDEX(tblTrades[sol_invested],ROW()-1)&gt;0.5,INDEX(tblAnalysis[Token],ROW()-1)&amp;" ("&amp;TEXT(INDEX(tblTrades[sol_invested],ROW()-1),"0.0")&amp;" SOL)",""),"")</f>
        <v/>
      </c>
      <c r="AO206" s="7"/>
      <c r="AP206" s="12" t="str" cm="1">
        <f t="array" ref="AP206">IFERROR(INDEX(tblAnalysis[Entry MC ($)],ROW()-1),"")</f>
        <v/>
      </c>
      <c r="AQ206" s="10" t="str" cm="1">
        <f t="array" ref="AQ206">IFERROR(INDEX(tblAnalysis[P&amp;L %],ROW()-1),"")</f>
        <v/>
      </c>
      <c r="AR206" t="str" cm="1">
        <f t="array" ref="AR206">IFERROR(INDEX(tblAnalysis[Hold Time (s)],ROW()-1),"")</f>
        <v/>
      </c>
      <c r="AS206" s="6" t="str" cm="1">
        <f t="array" ref="AS206">IFERROR(INDEX(tblAnalysis[P&amp;L SOL],ROW()-1),"")</f>
        <v/>
      </c>
      <c r="AT206"/>
      <c r="AY206" s="10"/>
      <c r="AZ206" s="10"/>
      <c r="BA206" s="6"/>
      <c r="BB206"/>
      <c r="BF206" t="str">
        <f t="shared" si="75"/>
        <v/>
      </c>
      <c r="BG206" s="27" t="str">
        <f t="shared" si="76"/>
        <v/>
      </c>
      <c r="BH206" t="str">
        <f t="shared" si="77"/>
        <v/>
      </c>
      <c r="BL206" s="29" t="e">
        <f t="shared" si="64"/>
        <v>#N/A</v>
      </c>
      <c r="BM206" s="29" t="e">
        <f t="shared" si="65"/>
        <v>#N/A</v>
      </c>
    </row>
    <row r="207" spans="16:65" x14ac:dyDescent="0.35">
      <c r="P207" s="6"/>
      <c r="Q207" s="27"/>
      <c r="R207" s="6" t="str">
        <f>IF(Q207="","",SUMIFS(tblAnalysis[P&amp;L SOL],tblAnalysis[Date],Q207))</f>
        <v/>
      </c>
      <c r="S207" s="10" t="str">
        <f>IF(Q207="","",SUMIFS(tblAnalysis[P&amp;L %],tblAnalysis[Date],Q207))</f>
        <v/>
      </c>
      <c r="T207" s="6" t="str">
        <f>IF(Q207="","",IFERROR(SUM($R$2:R207),""))</f>
        <v/>
      </c>
      <c r="U207" t="str">
        <f>IF(Q207="","",COUNTIFS(tblAnalysis[Date],Q207))</f>
        <v/>
      </c>
      <c r="W207" s="27" t="str">
        <f t="shared" si="66"/>
        <v/>
      </c>
      <c r="X207" s="6" t="str">
        <f t="shared" si="67"/>
        <v/>
      </c>
      <c r="Y207" s="6" t="str">
        <f>IF(Q207="","",MAX(X207,_xlfn.MAXIFS(tblAnalysis[Cum P&amp;L SOL],tblAnalysis[Date],Q207)))</f>
        <v/>
      </c>
      <c r="Z207" s="6" t="str">
        <f>IF(Q207="","",MIN(X207,_xlfn.MINIFS(tblAnalysis[Cum P&amp;L SOL],tblAnalysis[Date],Q207)))</f>
        <v/>
      </c>
      <c r="AA207" s="6" t="str">
        <f t="shared" si="68"/>
        <v/>
      </c>
      <c r="AB207"/>
      <c r="AC207" s="27" t="str">
        <f t="shared" si="69"/>
        <v/>
      </c>
      <c r="AD207" s="10" t="str">
        <f t="shared" si="70"/>
        <v/>
      </c>
      <c r="AE207" s="10" t="str">
        <f t="shared" si="71"/>
        <v/>
      </c>
      <c r="AF207" s="10" t="str">
        <f t="shared" si="72"/>
        <v/>
      </c>
      <c r="AG207"/>
      <c r="AH207" t="str">
        <f t="shared" si="73"/>
        <v/>
      </c>
      <c r="AI207" t="str">
        <f t="shared" si="74"/>
        <v/>
      </c>
      <c r="AK207" t="str" cm="1">
        <f t="array" ref="AK207">IFERROR(IF(INDEX($A:$A,ROW())="","",INDEX($A:$A,ROW())),"")</f>
        <v/>
      </c>
      <c r="AL207" t="str" cm="1">
        <f t="array" ref="AL207">IFERROR(INDEX(tblTrades[sol_invested],ROW()-1),"")</f>
        <v/>
      </c>
      <c r="AM207" s="6" t="str" cm="1">
        <f t="array" ref="AM207">IFERROR(INDEX(tblAnalysis[P&amp;L SOL],ROW()-1),"")</f>
        <v/>
      </c>
      <c r="AN207" t="str" cm="1">
        <f t="array" ref="AN207">IFERROR(IF(INDEX(tblTrades[sol_invested],ROW()-1)&gt;0.5,INDEX(tblAnalysis[Token],ROW()-1)&amp;" ("&amp;TEXT(INDEX(tblTrades[sol_invested],ROW()-1),"0.0")&amp;" SOL)",""),"")</f>
        <v/>
      </c>
      <c r="AO207" s="7"/>
      <c r="AP207" s="12" t="str" cm="1">
        <f t="array" ref="AP207">IFERROR(INDEX(tblAnalysis[Entry MC ($)],ROW()-1),"")</f>
        <v/>
      </c>
      <c r="AQ207" s="10" t="str" cm="1">
        <f t="array" ref="AQ207">IFERROR(INDEX(tblAnalysis[P&amp;L %],ROW()-1),"")</f>
        <v/>
      </c>
      <c r="AR207" t="str" cm="1">
        <f t="array" ref="AR207">IFERROR(INDEX(tblAnalysis[Hold Time (s)],ROW()-1),"")</f>
        <v/>
      </c>
      <c r="AS207" s="6" t="str" cm="1">
        <f t="array" ref="AS207">IFERROR(INDEX(tblAnalysis[P&amp;L SOL],ROW()-1),"")</f>
        <v/>
      </c>
      <c r="AT207"/>
      <c r="AY207" s="10"/>
      <c r="AZ207" s="10"/>
      <c r="BA207" s="6"/>
      <c r="BB207"/>
      <c r="BF207" t="str">
        <f t="shared" si="75"/>
        <v/>
      </c>
      <c r="BG207" s="27" t="str">
        <f t="shared" si="76"/>
        <v/>
      </c>
      <c r="BH207" t="str">
        <f t="shared" si="77"/>
        <v/>
      </c>
      <c r="BL207" s="29" t="e">
        <f t="shared" si="64"/>
        <v>#N/A</v>
      </c>
      <c r="BM207" s="29" t="e">
        <f t="shared" si="65"/>
        <v>#N/A</v>
      </c>
    </row>
    <row r="208" spans="16:65" x14ac:dyDescent="0.35">
      <c r="P208" s="6"/>
      <c r="Q208" s="27"/>
      <c r="R208" s="6" t="str">
        <f>IF(Q208="","",SUMIFS(tblAnalysis[P&amp;L SOL],tblAnalysis[Date],Q208))</f>
        <v/>
      </c>
      <c r="S208" s="10" t="str">
        <f>IF(Q208="","",SUMIFS(tblAnalysis[P&amp;L %],tblAnalysis[Date],Q208))</f>
        <v/>
      </c>
      <c r="T208" s="6" t="str">
        <f>IF(Q208="","",IFERROR(SUM($R$2:R208),""))</f>
        <v/>
      </c>
      <c r="U208" t="str">
        <f>IF(Q208="","",COUNTIFS(tblAnalysis[Date],Q208))</f>
        <v/>
      </c>
      <c r="W208" s="27" t="str">
        <f t="shared" si="66"/>
        <v/>
      </c>
      <c r="X208" s="6" t="str">
        <f t="shared" si="67"/>
        <v/>
      </c>
      <c r="Y208" s="6" t="str">
        <f>IF(Q208="","",MAX(X208,_xlfn.MAXIFS(tblAnalysis[Cum P&amp;L SOL],tblAnalysis[Date],Q208)))</f>
        <v/>
      </c>
      <c r="Z208" s="6" t="str">
        <f>IF(Q208="","",MIN(X208,_xlfn.MINIFS(tblAnalysis[Cum P&amp;L SOL],tblAnalysis[Date],Q208)))</f>
        <v/>
      </c>
      <c r="AA208" s="6" t="str">
        <f t="shared" si="68"/>
        <v/>
      </c>
      <c r="AB208"/>
      <c r="AC208" s="27" t="str">
        <f t="shared" si="69"/>
        <v/>
      </c>
      <c r="AD208" s="10" t="str">
        <f t="shared" si="70"/>
        <v/>
      </c>
      <c r="AE208" s="10" t="str">
        <f t="shared" si="71"/>
        <v/>
      </c>
      <c r="AF208" s="10" t="str">
        <f t="shared" si="72"/>
        <v/>
      </c>
      <c r="AG208"/>
      <c r="AH208" t="str">
        <f t="shared" si="73"/>
        <v/>
      </c>
      <c r="AI208" t="str">
        <f t="shared" si="74"/>
        <v/>
      </c>
      <c r="AK208" t="str" cm="1">
        <f t="array" ref="AK208">IFERROR(IF(INDEX($A:$A,ROW())="","",INDEX($A:$A,ROW())),"")</f>
        <v/>
      </c>
      <c r="AL208" t="str" cm="1">
        <f t="array" ref="AL208">IFERROR(INDEX(tblTrades[sol_invested],ROW()-1),"")</f>
        <v/>
      </c>
      <c r="AM208" s="6" t="str" cm="1">
        <f t="array" ref="AM208">IFERROR(INDEX(tblAnalysis[P&amp;L SOL],ROW()-1),"")</f>
        <v/>
      </c>
      <c r="AN208" t="str" cm="1">
        <f t="array" ref="AN208">IFERROR(IF(INDEX(tblTrades[sol_invested],ROW()-1)&gt;0.5,INDEX(tblAnalysis[Token],ROW()-1)&amp;" ("&amp;TEXT(INDEX(tblTrades[sol_invested],ROW()-1),"0.0")&amp;" SOL)",""),"")</f>
        <v/>
      </c>
      <c r="AO208" s="7"/>
      <c r="AP208" s="12" t="str" cm="1">
        <f t="array" ref="AP208">IFERROR(INDEX(tblAnalysis[Entry MC ($)],ROW()-1),"")</f>
        <v/>
      </c>
      <c r="AQ208" s="10" t="str" cm="1">
        <f t="array" ref="AQ208">IFERROR(INDEX(tblAnalysis[P&amp;L %],ROW()-1),"")</f>
        <v/>
      </c>
      <c r="AR208" t="str" cm="1">
        <f t="array" ref="AR208">IFERROR(INDEX(tblAnalysis[Hold Time (s)],ROW()-1),"")</f>
        <v/>
      </c>
      <c r="AS208" s="6" t="str" cm="1">
        <f t="array" ref="AS208">IFERROR(INDEX(tblAnalysis[P&amp;L SOL],ROW()-1),"")</f>
        <v/>
      </c>
      <c r="AT208"/>
      <c r="AY208" s="10"/>
      <c r="AZ208" s="10"/>
      <c r="BA208" s="6"/>
      <c r="BB208"/>
      <c r="BF208" t="str">
        <f t="shared" si="75"/>
        <v/>
      </c>
      <c r="BG208" s="27" t="str">
        <f t="shared" si="76"/>
        <v/>
      </c>
      <c r="BH208" t="str">
        <f t="shared" si="77"/>
        <v/>
      </c>
      <c r="BL208" s="29" t="e">
        <f t="shared" si="64"/>
        <v>#N/A</v>
      </c>
      <c r="BM208" s="29" t="e">
        <f t="shared" si="65"/>
        <v>#N/A</v>
      </c>
    </row>
    <row r="209" spans="16:65" x14ac:dyDescent="0.35">
      <c r="P209" s="6"/>
      <c r="Q209" s="27"/>
      <c r="R209" s="6" t="str">
        <f>IF(Q209="","",SUMIFS(tblAnalysis[P&amp;L SOL],tblAnalysis[Date],Q209))</f>
        <v/>
      </c>
      <c r="S209" s="10" t="str">
        <f>IF(Q209="","",SUMIFS(tblAnalysis[P&amp;L %],tblAnalysis[Date],Q209))</f>
        <v/>
      </c>
      <c r="T209" s="6" t="str">
        <f>IF(Q209="","",IFERROR(SUM($R$2:R209),""))</f>
        <v/>
      </c>
      <c r="U209" t="str">
        <f>IF(Q209="","",COUNTIFS(tblAnalysis[Date],Q209))</f>
        <v/>
      </c>
      <c r="W209" s="27" t="str">
        <f t="shared" si="66"/>
        <v/>
      </c>
      <c r="X209" s="6" t="str">
        <f t="shared" si="67"/>
        <v/>
      </c>
      <c r="Y209" s="6" t="str">
        <f>IF(Q209="","",MAX(X209,_xlfn.MAXIFS(tblAnalysis[Cum P&amp;L SOL],tblAnalysis[Date],Q209)))</f>
        <v/>
      </c>
      <c r="Z209" s="6" t="str">
        <f>IF(Q209="","",MIN(X209,_xlfn.MINIFS(tblAnalysis[Cum P&amp;L SOL],tblAnalysis[Date],Q209)))</f>
        <v/>
      </c>
      <c r="AA209" s="6" t="str">
        <f t="shared" si="68"/>
        <v/>
      </c>
      <c r="AB209"/>
      <c r="AC209" s="27" t="str">
        <f t="shared" si="69"/>
        <v/>
      </c>
      <c r="AD209" s="10" t="str">
        <f t="shared" si="70"/>
        <v/>
      </c>
      <c r="AE209" s="10" t="str">
        <f t="shared" si="71"/>
        <v/>
      </c>
      <c r="AF209" s="10" t="str">
        <f t="shared" si="72"/>
        <v/>
      </c>
      <c r="AG209"/>
      <c r="AH209" t="str">
        <f t="shared" si="73"/>
        <v/>
      </c>
      <c r="AI209" t="str">
        <f t="shared" si="74"/>
        <v/>
      </c>
      <c r="AK209" t="str" cm="1">
        <f t="array" ref="AK209">IFERROR(IF(INDEX($A:$A,ROW())="","",INDEX($A:$A,ROW())),"")</f>
        <v/>
      </c>
      <c r="AL209" t="str" cm="1">
        <f t="array" ref="AL209">IFERROR(INDEX(tblTrades[sol_invested],ROW()-1),"")</f>
        <v/>
      </c>
      <c r="AM209" s="6" t="str" cm="1">
        <f t="array" ref="AM209">IFERROR(INDEX(tblAnalysis[P&amp;L SOL],ROW()-1),"")</f>
        <v/>
      </c>
      <c r="AN209" t="str" cm="1">
        <f t="array" ref="AN209">IFERROR(IF(INDEX(tblTrades[sol_invested],ROW()-1)&gt;0.5,INDEX(tblAnalysis[Token],ROW()-1)&amp;" ("&amp;TEXT(INDEX(tblTrades[sol_invested],ROW()-1),"0.0")&amp;" SOL)",""),"")</f>
        <v/>
      </c>
      <c r="AO209" s="7"/>
      <c r="AP209" s="12" t="str" cm="1">
        <f t="array" ref="AP209">IFERROR(INDEX(tblAnalysis[Entry MC ($)],ROW()-1),"")</f>
        <v/>
      </c>
      <c r="AQ209" s="10" t="str" cm="1">
        <f t="array" ref="AQ209">IFERROR(INDEX(tblAnalysis[P&amp;L %],ROW()-1),"")</f>
        <v/>
      </c>
      <c r="AR209" t="str" cm="1">
        <f t="array" ref="AR209">IFERROR(INDEX(tblAnalysis[Hold Time (s)],ROW()-1),"")</f>
        <v/>
      </c>
      <c r="AS209" s="6" t="str" cm="1">
        <f t="array" ref="AS209">IFERROR(INDEX(tblAnalysis[P&amp;L SOL],ROW()-1),"")</f>
        <v/>
      </c>
      <c r="AT209"/>
      <c r="AY209" s="10"/>
      <c r="AZ209" s="10"/>
      <c r="BA209" s="6"/>
      <c r="BB209"/>
      <c r="BF209" t="str">
        <f t="shared" si="75"/>
        <v/>
      </c>
      <c r="BG209" s="27" t="str">
        <f t="shared" si="76"/>
        <v/>
      </c>
      <c r="BH209" t="str">
        <f t="shared" si="77"/>
        <v/>
      </c>
      <c r="BL209" s="29" t="e">
        <f t="shared" si="64"/>
        <v>#N/A</v>
      </c>
      <c r="BM209" s="29" t="e">
        <f t="shared" si="65"/>
        <v>#N/A</v>
      </c>
    </row>
    <row r="210" spans="16:65" x14ac:dyDescent="0.35">
      <c r="P210" s="6"/>
      <c r="Q210" s="27"/>
      <c r="R210" s="6" t="str">
        <f>IF(Q210="","",SUMIFS(tblAnalysis[P&amp;L SOL],tblAnalysis[Date],Q210))</f>
        <v/>
      </c>
      <c r="S210" s="10" t="str">
        <f>IF(Q210="","",SUMIFS(tblAnalysis[P&amp;L %],tblAnalysis[Date],Q210))</f>
        <v/>
      </c>
      <c r="T210" s="6" t="str">
        <f>IF(Q210="","",IFERROR(SUM($R$2:R210),""))</f>
        <v/>
      </c>
      <c r="U210" t="str">
        <f>IF(Q210="","",COUNTIFS(tblAnalysis[Date],Q210))</f>
        <v/>
      </c>
      <c r="W210" s="27" t="str">
        <f t="shared" si="66"/>
        <v/>
      </c>
      <c r="X210" s="6" t="str">
        <f t="shared" si="67"/>
        <v/>
      </c>
      <c r="Y210" s="6" t="str">
        <f>IF(Q210="","",MAX(X210,_xlfn.MAXIFS(tblAnalysis[Cum P&amp;L SOL],tblAnalysis[Date],Q210)))</f>
        <v/>
      </c>
      <c r="Z210" s="6" t="str">
        <f>IF(Q210="","",MIN(X210,_xlfn.MINIFS(tblAnalysis[Cum P&amp;L SOL],tblAnalysis[Date],Q210)))</f>
        <v/>
      </c>
      <c r="AA210" s="6" t="str">
        <f t="shared" si="68"/>
        <v/>
      </c>
      <c r="AB210"/>
      <c r="AC210" s="27" t="str">
        <f t="shared" si="69"/>
        <v/>
      </c>
      <c r="AD210" s="10" t="str">
        <f t="shared" si="70"/>
        <v/>
      </c>
      <c r="AE210" s="10" t="str">
        <f t="shared" si="71"/>
        <v/>
      </c>
      <c r="AF210" s="10" t="str">
        <f t="shared" si="72"/>
        <v/>
      </c>
      <c r="AG210"/>
      <c r="AH210" t="str">
        <f t="shared" si="73"/>
        <v/>
      </c>
      <c r="AI210" t="str">
        <f t="shared" si="74"/>
        <v/>
      </c>
      <c r="AK210" t="str" cm="1">
        <f t="array" ref="AK210">IFERROR(IF(INDEX($A:$A,ROW())="","",INDEX($A:$A,ROW())),"")</f>
        <v/>
      </c>
      <c r="AL210" t="str" cm="1">
        <f t="array" ref="AL210">IFERROR(INDEX(tblTrades[sol_invested],ROW()-1),"")</f>
        <v/>
      </c>
      <c r="AM210" s="6" t="str" cm="1">
        <f t="array" ref="AM210">IFERROR(INDEX(tblAnalysis[P&amp;L SOL],ROW()-1),"")</f>
        <v/>
      </c>
      <c r="AN210" t="str" cm="1">
        <f t="array" ref="AN210">IFERROR(IF(INDEX(tblTrades[sol_invested],ROW()-1)&gt;0.5,INDEX(tblAnalysis[Token],ROW()-1)&amp;" ("&amp;TEXT(INDEX(tblTrades[sol_invested],ROW()-1),"0.0")&amp;" SOL)",""),"")</f>
        <v/>
      </c>
      <c r="AO210" s="7"/>
      <c r="AP210" s="12" t="str" cm="1">
        <f t="array" ref="AP210">IFERROR(INDEX(tblAnalysis[Entry MC ($)],ROW()-1),"")</f>
        <v/>
      </c>
      <c r="AQ210" s="10" t="str" cm="1">
        <f t="array" ref="AQ210">IFERROR(INDEX(tblAnalysis[P&amp;L %],ROW()-1),"")</f>
        <v/>
      </c>
      <c r="AR210" t="str" cm="1">
        <f t="array" ref="AR210">IFERROR(INDEX(tblAnalysis[Hold Time (s)],ROW()-1),"")</f>
        <v/>
      </c>
      <c r="AS210" s="6" t="str" cm="1">
        <f t="array" ref="AS210">IFERROR(INDEX(tblAnalysis[P&amp;L SOL],ROW()-1),"")</f>
        <v/>
      </c>
      <c r="AT210"/>
      <c r="AY210" s="10"/>
      <c r="AZ210" s="10"/>
      <c r="BA210" s="6"/>
      <c r="BB210"/>
      <c r="BF210" t="str">
        <f t="shared" si="75"/>
        <v/>
      </c>
      <c r="BG210" s="27" t="str">
        <f t="shared" si="76"/>
        <v/>
      </c>
      <c r="BH210" t="str">
        <f t="shared" si="77"/>
        <v/>
      </c>
      <c r="BL210" s="29" t="e">
        <f t="shared" si="64"/>
        <v>#N/A</v>
      </c>
      <c r="BM210" s="29" t="e">
        <f t="shared" si="65"/>
        <v>#N/A</v>
      </c>
    </row>
    <row r="211" spans="16:65" x14ac:dyDescent="0.35">
      <c r="P211" s="6"/>
      <c r="Q211" s="27"/>
      <c r="R211" s="6" t="str">
        <f>IF(Q211="","",SUMIFS(tblAnalysis[P&amp;L SOL],tblAnalysis[Date],Q211))</f>
        <v/>
      </c>
      <c r="S211" s="10" t="str">
        <f>IF(Q211="","",SUMIFS(tblAnalysis[P&amp;L %],tblAnalysis[Date],Q211))</f>
        <v/>
      </c>
      <c r="T211" s="6" t="str">
        <f>IF(Q211="","",IFERROR(SUM($R$2:R211),""))</f>
        <v/>
      </c>
      <c r="U211" t="str">
        <f>IF(Q211="","",COUNTIFS(tblAnalysis[Date],Q211))</f>
        <v/>
      </c>
      <c r="W211" s="27" t="str">
        <f t="shared" si="66"/>
        <v/>
      </c>
      <c r="X211" s="6" t="str">
        <f t="shared" si="67"/>
        <v/>
      </c>
      <c r="Y211" s="6" t="str">
        <f>IF(Q211="","",MAX(X211,_xlfn.MAXIFS(tblAnalysis[Cum P&amp;L SOL],tblAnalysis[Date],Q211)))</f>
        <v/>
      </c>
      <c r="Z211" s="6" t="str">
        <f>IF(Q211="","",MIN(X211,_xlfn.MINIFS(tblAnalysis[Cum P&amp;L SOL],tblAnalysis[Date],Q211)))</f>
        <v/>
      </c>
      <c r="AA211" s="6" t="str">
        <f t="shared" si="68"/>
        <v/>
      </c>
      <c r="AB211"/>
      <c r="AC211" s="27" t="str">
        <f t="shared" si="69"/>
        <v/>
      </c>
      <c r="AD211" s="10" t="str">
        <f t="shared" si="70"/>
        <v/>
      </c>
      <c r="AE211" s="10" t="str">
        <f t="shared" si="71"/>
        <v/>
      </c>
      <c r="AF211" s="10" t="str">
        <f t="shared" si="72"/>
        <v/>
      </c>
      <c r="AG211"/>
      <c r="AH211" t="str">
        <f t="shared" si="73"/>
        <v/>
      </c>
      <c r="AI211" t="str">
        <f t="shared" si="74"/>
        <v/>
      </c>
      <c r="AK211" t="str" cm="1">
        <f t="array" ref="AK211">IFERROR(IF(INDEX($A:$A,ROW())="","",INDEX($A:$A,ROW())),"")</f>
        <v/>
      </c>
      <c r="AL211" t="str" cm="1">
        <f t="array" ref="AL211">IFERROR(INDEX(tblTrades[sol_invested],ROW()-1),"")</f>
        <v/>
      </c>
      <c r="AM211" s="6" t="str" cm="1">
        <f t="array" ref="AM211">IFERROR(INDEX(tblAnalysis[P&amp;L SOL],ROW()-1),"")</f>
        <v/>
      </c>
      <c r="AN211" t="str" cm="1">
        <f t="array" ref="AN211">IFERROR(IF(INDEX(tblTrades[sol_invested],ROW()-1)&gt;0.5,INDEX(tblAnalysis[Token],ROW()-1)&amp;" ("&amp;TEXT(INDEX(tblTrades[sol_invested],ROW()-1),"0.0")&amp;" SOL)",""),"")</f>
        <v/>
      </c>
      <c r="AO211" s="7"/>
      <c r="AP211" s="12" t="str" cm="1">
        <f t="array" ref="AP211">IFERROR(INDEX(tblAnalysis[Entry MC ($)],ROW()-1),"")</f>
        <v/>
      </c>
      <c r="AQ211" s="10" t="str" cm="1">
        <f t="array" ref="AQ211">IFERROR(INDEX(tblAnalysis[P&amp;L %],ROW()-1),"")</f>
        <v/>
      </c>
      <c r="AR211" t="str" cm="1">
        <f t="array" ref="AR211">IFERROR(INDEX(tblAnalysis[Hold Time (s)],ROW()-1),"")</f>
        <v/>
      </c>
      <c r="AS211" s="6" t="str" cm="1">
        <f t="array" ref="AS211">IFERROR(INDEX(tblAnalysis[P&amp;L SOL],ROW()-1),"")</f>
        <v/>
      </c>
      <c r="AT211"/>
      <c r="AY211" s="10"/>
      <c r="AZ211" s="10"/>
      <c r="BA211" s="6"/>
      <c r="BB211"/>
      <c r="BF211" t="str">
        <f t="shared" si="75"/>
        <v/>
      </c>
      <c r="BG211" s="27" t="str">
        <f t="shared" si="76"/>
        <v/>
      </c>
      <c r="BH211" t="str">
        <f t="shared" si="77"/>
        <v/>
      </c>
      <c r="BL211" s="29" t="e">
        <f t="shared" si="64"/>
        <v>#N/A</v>
      </c>
      <c r="BM211" s="29" t="e">
        <f t="shared" si="65"/>
        <v>#N/A</v>
      </c>
    </row>
    <row r="212" spans="16:65" x14ac:dyDescent="0.35">
      <c r="P212" s="6"/>
      <c r="Q212" s="27"/>
      <c r="R212" s="6" t="str">
        <f>IF(Q212="","",SUMIFS(tblAnalysis[P&amp;L SOL],tblAnalysis[Date],Q212))</f>
        <v/>
      </c>
      <c r="S212" s="10" t="str">
        <f>IF(Q212="","",SUMIFS(tblAnalysis[P&amp;L %],tblAnalysis[Date],Q212))</f>
        <v/>
      </c>
      <c r="T212" s="6" t="str">
        <f>IF(Q212="","",IFERROR(SUM($R$2:R212),""))</f>
        <v/>
      </c>
      <c r="U212" t="str">
        <f>IF(Q212="","",COUNTIFS(tblAnalysis[Date],Q212))</f>
        <v/>
      </c>
      <c r="W212" s="27" t="str">
        <f t="shared" si="66"/>
        <v/>
      </c>
      <c r="X212" s="6" t="str">
        <f t="shared" si="67"/>
        <v/>
      </c>
      <c r="Y212" s="6" t="str">
        <f>IF(Q212="","",MAX(X212,_xlfn.MAXIFS(tblAnalysis[Cum P&amp;L SOL],tblAnalysis[Date],Q212)))</f>
        <v/>
      </c>
      <c r="Z212" s="6" t="str">
        <f>IF(Q212="","",MIN(X212,_xlfn.MINIFS(tblAnalysis[Cum P&amp;L SOL],tblAnalysis[Date],Q212)))</f>
        <v/>
      </c>
      <c r="AA212" s="6" t="str">
        <f t="shared" si="68"/>
        <v/>
      </c>
      <c r="AB212"/>
      <c r="AC212" s="27" t="str">
        <f t="shared" si="69"/>
        <v/>
      </c>
      <c r="AD212" s="10" t="str">
        <f t="shared" si="70"/>
        <v/>
      </c>
      <c r="AE212" s="10" t="str">
        <f t="shared" si="71"/>
        <v/>
      </c>
      <c r="AF212" s="10" t="str">
        <f t="shared" si="72"/>
        <v/>
      </c>
      <c r="AG212"/>
      <c r="AH212" t="str">
        <f t="shared" si="73"/>
        <v/>
      </c>
      <c r="AI212" t="str">
        <f t="shared" si="74"/>
        <v/>
      </c>
      <c r="AK212" t="str" cm="1">
        <f t="array" ref="AK212">IFERROR(IF(INDEX($A:$A,ROW())="","",INDEX($A:$A,ROW())),"")</f>
        <v/>
      </c>
      <c r="AL212" t="str" cm="1">
        <f t="array" ref="AL212">IFERROR(INDEX(tblTrades[sol_invested],ROW()-1),"")</f>
        <v/>
      </c>
      <c r="AM212" s="6" t="str" cm="1">
        <f t="array" ref="AM212">IFERROR(INDEX(tblAnalysis[P&amp;L SOL],ROW()-1),"")</f>
        <v/>
      </c>
      <c r="AN212" t="str" cm="1">
        <f t="array" ref="AN212">IFERROR(IF(INDEX(tblTrades[sol_invested],ROW()-1)&gt;0.5,INDEX(tblAnalysis[Token],ROW()-1)&amp;" ("&amp;TEXT(INDEX(tblTrades[sol_invested],ROW()-1),"0.0")&amp;" SOL)",""),"")</f>
        <v/>
      </c>
      <c r="AO212" s="7"/>
      <c r="AP212" s="12" t="str" cm="1">
        <f t="array" ref="AP212">IFERROR(INDEX(tblAnalysis[Entry MC ($)],ROW()-1),"")</f>
        <v/>
      </c>
      <c r="AQ212" s="10" t="str" cm="1">
        <f t="array" ref="AQ212">IFERROR(INDEX(tblAnalysis[P&amp;L %],ROW()-1),"")</f>
        <v/>
      </c>
      <c r="AR212" t="str" cm="1">
        <f t="array" ref="AR212">IFERROR(INDEX(tblAnalysis[Hold Time (s)],ROW()-1),"")</f>
        <v/>
      </c>
      <c r="AS212" s="6" t="str" cm="1">
        <f t="array" ref="AS212">IFERROR(INDEX(tblAnalysis[P&amp;L SOL],ROW()-1),"")</f>
        <v/>
      </c>
      <c r="AT212"/>
      <c r="AY212" s="10"/>
      <c r="AZ212" s="10"/>
      <c r="BA212" s="6"/>
      <c r="BB212"/>
      <c r="BF212" t="str">
        <f t="shared" si="75"/>
        <v/>
      </c>
      <c r="BG212" s="27" t="str">
        <f t="shared" si="76"/>
        <v/>
      </c>
      <c r="BH212" t="str">
        <f t="shared" si="77"/>
        <v/>
      </c>
      <c r="BL212" s="29" t="e">
        <f t="shared" si="64"/>
        <v>#N/A</v>
      </c>
      <c r="BM212" s="29" t="e">
        <f t="shared" si="65"/>
        <v>#N/A</v>
      </c>
    </row>
    <row r="213" spans="16:65" x14ac:dyDescent="0.35">
      <c r="P213" s="6"/>
      <c r="Q213" s="27"/>
      <c r="R213" s="6" t="str">
        <f>IF(Q213="","",SUMIFS(tblAnalysis[P&amp;L SOL],tblAnalysis[Date],Q213))</f>
        <v/>
      </c>
      <c r="S213" s="10" t="str">
        <f>IF(Q213="","",SUMIFS(tblAnalysis[P&amp;L %],tblAnalysis[Date],Q213))</f>
        <v/>
      </c>
      <c r="T213" s="6" t="str">
        <f>IF(Q213="","",IFERROR(SUM($R$2:R213),""))</f>
        <v/>
      </c>
      <c r="U213" t="str">
        <f>IF(Q213="","",COUNTIFS(tblAnalysis[Date],Q213))</f>
        <v/>
      </c>
      <c r="W213" s="27" t="str">
        <f t="shared" si="66"/>
        <v/>
      </c>
      <c r="X213" s="6" t="str">
        <f t="shared" si="67"/>
        <v/>
      </c>
      <c r="Y213" s="6" t="str">
        <f>IF(Q213="","",MAX(X213,_xlfn.MAXIFS(tblAnalysis[Cum P&amp;L SOL],tblAnalysis[Date],Q213)))</f>
        <v/>
      </c>
      <c r="Z213" s="6" t="str">
        <f>IF(Q213="","",MIN(X213,_xlfn.MINIFS(tblAnalysis[Cum P&amp;L SOL],tblAnalysis[Date],Q213)))</f>
        <v/>
      </c>
      <c r="AA213" s="6" t="str">
        <f t="shared" si="68"/>
        <v/>
      </c>
      <c r="AB213"/>
      <c r="AC213" s="27" t="str">
        <f t="shared" si="69"/>
        <v/>
      </c>
      <c r="AD213" s="10" t="str">
        <f t="shared" si="70"/>
        <v/>
      </c>
      <c r="AE213" s="10" t="str">
        <f t="shared" si="71"/>
        <v/>
      </c>
      <c r="AF213" s="10" t="str">
        <f t="shared" si="72"/>
        <v/>
      </c>
      <c r="AG213"/>
      <c r="AH213" t="str">
        <f t="shared" si="73"/>
        <v/>
      </c>
      <c r="AI213" t="str">
        <f t="shared" si="74"/>
        <v/>
      </c>
      <c r="AK213" t="str" cm="1">
        <f t="array" ref="AK213">IFERROR(IF(INDEX($A:$A,ROW())="","",INDEX($A:$A,ROW())),"")</f>
        <v/>
      </c>
      <c r="AL213" t="str" cm="1">
        <f t="array" ref="AL213">IFERROR(INDEX(tblTrades[sol_invested],ROW()-1),"")</f>
        <v/>
      </c>
      <c r="AM213" s="6" t="str" cm="1">
        <f t="array" ref="AM213">IFERROR(INDEX(tblAnalysis[P&amp;L SOL],ROW()-1),"")</f>
        <v/>
      </c>
      <c r="AN213" t="str" cm="1">
        <f t="array" ref="AN213">IFERROR(IF(INDEX(tblTrades[sol_invested],ROW()-1)&gt;0.5,INDEX(tblAnalysis[Token],ROW()-1)&amp;" ("&amp;TEXT(INDEX(tblTrades[sol_invested],ROW()-1),"0.0")&amp;" SOL)",""),"")</f>
        <v/>
      </c>
      <c r="AO213" s="7"/>
      <c r="AP213" s="12" t="str" cm="1">
        <f t="array" ref="AP213">IFERROR(INDEX(tblAnalysis[Entry MC ($)],ROW()-1),"")</f>
        <v/>
      </c>
      <c r="AQ213" s="10" t="str" cm="1">
        <f t="array" ref="AQ213">IFERROR(INDEX(tblAnalysis[P&amp;L %],ROW()-1),"")</f>
        <v/>
      </c>
      <c r="AR213" t="str" cm="1">
        <f t="array" ref="AR213">IFERROR(INDEX(tblAnalysis[Hold Time (s)],ROW()-1),"")</f>
        <v/>
      </c>
      <c r="AS213" s="6" t="str" cm="1">
        <f t="array" ref="AS213">IFERROR(INDEX(tblAnalysis[P&amp;L SOL],ROW()-1),"")</f>
        <v/>
      </c>
      <c r="AT213"/>
      <c r="AY213" s="10"/>
      <c r="AZ213" s="10"/>
      <c r="BA213" s="6"/>
      <c r="BB213"/>
      <c r="BF213" t="str">
        <f t="shared" si="75"/>
        <v/>
      </c>
      <c r="BG213" s="27" t="str">
        <f t="shared" si="76"/>
        <v/>
      </c>
      <c r="BH213" t="str">
        <f t="shared" si="77"/>
        <v/>
      </c>
      <c r="BL213" s="29" t="e">
        <f t="shared" si="64"/>
        <v>#N/A</v>
      </c>
      <c r="BM213" s="29" t="e">
        <f t="shared" si="65"/>
        <v>#N/A</v>
      </c>
    </row>
    <row r="214" spans="16:65" x14ac:dyDescent="0.35">
      <c r="P214" s="6"/>
      <c r="Q214" s="27"/>
      <c r="R214" s="6" t="str">
        <f>IF(Q214="","",SUMIFS(tblAnalysis[P&amp;L SOL],tblAnalysis[Date],Q214))</f>
        <v/>
      </c>
      <c r="S214" s="10" t="str">
        <f>IF(Q214="","",SUMIFS(tblAnalysis[P&amp;L %],tblAnalysis[Date],Q214))</f>
        <v/>
      </c>
      <c r="T214" s="6" t="str">
        <f>IF(Q214="","",IFERROR(SUM($R$2:R214),""))</f>
        <v/>
      </c>
      <c r="U214" t="str">
        <f>IF(Q214="","",COUNTIFS(tblAnalysis[Date],Q214))</f>
        <v/>
      </c>
      <c r="W214" s="27" t="str">
        <f t="shared" si="66"/>
        <v/>
      </c>
      <c r="X214" s="6" t="str">
        <f t="shared" si="67"/>
        <v/>
      </c>
      <c r="Y214" s="6" t="str">
        <f>IF(Q214="","",MAX(X214,_xlfn.MAXIFS(tblAnalysis[Cum P&amp;L SOL],tblAnalysis[Date],Q214)))</f>
        <v/>
      </c>
      <c r="Z214" s="6" t="str">
        <f>IF(Q214="","",MIN(X214,_xlfn.MINIFS(tblAnalysis[Cum P&amp;L SOL],tblAnalysis[Date],Q214)))</f>
        <v/>
      </c>
      <c r="AA214" s="6" t="str">
        <f t="shared" si="68"/>
        <v/>
      </c>
      <c r="AB214"/>
      <c r="AC214" s="27" t="str">
        <f t="shared" si="69"/>
        <v/>
      </c>
      <c r="AD214" s="10" t="str">
        <f t="shared" si="70"/>
        <v/>
      </c>
      <c r="AE214" s="10" t="str">
        <f t="shared" si="71"/>
        <v/>
      </c>
      <c r="AF214" s="10" t="str">
        <f t="shared" si="72"/>
        <v/>
      </c>
      <c r="AG214"/>
      <c r="AH214" t="str">
        <f t="shared" si="73"/>
        <v/>
      </c>
      <c r="AI214" t="str">
        <f t="shared" si="74"/>
        <v/>
      </c>
      <c r="AK214" t="str" cm="1">
        <f t="array" ref="AK214">IFERROR(IF(INDEX($A:$A,ROW())="","",INDEX($A:$A,ROW())),"")</f>
        <v/>
      </c>
      <c r="AL214" t="str" cm="1">
        <f t="array" ref="AL214">IFERROR(INDEX(tblTrades[sol_invested],ROW()-1),"")</f>
        <v/>
      </c>
      <c r="AM214" s="6" t="str" cm="1">
        <f t="array" ref="AM214">IFERROR(INDEX(tblAnalysis[P&amp;L SOL],ROW()-1),"")</f>
        <v/>
      </c>
      <c r="AN214" t="str" cm="1">
        <f t="array" ref="AN214">IFERROR(IF(INDEX(tblTrades[sol_invested],ROW()-1)&gt;0.5,INDEX(tblAnalysis[Token],ROW()-1)&amp;" ("&amp;TEXT(INDEX(tblTrades[sol_invested],ROW()-1),"0.0")&amp;" SOL)",""),"")</f>
        <v/>
      </c>
      <c r="AO214" s="7"/>
      <c r="AP214" s="12" t="str" cm="1">
        <f t="array" ref="AP214">IFERROR(INDEX(tblAnalysis[Entry MC ($)],ROW()-1),"")</f>
        <v/>
      </c>
      <c r="AQ214" s="10" t="str" cm="1">
        <f t="array" ref="AQ214">IFERROR(INDEX(tblAnalysis[P&amp;L %],ROW()-1),"")</f>
        <v/>
      </c>
      <c r="AR214" t="str" cm="1">
        <f t="array" ref="AR214">IFERROR(INDEX(tblAnalysis[Hold Time (s)],ROW()-1),"")</f>
        <v/>
      </c>
      <c r="AS214" s="6" t="str" cm="1">
        <f t="array" ref="AS214">IFERROR(INDEX(tblAnalysis[P&amp;L SOL],ROW()-1),"")</f>
        <v/>
      </c>
      <c r="AT214"/>
      <c r="AY214" s="10"/>
      <c r="AZ214" s="10"/>
      <c r="BA214" s="6"/>
      <c r="BB214"/>
      <c r="BF214" t="str">
        <f t="shared" si="75"/>
        <v/>
      </c>
      <c r="BG214" s="27" t="str">
        <f t="shared" si="76"/>
        <v/>
      </c>
      <c r="BH214" t="str">
        <f t="shared" si="77"/>
        <v/>
      </c>
      <c r="BL214" s="29" t="e">
        <f t="shared" si="64"/>
        <v>#N/A</v>
      </c>
      <c r="BM214" s="29" t="e">
        <f t="shared" si="65"/>
        <v>#N/A</v>
      </c>
    </row>
    <row r="215" spans="16:65" x14ac:dyDescent="0.35">
      <c r="P215" s="6"/>
      <c r="Q215" s="27"/>
      <c r="R215" s="6" t="str">
        <f>IF(Q215="","",SUMIFS(tblAnalysis[P&amp;L SOL],tblAnalysis[Date],Q215))</f>
        <v/>
      </c>
      <c r="S215" s="10" t="str">
        <f>IF(Q215="","",SUMIFS(tblAnalysis[P&amp;L %],tblAnalysis[Date],Q215))</f>
        <v/>
      </c>
      <c r="T215" s="6" t="str">
        <f>IF(Q215="","",IFERROR(SUM($R$2:R215),""))</f>
        <v/>
      </c>
      <c r="U215" t="str">
        <f>IF(Q215="","",COUNTIFS(tblAnalysis[Date],Q215))</f>
        <v/>
      </c>
      <c r="W215" s="27" t="str">
        <f t="shared" si="66"/>
        <v/>
      </c>
      <c r="X215" s="6" t="str">
        <f t="shared" si="67"/>
        <v/>
      </c>
      <c r="Y215" s="6" t="str">
        <f>IF(Q215="","",MAX(X215,_xlfn.MAXIFS(tblAnalysis[Cum P&amp;L SOL],tblAnalysis[Date],Q215)))</f>
        <v/>
      </c>
      <c r="Z215" s="6" t="str">
        <f>IF(Q215="","",MIN(X215,_xlfn.MINIFS(tblAnalysis[Cum P&amp;L SOL],tblAnalysis[Date],Q215)))</f>
        <v/>
      </c>
      <c r="AA215" s="6" t="str">
        <f t="shared" si="68"/>
        <v/>
      </c>
      <c r="AB215"/>
      <c r="AC215" s="27" t="str">
        <f t="shared" si="69"/>
        <v/>
      </c>
      <c r="AD215" s="10" t="str">
        <f t="shared" si="70"/>
        <v/>
      </c>
      <c r="AE215" s="10" t="str">
        <f t="shared" si="71"/>
        <v/>
      </c>
      <c r="AF215" s="10" t="str">
        <f t="shared" si="72"/>
        <v/>
      </c>
      <c r="AG215"/>
      <c r="AH215" t="str">
        <f t="shared" si="73"/>
        <v/>
      </c>
      <c r="AI215" t="str">
        <f t="shared" si="74"/>
        <v/>
      </c>
      <c r="AK215" t="str" cm="1">
        <f t="array" ref="AK215">IFERROR(IF(INDEX($A:$A,ROW())="","",INDEX($A:$A,ROW())),"")</f>
        <v/>
      </c>
      <c r="AL215" t="str" cm="1">
        <f t="array" ref="AL215">IFERROR(INDEX(tblTrades[sol_invested],ROW()-1),"")</f>
        <v/>
      </c>
      <c r="AM215" s="6" t="str" cm="1">
        <f t="array" ref="AM215">IFERROR(INDEX(tblAnalysis[P&amp;L SOL],ROW()-1),"")</f>
        <v/>
      </c>
      <c r="AN215" t="str" cm="1">
        <f t="array" ref="AN215">IFERROR(IF(INDEX(tblTrades[sol_invested],ROW()-1)&gt;0.5,INDEX(tblAnalysis[Token],ROW()-1)&amp;" ("&amp;TEXT(INDEX(tblTrades[sol_invested],ROW()-1),"0.0")&amp;" SOL)",""),"")</f>
        <v/>
      </c>
      <c r="AO215" s="7"/>
      <c r="AP215" s="12" t="str" cm="1">
        <f t="array" ref="AP215">IFERROR(INDEX(tblAnalysis[Entry MC ($)],ROW()-1),"")</f>
        <v/>
      </c>
      <c r="AQ215" s="10" t="str" cm="1">
        <f t="array" ref="AQ215">IFERROR(INDEX(tblAnalysis[P&amp;L %],ROW()-1),"")</f>
        <v/>
      </c>
      <c r="AR215" t="str" cm="1">
        <f t="array" ref="AR215">IFERROR(INDEX(tblAnalysis[Hold Time (s)],ROW()-1),"")</f>
        <v/>
      </c>
      <c r="AS215" s="6" t="str" cm="1">
        <f t="array" ref="AS215">IFERROR(INDEX(tblAnalysis[P&amp;L SOL],ROW()-1),"")</f>
        <v/>
      </c>
      <c r="AT215"/>
      <c r="AY215" s="10"/>
      <c r="AZ215" s="10"/>
      <c r="BA215" s="6"/>
      <c r="BB215"/>
      <c r="BF215" t="str">
        <f t="shared" si="75"/>
        <v/>
      </c>
      <c r="BG215" s="27" t="str">
        <f t="shared" si="76"/>
        <v/>
      </c>
      <c r="BH215" t="str">
        <f t="shared" si="77"/>
        <v/>
      </c>
      <c r="BL215" s="29" t="e">
        <f t="shared" si="64"/>
        <v>#N/A</v>
      </c>
      <c r="BM215" s="29" t="e">
        <f t="shared" si="65"/>
        <v>#N/A</v>
      </c>
    </row>
    <row r="216" spans="16:65" x14ac:dyDescent="0.35">
      <c r="P216" s="6"/>
      <c r="Q216" s="27"/>
      <c r="R216" s="6" t="str">
        <f>IF(Q216="","",SUMIFS(tblAnalysis[P&amp;L SOL],tblAnalysis[Date],Q216))</f>
        <v/>
      </c>
      <c r="S216" s="10" t="str">
        <f>IF(Q216="","",SUMIFS(tblAnalysis[P&amp;L %],tblAnalysis[Date],Q216))</f>
        <v/>
      </c>
      <c r="T216" s="6" t="str">
        <f>IF(Q216="","",IFERROR(SUM($R$2:R216),""))</f>
        <v/>
      </c>
      <c r="U216" t="str">
        <f>IF(Q216="","",COUNTIFS(tblAnalysis[Date],Q216))</f>
        <v/>
      </c>
      <c r="W216" s="27" t="str">
        <f t="shared" si="66"/>
        <v/>
      </c>
      <c r="X216" s="6" t="str">
        <f t="shared" si="67"/>
        <v/>
      </c>
      <c r="Y216" s="6" t="str">
        <f>IF(Q216="","",MAX(X216,_xlfn.MAXIFS(tblAnalysis[Cum P&amp;L SOL],tblAnalysis[Date],Q216)))</f>
        <v/>
      </c>
      <c r="Z216" s="6" t="str">
        <f>IF(Q216="","",MIN(X216,_xlfn.MINIFS(tblAnalysis[Cum P&amp;L SOL],tblAnalysis[Date],Q216)))</f>
        <v/>
      </c>
      <c r="AA216" s="6" t="str">
        <f t="shared" si="68"/>
        <v/>
      </c>
      <c r="AB216"/>
      <c r="AC216" s="27" t="str">
        <f t="shared" si="69"/>
        <v/>
      </c>
      <c r="AD216" s="10" t="str">
        <f t="shared" si="70"/>
        <v/>
      </c>
      <c r="AE216" s="10" t="str">
        <f t="shared" si="71"/>
        <v/>
      </c>
      <c r="AF216" s="10" t="str">
        <f t="shared" si="72"/>
        <v/>
      </c>
      <c r="AG216"/>
      <c r="AH216" t="str">
        <f t="shared" si="73"/>
        <v/>
      </c>
      <c r="AI216" t="str">
        <f t="shared" si="74"/>
        <v/>
      </c>
      <c r="AK216" t="str" cm="1">
        <f t="array" ref="AK216">IFERROR(IF(INDEX($A:$A,ROW())="","",INDEX($A:$A,ROW())),"")</f>
        <v/>
      </c>
      <c r="AL216" t="str" cm="1">
        <f t="array" ref="AL216">IFERROR(INDEX(tblTrades[sol_invested],ROW()-1),"")</f>
        <v/>
      </c>
      <c r="AM216" s="6" t="str" cm="1">
        <f t="array" ref="AM216">IFERROR(INDEX(tblAnalysis[P&amp;L SOL],ROW()-1),"")</f>
        <v/>
      </c>
      <c r="AN216" t="str" cm="1">
        <f t="array" ref="AN216">IFERROR(IF(INDEX(tblTrades[sol_invested],ROW()-1)&gt;0.5,INDEX(tblAnalysis[Token],ROW()-1)&amp;" ("&amp;TEXT(INDEX(tblTrades[sol_invested],ROW()-1),"0.0")&amp;" SOL)",""),"")</f>
        <v/>
      </c>
      <c r="AO216" s="7"/>
      <c r="AP216" s="12" t="str" cm="1">
        <f t="array" ref="AP216">IFERROR(INDEX(tblAnalysis[Entry MC ($)],ROW()-1),"")</f>
        <v/>
      </c>
      <c r="AQ216" s="10" t="str" cm="1">
        <f t="array" ref="AQ216">IFERROR(INDEX(tblAnalysis[P&amp;L %],ROW()-1),"")</f>
        <v/>
      </c>
      <c r="AR216" t="str" cm="1">
        <f t="array" ref="AR216">IFERROR(INDEX(tblAnalysis[Hold Time (s)],ROW()-1),"")</f>
        <v/>
      </c>
      <c r="AS216" s="6" t="str" cm="1">
        <f t="array" ref="AS216">IFERROR(INDEX(tblAnalysis[P&amp;L SOL],ROW()-1),"")</f>
        <v/>
      </c>
      <c r="AT216"/>
      <c r="AY216" s="10"/>
      <c r="AZ216" s="10"/>
      <c r="BA216" s="6"/>
      <c r="BB216"/>
      <c r="BF216" t="str">
        <f t="shared" si="75"/>
        <v/>
      </c>
      <c r="BG216" s="27" t="str">
        <f t="shared" si="76"/>
        <v/>
      </c>
      <c r="BH216" t="str">
        <f t="shared" si="77"/>
        <v/>
      </c>
      <c r="BL216" s="29" t="e">
        <f t="shared" si="64"/>
        <v>#N/A</v>
      </c>
      <c r="BM216" s="29" t="e">
        <f t="shared" si="65"/>
        <v>#N/A</v>
      </c>
    </row>
    <row r="217" spans="16:65" x14ac:dyDescent="0.35">
      <c r="P217" s="6"/>
      <c r="Q217" s="27"/>
      <c r="R217" s="6" t="str">
        <f>IF(Q217="","",SUMIFS(tblAnalysis[P&amp;L SOL],tblAnalysis[Date],Q217))</f>
        <v/>
      </c>
      <c r="S217" s="10" t="str">
        <f>IF(Q217="","",SUMIFS(tblAnalysis[P&amp;L %],tblAnalysis[Date],Q217))</f>
        <v/>
      </c>
      <c r="T217" s="6" t="str">
        <f>IF(Q217="","",IFERROR(SUM($R$2:R217),""))</f>
        <v/>
      </c>
      <c r="U217" t="str">
        <f>IF(Q217="","",COUNTIFS(tblAnalysis[Date],Q217))</f>
        <v/>
      </c>
      <c r="W217" s="27" t="str">
        <f t="shared" si="66"/>
        <v/>
      </c>
      <c r="X217" s="6" t="str">
        <f t="shared" si="67"/>
        <v/>
      </c>
      <c r="Y217" s="6" t="str">
        <f>IF(Q217="","",MAX(X217,_xlfn.MAXIFS(tblAnalysis[Cum P&amp;L SOL],tblAnalysis[Date],Q217)))</f>
        <v/>
      </c>
      <c r="Z217" s="6" t="str">
        <f>IF(Q217="","",MIN(X217,_xlfn.MINIFS(tblAnalysis[Cum P&amp;L SOL],tblAnalysis[Date],Q217)))</f>
        <v/>
      </c>
      <c r="AA217" s="6" t="str">
        <f t="shared" si="68"/>
        <v/>
      </c>
      <c r="AB217"/>
      <c r="AC217" s="27" t="str">
        <f t="shared" si="69"/>
        <v/>
      </c>
      <c r="AD217" s="10" t="str">
        <f t="shared" si="70"/>
        <v/>
      </c>
      <c r="AE217" s="10" t="str">
        <f t="shared" si="71"/>
        <v/>
      </c>
      <c r="AF217" s="10" t="str">
        <f t="shared" si="72"/>
        <v/>
      </c>
      <c r="AG217"/>
      <c r="AH217" t="str">
        <f t="shared" si="73"/>
        <v/>
      </c>
      <c r="AI217" t="str">
        <f t="shared" si="74"/>
        <v/>
      </c>
      <c r="AK217" t="str" cm="1">
        <f t="array" ref="AK217">IFERROR(IF(INDEX($A:$A,ROW())="","",INDEX($A:$A,ROW())),"")</f>
        <v/>
      </c>
      <c r="AL217" t="str" cm="1">
        <f t="array" ref="AL217">IFERROR(INDEX(tblTrades[sol_invested],ROW()-1),"")</f>
        <v/>
      </c>
      <c r="AM217" s="6" t="str" cm="1">
        <f t="array" ref="AM217">IFERROR(INDEX(tblAnalysis[P&amp;L SOL],ROW()-1),"")</f>
        <v/>
      </c>
      <c r="AN217" t="str" cm="1">
        <f t="array" ref="AN217">IFERROR(IF(INDEX(tblTrades[sol_invested],ROW()-1)&gt;0.5,INDEX(tblAnalysis[Token],ROW()-1)&amp;" ("&amp;TEXT(INDEX(tblTrades[sol_invested],ROW()-1),"0.0")&amp;" SOL)",""),"")</f>
        <v/>
      </c>
      <c r="AO217" s="7"/>
      <c r="AP217" s="12" t="str" cm="1">
        <f t="array" ref="AP217">IFERROR(INDEX(tblAnalysis[Entry MC ($)],ROW()-1),"")</f>
        <v/>
      </c>
      <c r="AQ217" s="10" t="str" cm="1">
        <f t="array" ref="AQ217">IFERROR(INDEX(tblAnalysis[P&amp;L %],ROW()-1),"")</f>
        <v/>
      </c>
      <c r="AR217" t="str" cm="1">
        <f t="array" ref="AR217">IFERROR(INDEX(tblAnalysis[Hold Time (s)],ROW()-1),"")</f>
        <v/>
      </c>
      <c r="AS217" s="6" t="str" cm="1">
        <f t="array" ref="AS217">IFERROR(INDEX(tblAnalysis[P&amp;L SOL],ROW()-1),"")</f>
        <v/>
      </c>
      <c r="AT217"/>
      <c r="AY217" s="10"/>
      <c r="AZ217" s="10"/>
      <c r="BA217" s="6"/>
      <c r="BB217"/>
      <c r="BF217" t="str">
        <f t="shared" si="75"/>
        <v/>
      </c>
      <c r="BG217" s="27" t="str">
        <f t="shared" si="76"/>
        <v/>
      </c>
      <c r="BH217" t="str">
        <f t="shared" si="77"/>
        <v/>
      </c>
      <c r="BL217" s="29" t="e">
        <f t="shared" si="64"/>
        <v>#N/A</v>
      </c>
      <c r="BM217" s="29" t="e">
        <f t="shared" si="65"/>
        <v>#N/A</v>
      </c>
    </row>
    <row r="218" spans="16:65" x14ac:dyDescent="0.35">
      <c r="P218" s="6"/>
      <c r="Q218" s="27"/>
      <c r="R218" s="6" t="str">
        <f>IF(Q218="","",SUMIFS(tblAnalysis[P&amp;L SOL],tblAnalysis[Date],Q218))</f>
        <v/>
      </c>
      <c r="S218" s="10" t="str">
        <f>IF(Q218="","",SUMIFS(tblAnalysis[P&amp;L %],tblAnalysis[Date],Q218))</f>
        <v/>
      </c>
      <c r="T218" s="6" t="str">
        <f>IF(Q218="","",IFERROR(SUM($R$2:R218),""))</f>
        <v/>
      </c>
      <c r="U218" t="str">
        <f>IF(Q218="","",COUNTIFS(tblAnalysis[Date],Q218))</f>
        <v/>
      </c>
      <c r="W218" s="27" t="str">
        <f t="shared" si="66"/>
        <v/>
      </c>
      <c r="X218" s="6" t="str">
        <f t="shared" si="67"/>
        <v/>
      </c>
      <c r="Y218" s="6" t="str">
        <f>IF(Q218="","",MAX(X218,_xlfn.MAXIFS(tblAnalysis[Cum P&amp;L SOL],tblAnalysis[Date],Q218)))</f>
        <v/>
      </c>
      <c r="Z218" s="6" t="str">
        <f>IF(Q218="","",MIN(X218,_xlfn.MINIFS(tblAnalysis[Cum P&amp;L SOL],tblAnalysis[Date],Q218)))</f>
        <v/>
      </c>
      <c r="AA218" s="6" t="str">
        <f t="shared" si="68"/>
        <v/>
      </c>
      <c r="AB218"/>
      <c r="AC218" s="27" t="str">
        <f t="shared" si="69"/>
        <v/>
      </c>
      <c r="AD218" s="10" t="str">
        <f t="shared" si="70"/>
        <v/>
      </c>
      <c r="AE218" s="10" t="str">
        <f t="shared" si="71"/>
        <v/>
      </c>
      <c r="AF218" s="10" t="str">
        <f t="shared" si="72"/>
        <v/>
      </c>
      <c r="AG218"/>
      <c r="AH218" t="str">
        <f t="shared" si="73"/>
        <v/>
      </c>
      <c r="AI218" t="str">
        <f t="shared" si="74"/>
        <v/>
      </c>
      <c r="AK218" t="str" cm="1">
        <f t="array" ref="AK218">IFERROR(IF(INDEX($A:$A,ROW())="","",INDEX($A:$A,ROW())),"")</f>
        <v/>
      </c>
      <c r="AL218" t="str" cm="1">
        <f t="array" ref="AL218">IFERROR(INDEX(tblTrades[sol_invested],ROW()-1),"")</f>
        <v/>
      </c>
      <c r="AM218" s="6" t="str" cm="1">
        <f t="array" ref="AM218">IFERROR(INDEX(tblAnalysis[P&amp;L SOL],ROW()-1),"")</f>
        <v/>
      </c>
      <c r="AN218" t="str" cm="1">
        <f t="array" ref="AN218">IFERROR(IF(INDEX(tblTrades[sol_invested],ROW()-1)&gt;0.5,INDEX(tblAnalysis[Token],ROW()-1)&amp;" ("&amp;TEXT(INDEX(tblTrades[sol_invested],ROW()-1),"0.0")&amp;" SOL)",""),"")</f>
        <v/>
      </c>
      <c r="AO218" s="7"/>
      <c r="AP218" s="12" t="str" cm="1">
        <f t="array" ref="AP218">IFERROR(INDEX(tblAnalysis[Entry MC ($)],ROW()-1),"")</f>
        <v/>
      </c>
      <c r="AQ218" s="10" t="str" cm="1">
        <f t="array" ref="AQ218">IFERROR(INDEX(tblAnalysis[P&amp;L %],ROW()-1),"")</f>
        <v/>
      </c>
      <c r="AR218" t="str" cm="1">
        <f t="array" ref="AR218">IFERROR(INDEX(tblAnalysis[Hold Time (s)],ROW()-1),"")</f>
        <v/>
      </c>
      <c r="AS218" s="6" t="str" cm="1">
        <f t="array" ref="AS218">IFERROR(INDEX(tblAnalysis[P&amp;L SOL],ROW()-1),"")</f>
        <v/>
      </c>
      <c r="AT218"/>
      <c r="AY218" s="10"/>
      <c r="AZ218" s="10"/>
      <c r="BA218" s="6"/>
      <c r="BB218"/>
      <c r="BF218" t="str">
        <f t="shared" si="75"/>
        <v/>
      </c>
      <c r="BG218" s="27" t="str">
        <f t="shared" si="76"/>
        <v/>
      </c>
      <c r="BH218" t="str">
        <f t="shared" si="77"/>
        <v/>
      </c>
      <c r="BL218" s="29" t="e">
        <f t="shared" si="64"/>
        <v>#N/A</v>
      </c>
      <c r="BM218" s="29" t="e">
        <f t="shared" si="65"/>
        <v>#N/A</v>
      </c>
    </row>
    <row r="219" spans="16:65" x14ac:dyDescent="0.35">
      <c r="P219" s="6"/>
      <c r="Q219" s="27"/>
      <c r="R219" s="6" t="str">
        <f>IF(Q219="","",SUMIFS(tblAnalysis[P&amp;L SOL],tblAnalysis[Date],Q219))</f>
        <v/>
      </c>
      <c r="S219" s="10" t="str">
        <f>IF(Q219="","",SUMIFS(tblAnalysis[P&amp;L %],tblAnalysis[Date],Q219))</f>
        <v/>
      </c>
      <c r="T219" s="6" t="str">
        <f>IF(Q219="","",IFERROR(SUM($R$2:R219),""))</f>
        <v/>
      </c>
      <c r="U219" t="str">
        <f>IF(Q219="","",COUNTIFS(tblAnalysis[Date],Q219))</f>
        <v/>
      </c>
      <c r="W219" s="27" t="str">
        <f t="shared" si="66"/>
        <v/>
      </c>
      <c r="X219" s="6" t="str">
        <f t="shared" si="67"/>
        <v/>
      </c>
      <c r="Y219" s="6" t="str">
        <f>IF(Q219="","",MAX(X219,_xlfn.MAXIFS(tblAnalysis[Cum P&amp;L SOL],tblAnalysis[Date],Q219)))</f>
        <v/>
      </c>
      <c r="Z219" s="6" t="str">
        <f>IF(Q219="","",MIN(X219,_xlfn.MINIFS(tblAnalysis[Cum P&amp;L SOL],tblAnalysis[Date],Q219)))</f>
        <v/>
      </c>
      <c r="AA219" s="6" t="str">
        <f t="shared" si="68"/>
        <v/>
      </c>
      <c r="AB219"/>
      <c r="AC219" s="27" t="str">
        <f t="shared" si="69"/>
        <v/>
      </c>
      <c r="AD219" s="10" t="str">
        <f t="shared" si="70"/>
        <v/>
      </c>
      <c r="AE219" s="10" t="str">
        <f t="shared" si="71"/>
        <v/>
      </c>
      <c r="AF219" s="10" t="str">
        <f t="shared" si="72"/>
        <v/>
      </c>
      <c r="AG219"/>
      <c r="AH219" t="str">
        <f t="shared" si="73"/>
        <v/>
      </c>
      <c r="AI219" t="str">
        <f t="shared" si="74"/>
        <v/>
      </c>
      <c r="AK219" t="str" cm="1">
        <f t="array" ref="AK219">IFERROR(IF(INDEX($A:$A,ROW())="","",INDEX($A:$A,ROW())),"")</f>
        <v/>
      </c>
      <c r="AL219" t="str" cm="1">
        <f t="array" ref="AL219">IFERROR(INDEX(tblTrades[sol_invested],ROW()-1),"")</f>
        <v/>
      </c>
      <c r="AM219" s="6" t="str" cm="1">
        <f t="array" ref="AM219">IFERROR(INDEX(tblAnalysis[P&amp;L SOL],ROW()-1),"")</f>
        <v/>
      </c>
      <c r="AN219" t="str" cm="1">
        <f t="array" ref="AN219">IFERROR(IF(INDEX(tblTrades[sol_invested],ROW()-1)&gt;0.5,INDEX(tblAnalysis[Token],ROW()-1)&amp;" ("&amp;TEXT(INDEX(tblTrades[sol_invested],ROW()-1),"0.0")&amp;" SOL)",""),"")</f>
        <v/>
      </c>
      <c r="AO219" s="7"/>
      <c r="AP219" s="12" t="str" cm="1">
        <f t="array" ref="AP219">IFERROR(INDEX(tblAnalysis[Entry MC ($)],ROW()-1),"")</f>
        <v/>
      </c>
      <c r="AQ219" s="10" t="str" cm="1">
        <f t="array" ref="AQ219">IFERROR(INDEX(tblAnalysis[P&amp;L %],ROW()-1),"")</f>
        <v/>
      </c>
      <c r="AR219" t="str" cm="1">
        <f t="array" ref="AR219">IFERROR(INDEX(tblAnalysis[Hold Time (s)],ROW()-1),"")</f>
        <v/>
      </c>
      <c r="AS219" s="6" t="str" cm="1">
        <f t="array" ref="AS219">IFERROR(INDEX(tblAnalysis[P&amp;L SOL],ROW()-1),"")</f>
        <v/>
      </c>
      <c r="AT219"/>
      <c r="AY219" s="10"/>
      <c r="AZ219" s="10"/>
      <c r="BA219" s="6"/>
      <c r="BB219"/>
      <c r="BF219" t="str">
        <f t="shared" si="75"/>
        <v/>
      </c>
      <c r="BG219" s="27" t="str">
        <f t="shared" si="76"/>
        <v/>
      </c>
      <c r="BH219" t="str">
        <f t="shared" si="77"/>
        <v/>
      </c>
      <c r="BL219" s="29" t="e">
        <f t="shared" si="64"/>
        <v>#N/A</v>
      </c>
      <c r="BM219" s="29" t="e">
        <f t="shared" si="65"/>
        <v>#N/A</v>
      </c>
    </row>
    <row r="220" spans="16:65" x14ac:dyDescent="0.35">
      <c r="P220" s="6"/>
      <c r="Q220" s="27"/>
      <c r="R220" s="6" t="str">
        <f>IF(Q220="","",SUMIFS(tblAnalysis[P&amp;L SOL],tblAnalysis[Date],Q220))</f>
        <v/>
      </c>
      <c r="S220" s="10" t="str">
        <f>IF(Q220="","",SUMIFS(tblAnalysis[P&amp;L %],tblAnalysis[Date],Q220))</f>
        <v/>
      </c>
      <c r="T220" s="6" t="str">
        <f>IF(Q220="","",IFERROR(SUM($R$2:R220),""))</f>
        <v/>
      </c>
      <c r="U220" t="str">
        <f>IF(Q220="","",COUNTIFS(tblAnalysis[Date],Q220))</f>
        <v/>
      </c>
      <c r="W220" s="27" t="str">
        <f t="shared" si="66"/>
        <v/>
      </c>
      <c r="X220" s="6" t="str">
        <f t="shared" si="67"/>
        <v/>
      </c>
      <c r="Y220" s="6" t="str">
        <f>IF(Q220="","",MAX(X220,_xlfn.MAXIFS(tblAnalysis[Cum P&amp;L SOL],tblAnalysis[Date],Q220)))</f>
        <v/>
      </c>
      <c r="Z220" s="6" t="str">
        <f>IF(Q220="","",MIN(X220,_xlfn.MINIFS(tblAnalysis[Cum P&amp;L SOL],tblAnalysis[Date],Q220)))</f>
        <v/>
      </c>
      <c r="AA220" s="6" t="str">
        <f t="shared" si="68"/>
        <v/>
      </c>
      <c r="AB220"/>
      <c r="AC220" s="27" t="str">
        <f t="shared" si="69"/>
        <v/>
      </c>
      <c r="AD220" s="10" t="str">
        <f t="shared" si="70"/>
        <v/>
      </c>
      <c r="AE220" s="10" t="str">
        <f t="shared" si="71"/>
        <v/>
      </c>
      <c r="AF220" s="10" t="str">
        <f t="shared" si="72"/>
        <v/>
      </c>
      <c r="AG220"/>
      <c r="AH220" t="str">
        <f t="shared" si="73"/>
        <v/>
      </c>
      <c r="AI220" t="str">
        <f t="shared" si="74"/>
        <v/>
      </c>
      <c r="AK220" t="str" cm="1">
        <f t="array" ref="AK220">IFERROR(IF(INDEX($A:$A,ROW())="","",INDEX($A:$A,ROW())),"")</f>
        <v/>
      </c>
      <c r="AL220" t="str" cm="1">
        <f t="array" ref="AL220">IFERROR(INDEX(tblTrades[sol_invested],ROW()-1),"")</f>
        <v/>
      </c>
      <c r="AM220" s="6" t="str" cm="1">
        <f t="array" ref="AM220">IFERROR(INDEX(tblAnalysis[P&amp;L SOL],ROW()-1),"")</f>
        <v/>
      </c>
      <c r="AN220" t="str" cm="1">
        <f t="array" ref="AN220">IFERROR(IF(INDEX(tblTrades[sol_invested],ROW()-1)&gt;0.5,INDEX(tblAnalysis[Token],ROW()-1)&amp;" ("&amp;TEXT(INDEX(tblTrades[sol_invested],ROW()-1),"0.0")&amp;" SOL)",""),"")</f>
        <v/>
      </c>
      <c r="AO220" s="7"/>
      <c r="AP220" s="12" t="str" cm="1">
        <f t="array" ref="AP220">IFERROR(INDEX(tblAnalysis[Entry MC ($)],ROW()-1),"")</f>
        <v/>
      </c>
      <c r="AQ220" s="10" t="str" cm="1">
        <f t="array" ref="AQ220">IFERROR(INDEX(tblAnalysis[P&amp;L %],ROW()-1),"")</f>
        <v/>
      </c>
      <c r="AR220" t="str" cm="1">
        <f t="array" ref="AR220">IFERROR(INDEX(tblAnalysis[Hold Time (s)],ROW()-1),"")</f>
        <v/>
      </c>
      <c r="AS220" s="6" t="str" cm="1">
        <f t="array" ref="AS220">IFERROR(INDEX(tblAnalysis[P&amp;L SOL],ROW()-1),"")</f>
        <v/>
      </c>
      <c r="AT220"/>
      <c r="AY220" s="10"/>
      <c r="AZ220" s="10"/>
      <c r="BA220" s="6"/>
      <c r="BB220"/>
      <c r="BF220" t="str">
        <f t="shared" si="75"/>
        <v/>
      </c>
      <c r="BG220" s="27" t="str">
        <f t="shared" si="76"/>
        <v/>
      </c>
      <c r="BH220" t="str">
        <f t="shared" si="77"/>
        <v/>
      </c>
      <c r="BL220" s="29" t="e">
        <f t="shared" si="64"/>
        <v>#N/A</v>
      </c>
      <c r="BM220" s="29" t="e">
        <f t="shared" si="65"/>
        <v>#N/A</v>
      </c>
    </row>
    <row r="221" spans="16:65" x14ac:dyDescent="0.35">
      <c r="P221" s="6"/>
      <c r="Q221" s="27"/>
      <c r="R221" s="6" t="str">
        <f>IF(Q221="","",SUMIFS(tblAnalysis[P&amp;L SOL],tblAnalysis[Date],Q221))</f>
        <v/>
      </c>
      <c r="S221" s="10" t="str">
        <f>IF(Q221="","",SUMIFS(tblAnalysis[P&amp;L %],tblAnalysis[Date],Q221))</f>
        <v/>
      </c>
      <c r="T221" s="6" t="str">
        <f>IF(Q221="","",IFERROR(SUM($R$2:R221),""))</f>
        <v/>
      </c>
      <c r="U221" t="str">
        <f>IF(Q221="","",COUNTIFS(tblAnalysis[Date],Q221))</f>
        <v/>
      </c>
      <c r="W221" s="27" t="str">
        <f t="shared" si="66"/>
        <v/>
      </c>
      <c r="X221" s="6" t="str">
        <f t="shared" si="67"/>
        <v/>
      </c>
      <c r="Y221" s="6" t="str">
        <f>IF(Q221="","",MAX(X221,_xlfn.MAXIFS(tblAnalysis[Cum P&amp;L SOL],tblAnalysis[Date],Q221)))</f>
        <v/>
      </c>
      <c r="Z221" s="6" t="str">
        <f>IF(Q221="","",MIN(X221,_xlfn.MINIFS(tblAnalysis[Cum P&amp;L SOL],tblAnalysis[Date],Q221)))</f>
        <v/>
      </c>
      <c r="AA221" s="6" t="str">
        <f t="shared" si="68"/>
        <v/>
      </c>
      <c r="AB221"/>
      <c r="AC221" s="27" t="str">
        <f t="shared" si="69"/>
        <v/>
      </c>
      <c r="AD221" s="10" t="str">
        <f t="shared" si="70"/>
        <v/>
      </c>
      <c r="AE221" s="10" t="str">
        <f t="shared" si="71"/>
        <v/>
      </c>
      <c r="AF221" s="10" t="str">
        <f t="shared" si="72"/>
        <v/>
      </c>
      <c r="AG221"/>
      <c r="AH221" t="str">
        <f t="shared" si="73"/>
        <v/>
      </c>
      <c r="AI221" t="str">
        <f t="shared" si="74"/>
        <v/>
      </c>
      <c r="AK221" t="str" cm="1">
        <f t="array" ref="AK221">IFERROR(IF(INDEX($A:$A,ROW())="","",INDEX($A:$A,ROW())),"")</f>
        <v/>
      </c>
      <c r="AL221" t="str" cm="1">
        <f t="array" ref="AL221">IFERROR(INDEX(tblTrades[sol_invested],ROW()-1),"")</f>
        <v/>
      </c>
      <c r="AM221" s="6" t="str" cm="1">
        <f t="array" ref="AM221">IFERROR(INDEX(tblAnalysis[P&amp;L SOL],ROW()-1),"")</f>
        <v/>
      </c>
      <c r="AN221" t="str" cm="1">
        <f t="array" ref="AN221">IFERROR(IF(INDEX(tblTrades[sol_invested],ROW()-1)&gt;0.5,INDEX(tblAnalysis[Token],ROW()-1)&amp;" ("&amp;TEXT(INDEX(tblTrades[sol_invested],ROW()-1),"0.0")&amp;" SOL)",""),"")</f>
        <v/>
      </c>
      <c r="AO221" s="7"/>
      <c r="AP221" s="12" t="str" cm="1">
        <f t="array" ref="AP221">IFERROR(INDEX(tblAnalysis[Entry MC ($)],ROW()-1),"")</f>
        <v/>
      </c>
      <c r="AQ221" s="10" t="str" cm="1">
        <f t="array" ref="AQ221">IFERROR(INDEX(tblAnalysis[P&amp;L %],ROW()-1),"")</f>
        <v/>
      </c>
      <c r="AR221" t="str" cm="1">
        <f t="array" ref="AR221">IFERROR(INDEX(tblAnalysis[Hold Time (s)],ROW()-1),"")</f>
        <v/>
      </c>
      <c r="AS221" s="6" t="str" cm="1">
        <f t="array" ref="AS221">IFERROR(INDEX(tblAnalysis[P&amp;L SOL],ROW()-1),"")</f>
        <v/>
      </c>
      <c r="AT221"/>
      <c r="AY221" s="10"/>
      <c r="AZ221" s="10"/>
      <c r="BA221" s="6"/>
      <c r="BB221"/>
      <c r="BF221" t="str">
        <f t="shared" si="75"/>
        <v/>
      </c>
      <c r="BG221" s="27" t="str">
        <f t="shared" si="76"/>
        <v/>
      </c>
      <c r="BH221" t="str">
        <f t="shared" si="77"/>
        <v/>
      </c>
      <c r="BL221" s="29" t="e">
        <f t="shared" si="64"/>
        <v>#N/A</v>
      </c>
      <c r="BM221" s="29" t="e">
        <f t="shared" si="65"/>
        <v>#N/A</v>
      </c>
    </row>
    <row r="222" spans="16:65" x14ac:dyDescent="0.35">
      <c r="P222" s="6"/>
      <c r="Q222" s="27"/>
      <c r="R222" s="6" t="str">
        <f>IF(Q222="","",SUMIFS(tblAnalysis[P&amp;L SOL],tblAnalysis[Date],Q222))</f>
        <v/>
      </c>
      <c r="S222" s="10" t="str">
        <f>IF(Q222="","",SUMIFS(tblAnalysis[P&amp;L %],tblAnalysis[Date],Q222))</f>
        <v/>
      </c>
      <c r="T222" s="6" t="str">
        <f>IF(Q222="","",IFERROR(SUM($R$2:R222),""))</f>
        <v/>
      </c>
      <c r="U222" t="str">
        <f>IF(Q222="","",COUNTIFS(tblAnalysis[Date],Q222))</f>
        <v/>
      </c>
      <c r="W222" s="27" t="str">
        <f t="shared" si="66"/>
        <v/>
      </c>
      <c r="X222" s="6" t="str">
        <f t="shared" si="67"/>
        <v/>
      </c>
      <c r="Y222" s="6" t="str">
        <f>IF(Q222="","",MAX(X222,_xlfn.MAXIFS(tblAnalysis[Cum P&amp;L SOL],tblAnalysis[Date],Q222)))</f>
        <v/>
      </c>
      <c r="Z222" s="6" t="str">
        <f>IF(Q222="","",MIN(X222,_xlfn.MINIFS(tblAnalysis[Cum P&amp;L SOL],tblAnalysis[Date],Q222)))</f>
        <v/>
      </c>
      <c r="AA222" s="6" t="str">
        <f t="shared" si="68"/>
        <v/>
      </c>
      <c r="AB222"/>
      <c r="AC222" s="27" t="str">
        <f t="shared" si="69"/>
        <v/>
      </c>
      <c r="AD222" s="10" t="str">
        <f t="shared" si="70"/>
        <v/>
      </c>
      <c r="AE222" s="10" t="str">
        <f t="shared" si="71"/>
        <v/>
      </c>
      <c r="AF222" s="10" t="str">
        <f t="shared" si="72"/>
        <v/>
      </c>
      <c r="AG222"/>
      <c r="AH222" t="str">
        <f t="shared" si="73"/>
        <v/>
      </c>
      <c r="AI222" t="str">
        <f t="shared" si="74"/>
        <v/>
      </c>
      <c r="AK222" t="str" cm="1">
        <f t="array" ref="AK222">IFERROR(IF(INDEX($A:$A,ROW())="","",INDEX($A:$A,ROW())),"")</f>
        <v/>
      </c>
      <c r="AL222" t="str" cm="1">
        <f t="array" ref="AL222">IFERROR(INDEX(tblTrades[sol_invested],ROW()-1),"")</f>
        <v/>
      </c>
      <c r="AM222" s="6" t="str" cm="1">
        <f t="array" ref="AM222">IFERROR(INDEX(tblAnalysis[P&amp;L SOL],ROW()-1),"")</f>
        <v/>
      </c>
      <c r="AN222" t="str" cm="1">
        <f t="array" ref="AN222">IFERROR(IF(INDEX(tblTrades[sol_invested],ROW()-1)&gt;0.5,INDEX(tblAnalysis[Token],ROW()-1)&amp;" ("&amp;TEXT(INDEX(tblTrades[sol_invested],ROW()-1),"0.0")&amp;" SOL)",""),"")</f>
        <v/>
      </c>
      <c r="AO222" s="7"/>
      <c r="AP222" s="12" t="str" cm="1">
        <f t="array" ref="AP222">IFERROR(INDEX(tblAnalysis[Entry MC ($)],ROW()-1),"")</f>
        <v/>
      </c>
      <c r="AQ222" s="10" t="str" cm="1">
        <f t="array" ref="AQ222">IFERROR(INDEX(tblAnalysis[P&amp;L %],ROW()-1),"")</f>
        <v/>
      </c>
      <c r="AR222" t="str" cm="1">
        <f t="array" ref="AR222">IFERROR(INDEX(tblAnalysis[Hold Time (s)],ROW()-1),"")</f>
        <v/>
      </c>
      <c r="AS222" s="6" t="str" cm="1">
        <f t="array" ref="AS222">IFERROR(INDEX(tblAnalysis[P&amp;L SOL],ROW()-1),"")</f>
        <v/>
      </c>
      <c r="AT222"/>
      <c r="AY222" s="10"/>
      <c r="AZ222" s="10"/>
      <c r="BA222" s="6"/>
      <c r="BB222"/>
      <c r="BF222" t="str">
        <f t="shared" si="75"/>
        <v/>
      </c>
      <c r="BG222" s="27" t="str">
        <f t="shared" si="76"/>
        <v/>
      </c>
      <c r="BH222" t="str">
        <f t="shared" si="77"/>
        <v/>
      </c>
      <c r="BL222" s="29" t="e">
        <f t="shared" si="64"/>
        <v>#N/A</v>
      </c>
      <c r="BM222" s="29" t="e">
        <f t="shared" si="65"/>
        <v>#N/A</v>
      </c>
    </row>
    <row r="223" spans="16:65" x14ac:dyDescent="0.35">
      <c r="P223" s="6"/>
      <c r="Q223" s="27"/>
      <c r="R223" s="6" t="str">
        <f>IF(Q223="","",SUMIFS(tblAnalysis[P&amp;L SOL],tblAnalysis[Date],Q223))</f>
        <v/>
      </c>
      <c r="S223" s="10" t="str">
        <f>IF(Q223="","",SUMIFS(tblAnalysis[P&amp;L %],tblAnalysis[Date],Q223))</f>
        <v/>
      </c>
      <c r="T223" s="6" t="str">
        <f>IF(Q223="","",IFERROR(SUM($R$2:R223),""))</f>
        <v/>
      </c>
      <c r="U223" t="str">
        <f>IF(Q223="","",COUNTIFS(tblAnalysis[Date],Q223))</f>
        <v/>
      </c>
      <c r="W223" s="27" t="str">
        <f t="shared" si="66"/>
        <v/>
      </c>
      <c r="X223" s="6" t="str">
        <f t="shared" si="67"/>
        <v/>
      </c>
      <c r="Y223" s="6" t="str">
        <f>IF(Q223="","",MAX(X223,_xlfn.MAXIFS(tblAnalysis[Cum P&amp;L SOL],tblAnalysis[Date],Q223)))</f>
        <v/>
      </c>
      <c r="Z223" s="6" t="str">
        <f>IF(Q223="","",MIN(X223,_xlfn.MINIFS(tblAnalysis[Cum P&amp;L SOL],tblAnalysis[Date],Q223)))</f>
        <v/>
      </c>
      <c r="AA223" s="6" t="str">
        <f t="shared" si="68"/>
        <v/>
      </c>
      <c r="AB223"/>
      <c r="AC223" s="27" t="str">
        <f t="shared" si="69"/>
        <v/>
      </c>
      <c r="AD223" s="10" t="str">
        <f t="shared" si="70"/>
        <v/>
      </c>
      <c r="AE223" s="10" t="str">
        <f t="shared" si="71"/>
        <v/>
      </c>
      <c r="AF223" s="10" t="str">
        <f t="shared" si="72"/>
        <v/>
      </c>
      <c r="AG223"/>
      <c r="AH223" t="str">
        <f t="shared" si="73"/>
        <v/>
      </c>
      <c r="AI223" t="str">
        <f t="shared" si="74"/>
        <v/>
      </c>
      <c r="AK223" t="str" cm="1">
        <f t="array" ref="AK223">IFERROR(IF(INDEX($A:$A,ROW())="","",INDEX($A:$A,ROW())),"")</f>
        <v/>
      </c>
      <c r="AL223" t="str" cm="1">
        <f t="array" ref="AL223">IFERROR(INDEX(tblTrades[sol_invested],ROW()-1),"")</f>
        <v/>
      </c>
      <c r="AM223" s="6" t="str" cm="1">
        <f t="array" ref="AM223">IFERROR(INDEX(tblAnalysis[P&amp;L SOL],ROW()-1),"")</f>
        <v/>
      </c>
      <c r="AN223" t="str" cm="1">
        <f t="array" ref="AN223">IFERROR(IF(INDEX(tblTrades[sol_invested],ROW()-1)&gt;0.5,INDEX(tblAnalysis[Token],ROW()-1)&amp;" ("&amp;TEXT(INDEX(tblTrades[sol_invested],ROW()-1),"0.0")&amp;" SOL)",""),"")</f>
        <v/>
      </c>
      <c r="AO223" s="7"/>
      <c r="AP223" s="12" t="str" cm="1">
        <f t="array" ref="AP223">IFERROR(INDEX(tblAnalysis[Entry MC ($)],ROW()-1),"")</f>
        <v/>
      </c>
      <c r="AQ223" s="10" t="str" cm="1">
        <f t="array" ref="AQ223">IFERROR(INDEX(tblAnalysis[P&amp;L %],ROW()-1),"")</f>
        <v/>
      </c>
      <c r="AR223" t="str" cm="1">
        <f t="array" ref="AR223">IFERROR(INDEX(tblAnalysis[Hold Time (s)],ROW()-1),"")</f>
        <v/>
      </c>
      <c r="AS223" s="6" t="str" cm="1">
        <f t="array" ref="AS223">IFERROR(INDEX(tblAnalysis[P&amp;L SOL],ROW()-1),"")</f>
        <v/>
      </c>
      <c r="AT223"/>
      <c r="AY223" s="10"/>
      <c r="AZ223" s="10"/>
      <c r="BA223" s="6"/>
      <c r="BB223"/>
      <c r="BF223" t="str">
        <f t="shared" si="75"/>
        <v/>
      </c>
      <c r="BG223" s="27" t="str">
        <f t="shared" si="76"/>
        <v/>
      </c>
      <c r="BH223" t="str">
        <f t="shared" si="77"/>
        <v/>
      </c>
      <c r="BL223" s="29" t="e">
        <f t="shared" si="64"/>
        <v>#N/A</v>
      </c>
      <c r="BM223" s="29" t="e">
        <f t="shared" si="65"/>
        <v>#N/A</v>
      </c>
    </row>
    <row r="224" spans="16:65" x14ac:dyDescent="0.35">
      <c r="P224" s="6"/>
      <c r="Q224" s="27"/>
      <c r="R224" s="6" t="str">
        <f>IF(Q224="","",SUMIFS(tblAnalysis[P&amp;L SOL],tblAnalysis[Date],Q224))</f>
        <v/>
      </c>
      <c r="S224" s="10" t="str">
        <f>IF(Q224="","",SUMIFS(tblAnalysis[P&amp;L %],tblAnalysis[Date],Q224))</f>
        <v/>
      </c>
      <c r="T224" s="6" t="str">
        <f>IF(Q224="","",IFERROR(SUM($R$2:R224),""))</f>
        <v/>
      </c>
      <c r="U224" t="str">
        <f>IF(Q224="","",COUNTIFS(tblAnalysis[Date],Q224))</f>
        <v/>
      </c>
      <c r="W224" s="27" t="str">
        <f t="shared" si="66"/>
        <v/>
      </c>
      <c r="X224" s="6" t="str">
        <f t="shared" si="67"/>
        <v/>
      </c>
      <c r="Y224" s="6" t="str">
        <f>IF(Q224="","",MAX(X224,_xlfn.MAXIFS(tblAnalysis[Cum P&amp;L SOL],tblAnalysis[Date],Q224)))</f>
        <v/>
      </c>
      <c r="Z224" s="6" t="str">
        <f>IF(Q224="","",MIN(X224,_xlfn.MINIFS(tblAnalysis[Cum P&amp;L SOL],tblAnalysis[Date],Q224)))</f>
        <v/>
      </c>
      <c r="AA224" s="6" t="str">
        <f t="shared" si="68"/>
        <v/>
      </c>
      <c r="AB224"/>
      <c r="AC224" s="27" t="str">
        <f t="shared" si="69"/>
        <v/>
      </c>
      <c r="AD224" s="10" t="str">
        <f t="shared" si="70"/>
        <v/>
      </c>
      <c r="AE224" s="10" t="str">
        <f t="shared" si="71"/>
        <v/>
      </c>
      <c r="AF224" s="10" t="str">
        <f t="shared" si="72"/>
        <v/>
      </c>
      <c r="AG224"/>
      <c r="AH224" t="str">
        <f t="shared" si="73"/>
        <v/>
      </c>
      <c r="AI224" t="str">
        <f t="shared" si="74"/>
        <v/>
      </c>
      <c r="AK224" t="str" cm="1">
        <f t="array" ref="AK224">IFERROR(IF(INDEX($A:$A,ROW())="","",INDEX($A:$A,ROW())),"")</f>
        <v/>
      </c>
      <c r="AL224" t="str" cm="1">
        <f t="array" ref="AL224">IFERROR(INDEX(tblTrades[sol_invested],ROW()-1),"")</f>
        <v/>
      </c>
      <c r="AM224" s="6" t="str" cm="1">
        <f t="array" ref="AM224">IFERROR(INDEX(tblAnalysis[P&amp;L SOL],ROW()-1),"")</f>
        <v/>
      </c>
      <c r="AN224" t="str" cm="1">
        <f t="array" ref="AN224">IFERROR(IF(INDEX(tblTrades[sol_invested],ROW()-1)&gt;0.5,INDEX(tblAnalysis[Token],ROW()-1)&amp;" ("&amp;TEXT(INDEX(tblTrades[sol_invested],ROW()-1),"0.0")&amp;" SOL)",""),"")</f>
        <v/>
      </c>
      <c r="AO224" s="7"/>
      <c r="AP224" s="12" t="str" cm="1">
        <f t="array" ref="AP224">IFERROR(INDEX(tblAnalysis[Entry MC ($)],ROW()-1),"")</f>
        <v/>
      </c>
      <c r="AQ224" s="10" t="str" cm="1">
        <f t="array" ref="AQ224">IFERROR(INDEX(tblAnalysis[P&amp;L %],ROW()-1),"")</f>
        <v/>
      </c>
      <c r="AR224" t="str" cm="1">
        <f t="array" ref="AR224">IFERROR(INDEX(tblAnalysis[Hold Time (s)],ROW()-1),"")</f>
        <v/>
      </c>
      <c r="AS224" s="6" t="str" cm="1">
        <f t="array" ref="AS224">IFERROR(INDEX(tblAnalysis[P&amp;L SOL],ROW()-1),"")</f>
        <v/>
      </c>
      <c r="AT224"/>
      <c r="AY224" s="10"/>
      <c r="AZ224" s="10"/>
      <c r="BA224" s="6"/>
      <c r="BB224"/>
      <c r="BF224" t="str">
        <f t="shared" si="75"/>
        <v/>
      </c>
      <c r="BG224" s="27" t="str">
        <f t="shared" si="76"/>
        <v/>
      </c>
      <c r="BH224" t="str">
        <f t="shared" si="77"/>
        <v/>
      </c>
      <c r="BL224" s="29" t="e">
        <f t="shared" si="64"/>
        <v>#N/A</v>
      </c>
      <c r="BM224" s="29" t="e">
        <f t="shared" si="65"/>
        <v>#N/A</v>
      </c>
    </row>
    <row r="225" spans="16:65" x14ac:dyDescent="0.35">
      <c r="P225" s="6"/>
      <c r="Q225" s="27"/>
      <c r="R225" s="6" t="str">
        <f>IF(Q225="","",SUMIFS(tblAnalysis[P&amp;L SOL],tblAnalysis[Date],Q225))</f>
        <v/>
      </c>
      <c r="S225" s="10" t="str">
        <f>IF(Q225="","",SUMIFS(tblAnalysis[P&amp;L %],tblAnalysis[Date],Q225))</f>
        <v/>
      </c>
      <c r="T225" s="6" t="str">
        <f>IF(Q225="","",IFERROR(SUM($R$2:R225),""))</f>
        <v/>
      </c>
      <c r="U225" t="str">
        <f>IF(Q225="","",COUNTIFS(tblAnalysis[Date],Q225))</f>
        <v/>
      </c>
      <c r="W225" s="27" t="str">
        <f t="shared" si="66"/>
        <v/>
      </c>
      <c r="X225" s="6" t="str">
        <f t="shared" si="67"/>
        <v/>
      </c>
      <c r="Y225" s="6" t="str">
        <f>IF(Q225="","",MAX(X225,_xlfn.MAXIFS(tblAnalysis[Cum P&amp;L SOL],tblAnalysis[Date],Q225)))</f>
        <v/>
      </c>
      <c r="Z225" s="6" t="str">
        <f>IF(Q225="","",MIN(X225,_xlfn.MINIFS(tblAnalysis[Cum P&amp;L SOL],tblAnalysis[Date],Q225)))</f>
        <v/>
      </c>
      <c r="AA225" s="6" t="str">
        <f t="shared" si="68"/>
        <v/>
      </c>
      <c r="AB225"/>
      <c r="AC225" s="27" t="str">
        <f t="shared" si="69"/>
        <v/>
      </c>
      <c r="AD225" s="10" t="str">
        <f t="shared" si="70"/>
        <v/>
      </c>
      <c r="AE225" s="10" t="str">
        <f t="shared" si="71"/>
        <v/>
      </c>
      <c r="AF225" s="10" t="str">
        <f t="shared" si="72"/>
        <v/>
      </c>
      <c r="AG225"/>
      <c r="AH225" t="str">
        <f t="shared" si="73"/>
        <v/>
      </c>
      <c r="AI225" t="str">
        <f t="shared" si="74"/>
        <v/>
      </c>
      <c r="AK225" t="str" cm="1">
        <f t="array" ref="AK225">IFERROR(IF(INDEX($A:$A,ROW())="","",INDEX($A:$A,ROW())),"")</f>
        <v/>
      </c>
      <c r="AL225" t="str" cm="1">
        <f t="array" ref="AL225">IFERROR(INDEX(tblTrades[sol_invested],ROW()-1),"")</f>
        <v/>
      </c>
      <c r="AM225" s="6" t="str" cm="1">
        <f t="array" ref="AM225">IFERROR(INDEX(tblAnalysis[P&amp;L SOL],ROW()-1),"")</f>
        <v/>
      </c>
      <c r="AN225" t="str" cm="1">
        <f t="array" ref="AN225">IFERROR(IF(INDEX(tblTrades[sol_invested],ROW()-1)&gt;0.5,INDEX(tblAnalysis[Token],ROW()-1)&amp;" ("&amp;TEXT(INDEX(tblTrades[sol_invested],ROW()-1),"0.0")&amp;" SOL)",""),"")</f>
        <v/>
      </c>
      <c r="AO225" s="7"/>
      <c r="AP225" s="12" t="str" cm="1">
        <f t="array" ref="AP225">IFERROR(INDEX(tblAnalysis[Entry MC ($)],ROW()-1),"")</f>
        <v/>
      </c>
      <c r="AQ225" s="10" t="str" cm="1">
        <f t="array" ref="AQ225">IFERROR(INDEX(tblAnalysis[P&amp;L %],ROW()-1),"")</f>
        <v/>
      </c>
      <c r="AR225" t="str" cm="1">
        <f t="array" ref="AR225">IFERROR(INDEX(tblAnalysis[Hold Time (s)],ROW()-1),"")</f>
        <v/>
      </c>
      <c r="AS225" s="6" t="str" cm="1">
        <f t="array" ref="AS225">IFERROR(INDEX(tblAnalysis[P&amp;L SOL],ROW()-1),"")</f>
        <v/>
      </c>
      <c r="AT225"/>
      <c r="AY225" s="10"/>
      <c r="AZ225" s="10"/>
      <c r="BA225" s="6"/>
      <c r="BB225"/>
      <c r="BF225" t="str">
        <f t="shared" si="75"/>
        <v/>
      </c>
      <c r="BG225" s="27" t="str">
        <f t="shared" si="76"/>
        <v/>
      </c>
      <c r="BH225" t="str">
        <f t="shared" si="77"/>
        <v/>
      </c>
      <c r="BL225" s="29" t="e">
        <f t="shared" si="64"/>
        <v>#N/A</v>
      </c>
      <c r="BM225" s="29" t="e">
        <f t="shared" si="65"/>
        <v>#N/A</v>
      </c>
    </row>
    <row r="226" spans="16:65" x14ac:dyDescent="0.35">
      <c r="P226" s="6"/>
      <c r="Q226" s="27"/>
      <c r="R226" s="6" t="str">
        <f>IF(Q226="","",SUMIFS(tblAnalysis[P&amp;L SOL],tblAnalysis[Date],Q226))</f>
        <v/>
      </c>
      <c r="S226" s="10" t="str">
        <f>IF(Q226="","",SUMIFS(tblAnalysis[P&amp;L %],tblAnalysis[Date],Q226))</f>
        <v/>
      </c>
      <c r="T226" s="6" t="str">
        <f>IF(Q226="","",IFERROR(SUM($R$2:R226),""))</f>
        <v/>
      </c>
      <c r="U226" t="str">
        <f>IF(Q226="","",COUNTIFS(tblAnalysis[Date],Q226))</f>
        <v/>
      </c>
      <c r="W226" s="27" t="str">
        <f t="shared" si="66"/>
        <v/>
      </c>
      <c r="X226" s="6" t="str">
        <f t="shared" si="67"/>
        <v/>
      </c>
      <c r="Y226" s="6" t="str">
        <f>IF(Q226="","",MAX(X226,_xlfn.MAXIFS(tblAnalysis[Cum P&amp;L SOL],tblAnalysis[Date],Q226)))</f>
        <v/>
      </c>
      <c r="Z226" s="6" t="str">
        <f>IF(Q226="","",MIN(X226,_xlfn.MINIFS(tblAnalysis[Cum P&amp;L SOL],tblAnalysis[Date],Q226)))</f>
        <v/>
      </c>
      <c r="AA226" s="6" t="str">
        <f t="shared" si="68"/>
        <v/>
      </c>
      <c r="AB226"/>
      <c r="AC226" s="27" t="str">
        <f t="shared" si="69"/>
        <v/>
      </c>
      <c r="AD226" s="10" t="str">
        <f t="shared" si="70"/>
        <v/>
      </c>
      <c r="AE226" s="10" t="str">
        <f t="shared" si="71"/>
        <v/>
      </c>
      <c r="AF226" s="10" t="str">
        <f t="shared" si="72"/>
        <v/>
      </c>
      <c r="AG226"/>
      <c r="AH226" t="str">
        <f t="shared" si="73"/>
        <v/>
      </c>
      <c r="AI226" t="str">
        <f t="shared" si="74"/>
        <v/>
      </c>
      <c r="AK226" t="str" cm="1">
        <f t="array" ref="AK226">IFERROR(IF(INDEX($A:$A,ROW())="","",INDEX($A:$A,ROW())),"")</f>
        <v/>
      </c>
      <c r="AL226" t="str" cm="1">
        <f t="array" ref="AL226">IFERROR(INDEX(tblTrades[sol_invested],ROW()-1),"")</f>
        <v/>
      </c>
      <c r="AM226" s="6" t="str" cm="1">
        <f t="array" ref="AM226">IFERROR(INDEX(tblAnalysis[P&amp;L SOL],ROW()-1),"")</f>
        <v/>
      </c>
      <c r="AN226" t="str" cm="1">
        <f t="array" ref="AN226">IFERROR(IF(INDEX(tblTrades[sol_invested],ROW()-1)&gt;0.5,INDEX(tblAnalysis[Token],ROW()-1)&amp;" ("&amp;TEXT(INDEX(tblTrades[sol_invested],ROW()-1),"0.0")&amp;" SOL)",""),"")</f>
        <v/>
      </c>
      <c r="AO226" s="7"/>
      <c r="AP226" s="12" t="str" cm="1">
        <f t="array" ref="AP226">IFERROR(INDEX(tblAnalysis[Entry MC ($)],ROW()-1),"")</f>
        <v/>
      </c>
      <c r="AQ226" s="10" t="str" cm="1">
        <f t="array" ref="AQ226">IFERROR(INDEX(tblAnalysis[P&amp;L %],ROW()-1),"")</f>
        <v/>
      </c>
      <c r="AR226" t="str" cm="1">
        <f t="array" ref="AR226">IFERROR(INDEX(tblAnalysis[Hold Time (s)],ROW()-1),"")</f>
        <v/>
      </c>
      <c r="AS226" s="6" t="str" cm="1">
        <f t="array" ref="AS226">IFERROR(INDEX(tblAnalysis[P&amp;L SOL],ROW()-1),"")</f>
        <v/>
      </c>
      <c r="AT226"/>
      <c r="AY226" s="10"/>
      <c r="AZ226" s="10"/>
      <c r="BA226" s="6"/>
      <c r="BB226"/>
      <c r="BF226" t="str">
        <f t="shared" si="75"/>
        <v/>
      </c>
      <c r="BG226" s="27" t="str">
        <f t="shared" si="76"/>
        <v/>
      </c>
      <c r="BH226" t="str">
        <f t="shared" si="77"/>
        <v/>
      </c>
      <c r="BL226" s="29" t="e">
        <f t="shared" si="64"/>
        <v>#N/A</v>
      </c>
      <c r="BM226" s="29" t="e">
        <f t="shared" si="65"/>
        <v>#N/A</v>
      </c>
    </row>
    <row r="227" spans="16:65" x14ac:dyDescent="0.35">
      <c r="P227" s="6"/>
      <c r="Q227" s="27"/>
      <c r="R227" s="6" t="str">
        <f>IF(Q227="","",SUMIFS(tblAnalysis[P&amp;L SOL],tblAnalysis[Date],Q227))</f>
        <v/>
      </c>
      <c r="S227" s="10" t="str">
        <f>IF(Q227="","",SUMIFS(tblAnalysis[P&amp;L %],tblAnalysis[Date],Q227))</f>
        <v/>
      </c>
      <c r="T227" s="6" t="str">
        <f>IF(Q227="","",IFERROR(SUM($R$2:R227),""))</f>
        <v/>
      </c>
      <c r="U227" t="str">
        <f>IF(Q227="","",COUNTIFS(tblAnalysis[Date],Q227))</f>
        <v/>
      </c>
      <c r="W227" s="27" t="str">
        <f t="shared" si="66"/>
        <v/>
      </c>
      <c r="X227" s="6" t="str">
        <f t="shared" si="67"/>
        <v/>
      </c>
      <c r="Y227" s="6" t="str">
        <f>IF(Q227="","",MAX(X227,_xlfn.MAXIFS(tblAnalysis[Cum P&amp;L SOL],tblAnalysis[Date],Q227)))</f>
        <v/>
      </c>
      <c r="Z227" s="6" t="str">
        <f>IF(Q227="","",MIN(X227,_xlfn.MINIFS(tblAnalysis[Cum P&amp;L SOL],tblAnalysis[Date],Q227)))</f>
        <v/>
      </c>
      <c r="AA227" s="6" t="str">
        <f t="shared" si="68"/>
        <v/>
      </c>
      <c r="AB227"/>
      <c r="AC227" s="27" t="str">
        <f t="shared" si="69"/>
        <v/>
      </c>
      <c r="AD227" s="10" t="str">
        <f t="shared" si="70"/>
        <v/>
      </c>
      <c r="AE227" s="10" t="str">
        <f t="shared" si="71"/>
        <v/>
      </c>
      <c r="AF227" s="10" t="str">
        <f t="shared" si="72"/>
        <v/>
      </c>
      <c r="AG227"/>
      <c r="AH227" t="str">
        <f t="shared" si="73"/>
        <v/>
      </c>
      <c r="AI227" t="str">
        <f t="shared" si="74"/>
        <v/>
      </c>
      <c r="AK227" t="str" cm="1">
        <f t="array" ref="AK227">IFERROR(IF(INDEX($A:$A,ROW())="","",INDEX($A:$A,ROW())),"")</f>
        <v/>
      </c>
      <c r="AL227" t="str" cm="1">
        <f t="array" ref="AL227">IFERROR(INDEX(tblTrades[sol_invested],ROW()-1),"")</f>
        <v/>
      </c>
      <c r="AM227" s="6" t="str" cm="1">
        <f t="array" ref="AM227">IFERROR(INDEX(tblAnalysis[P&amp;L SOL],ROW()-1),"")</f>
        <v/>
      </c>
      <c r="AN227" t="str" cm="1">
        <f t="array" ref="AN227">IFERROR(IF(INDEX(tblTrades[sol_invested],ROW()-1)&gt;0.5,INDEX(tblAnalysis[Token],ROW()-1)&amp;" ("&amp;TEXT(INDEX(tblTrades[sol_invested],ROW()-1),"0.0")&amp;" SOL)",""),"")</f>
        <v/>
      </c>
      <c r="AO227" s="7"/>
      <c r="AP227" s="12" t="str" cm="1">
        <f t="array" ref="AP227">IFERROR(INDEX(tblAnalysis[Entry MC ($)],ROW()-1),"")</f>
        <v/>
      </c>
      <c r="AQ227" s="10" t="str" cm="1">
        <f t="array" ref="AQ227">IFERROR(INDEX(tblAnalysis[P&amp;L %],ROW()-1),"")</f>
        <v/>
      </c>
      <c r="AR227" t="str" cm="1">
        <f t="array" ref="AR227">IFERROR(INDEX(tblAnalysis[Hold Time (s)],ROW()-1),"")</f>
        <v/>
      </c>
      <c r="AS227" s="6" t="str" cm="1">
        <f t="array" ref="AS227">IFERROR(INDEX(tblAnalysis[P&amp;L SOL],ROW()-1),"")</f>
        <v/>
      </c>
      <c r="AT227"/>
      <c r="AY227" s="10"/>
      <c r="AZ227" s="10"/>
      <c r="BA227" s="6"/>
      <c r="BB227"/>
      <c r="BF227" t="str">
        <f t="shared" si="75"/>
        <v/>
      </c>
      <c r="BG227" s="27" t="str">
        <f t="shared" si="76"/>
        <v/>
      </c>
      <c r="BH227" t="str">
        <f t="shared" si="77"/>
        <v/>
      </c>
      <c r="BL227" s="29" t="e">
        <f t="shared" si="64"/>
        <v>#N/A</v>
      </c>
      <c r="BM227" s="29" t="e">
        <f t="shared" si="65"/>
        <v>#N/A</v>
      </c>
    </row>
    <row r="228" spans="16:65" x14ac:dyDescent="0.35">
      <c r="P228" s="6"/>
      <c r="Q228" s="27"/>
      <c r="R228" s="6" t="str">
        <f>IF(Q228="","",SUMIFS(tblAnalysis[P&amp;L SOL],tblAnalysis[Date],Q228))</f>
        <v/>
      </c>
      <c r="S228" s="10" t="str">
        <f>IF(Q228="","",SUMIFS(tblAnalysis[P&amp;L %],tblAnalysis[Date],Q228))</f>
        <v/>
      </c>
      <c r="T228" s="6" t="str">
        <f>IF(Q228="","",IFERROR(SUM($R$2:R228),""))</f>
        <v/>
      </c>
      <c r="U228" t="str">
        <f>IF(Q228="","",COUNTIFS(tblAnalysis[Date],Q228))</f>
        <v/>
      </c>
      <c r="W228" s="27" t="str">
        <f t="shared" si="66"/>
        <v/>
      </c>
      <c r="X228" s="6" t="str">
        <f t="shared" si="67"/>
        <v/>
      </c>
      <c r="Y228" s="6" t="str">
        <f>IF(Q228="","",MAX(X228,_xlfn.MAXIFS(tblAnalysis[Cum P&amp;L SOL],tblAnalysis[Date],Q228)))</f>
        <v/>
      </c>
      <c r="Z228" s="6" t="str">
        <f>IF(Q228="","",MIN(X228,_xlfn.MINIFS(tblAnalysis[Cum P&amp;L SOL],tblAnalysis[Date],Q228)))</f>
        <v/>
      </c>
      <c r="AA228" s="6" t="str">
        <f t="shared" si="68"/>
        <v/>
      </c>
      <c r="AB228"/>
      <c r="AC228" s="27" t="str">
        <f t="shared" si="69"/>
        <v/>
      </c>
      <c r="AD228" s="10" t="str">
        <f t="shared" si="70"/>
        <v/>
      </c>
      <c r="AE228" s="10" t="str">
        <f t="shared" si="71"/>
        <v/>
      </c>
      <c r="AF228" s="10" t="str">
        <f t="shared" si="72"/>
        <v/>
      </c>
      <c r="AG228"/>
      <c r="AH228" t="str">
        <f t="shared" si="73"/>
        <v/>
      </c>
      <c r="AI228" t="str">
        <f t="shared" si="74"/>
        <v/>
      </c>
      <c r="AK228" t="str" cm="1">
        <f t="array" ref="AK228">IFERROR(IF(INDEX($A:$A,ROW())="","",INDEX($A:$A,ROW())),"")</f>
        <v/>
      </c>
      <c r="AL228" t="str" cm="1">
        <f t="array" ref="AL228">IFERROR(INDEX(tblTrades[sol_invested],ROW()-1),"")</f>
        <v/>
      </c>
      <c r="AM228" s="6" t="str" cm="1">
        <f t="array" ref="AM228">IFERROR(INDEX(tblAnalysis[P&amp;L SOL],ROW()-1),"")</f>
        <v/>
      </c>
      <c r="AN228" t="str" cm="1">
        <f t="array" ref="AN228">IFERROR(IF(INDEX(tblTrades[sol_invested],ROW()-1)&gt;0.5,INDEX(tblAnalysis[Token],ROW()-1)&amp;" ("&amp;TEXT(INDEX(tblTrades[sol_invested],ROW()-1),"0.0")&amp;" SOL)",""),"")</f>
        <v/>
      </c>
      <c r="AO228" s="7"/>
      <c r="AP228" s="12" t="str" cm="1">
        <f t="array" ref="AP228">IFERROR(INDEX(tblAnalysis[Entry MC ($)],ROW()-1),"")</f>
        <v/>
      </c>
      <c r="AQ228" s="10" t="str" cm="1">
        <f t="array" ref="AQ228">IFERROR(INDEX(tblAnalysis[P&amp;L %],ROW()-1),"")</f>
        <v/>
      </c>
      <c r="AR228" t="str" cm="1">
        <f t="array" ref="AR228">IFERROR(INDEX(tblAnalysis[Hold Time (s)],ROW()-1),"")</f>
        <v/>
      </c>
      <c r="AS228" s="6" t="str" cm="1">
        <f t="array" ref="AS228">IFERROR(INDEX(tblAnalysis[P&amp;L SOL],ROW()-1),"")</f>
        <v/>
      </c>
      <c r="AT228"/>
      <c r="AY228" s="10"/>
      <c r="AZ228" s="10"/>
      <c r="BA228" s="6"/>
      <c r="BB228"/>
      <c r="BF228" t="str">
        <f t="shared" si="75"/>
        <v/>
      </c>
      <c r="BG228" s="27" t="str">
        <f t="shared" si="76"/>
        <v/>
      </c>
      <c r="BH228" t="str">
        <f t="shared" si="77"/>
        <v/>
      </c>
      <c r="BL228" s="29" t="e">
        <f t="shared" si="64"/>
        <v>#N/A</v>
      </c>
      <c r="BM228" s="29" t="e">
        <f t="shared" si="65"/>
        <v>#N/A</v>
      </c>
    </row>
    <row r="229" spans="16:65" x14ac:dyDescent="0.35">
      <c r="P229" s="6"/>
      <c r="Q229" s="27"/>
      <c r="R229" s="6" t="str">
        <f>IF(Q229="","",SUMIFS(tblAnalysis[P&amp;L SOL],tblAnalysis[Date],Q229))</f>
        <v/>
      </c>
      <c r="S229" s="10" t="str">
        <f>IF(Q229="","",SUMIFS(tblAnalysis[P&amp;L %],tblAnalysis[Date],Q229))</f>
        <v/>
      </c>
      <c r="T229" s="6" t="str">
        <f>IF(Q229="","",IFERROR(SUM($R$2:R229),""))</f>
        <v/>
      </c>
      <c r="U229" t="str">
        <f>IF(Q229="","",COUNTIFS(tblAnalysis[Date],Q229))</f>
        <v/>
      </c>
      <c r="W229" s="27" t="str">
        <f t="shared" si="66"/>
        <v/>
      </c>
      <c r="X229" s="6" t="str">
        <f t="shared" si="67"/>
        <v/>
      </c>
      <c r="Y229" s="6" t="str">
        <f>IF(Q229="","",MAX(X229,_xlfn.MAXIFS(tblAnalysis[Cum P&amp;L SOL],tblAnalysis[Date],Q229)))</f>
        <v/>
      </c>
      <c r="Z229" s="6" t="str">
        <f>IF(Q229="","",MIN(X229,_xlfn.MINIFS(tblAnalysis[Cum P&amp;L SOL],tblAnalysis[Date],Q229)))</f>
        <v/>
      </c>
      <c r="AA229" s="6" t="str">
        <f t="shared" si="68"/>
        <v/>
      </c>
      <c r="AB229"/>
      <c r="AC229" s="27" t="str">
        <f t="shared" si="69"/>
        <v/>
      </c>
      <c r="AD229" s="10" t="str">
        <f t="shared" si="70"/>
        <v/>
      </c>
      <c r="AE229" s="10" t="str">
        <f t="shared" si="71"/>
        <v/>
      </c>
      <c r="AF229" s="10" t="str">
        <f t="shared" si="72"/>
        <v/>
      </c>
      <c r="AG229"/>
      <c r="AH229" t="str">
        <f t="shared" si="73"/>
        <v/>
      </c>
      <c r="AI229" t="str">
        <f t="shared" si="74"/>
        <v/>
      </c>
      <c r="AK229" t="str" cm="1">
        <f t="array" ref="AK229">IFERROR(IF(INDEX($A:$A,ROW())="","",INDEX($A:$A,ROW())),"")</f>
        <v/>
      </c>
      <c r="AL229" t="str" cm="1">
        <f t="array" ref="AL229">IFERROR(INDEX(tblTrades[sol_invested],ROW()-1),"")</f>
        <v/>
      </c>
      <c r="AM229" s="6" t="str" cm="1">
        <f t="array" ref="AM229">IFERROR(INDEX(tblAnalysis[P&amp;L SOL],ROW()-1),"")</f>
        <v/>
      </c>
      <c r="AN229" t="str" cm="1">
        <f t="array" ref="AN229">IFERROR(IF(INDEX(tblTrades[sol_invested],ROW()-1)&gt;0.5,INDEX(tblAnalysis[Token],ROW()-1)&amp;" ("&amp;TEXT(INDEX(tblTrades[sol_invested],ROW()-1),"0.0")&amp;" SOL)",""),"")</f>
        <v/>
      </c>
      <c r="AO229" s="7"/>
      <c r="AP229" s="12" t="str" cm="1">
        <f t="array" ref="AP229">IFERROR(INDEX(tblAnalysis[Entry MC ($)],ROW()-1),"")</f>
        <v/>
      </c>
      <c r="AQ229" s="10" t="str" cm="1">
        <f t="array" ref="AQ229">IFERROR(INDEX(tblAnalysis[P&amp;L %],ROW()-1),"")</f>
        <v/>
      </c>
      <c r="AR229" t="str" cm="1">
        <f t="array" ref="AR229">IFERROR(INDEX(tblAnalysis[Hold Time (s)],ROW()-1),"")</f>
        <v/>
      </c>
      <c r="AS229" s="6" t="str" cm="1">
        <f t="array" ref="AS229">IFERROR(INDEX(tblAnalysis[P&amp;L SOL],ROW()-1),"")</f>
        <v/>
      </c>
      <c r="AT229"/>
      <c r="AY229" s="10"/>
      <c r="AZ229" s="10"/>
      <c r="BA229" s="6"/>
      <c r="BB229"/>
      <c r="BF229" t="str">
        <f t="shared" si="75"/>
        <v/>
      </c>
      <c r="BG229" s="27" t="str">
        <f t="shared" si="76"/>
        <v/>
      </c>
      <c r="BH229" t="str">
        <f t="shared" si="77"/>
        <v/>
      </c>
      <c r="BL229" s="29" t="e">
        <f t="shared" si="64"/>
        <v>#N/A</v>
      </c>
      <c r="BM229" s="29" t="e">
        <f t="shared" si="65"/>
        <v>#N/A</v>
      </c>
    </row>
    <row r="230" spans="16:65" x14ac:dyDescent="0.35">
      <c r="P230" s="6"/>
      <c r="Q230" s="27"/>
      <c r="R230" s="6" t="str">
        <f>IF(Q230="","",SUMIFS(tblAnalysis[P&amp;L SOL],tblAnalysis[Date],Q230))</f>
        <v/>
      </c>
      <c r="S230" s="10" t="str">
        <f>IF(Q230="","",SUMIFS(tblAnalysis[P&amp;L %],tblAnalysis[Date],Q230))</f>
        <v/>
      </c>
      <c r="T230" s="6" t="str">
        <f>IF(Q230="","",IFERROR(SUM($R$2:R230),""))</f>
        <v/>
      </c>
      <c r="U230" t="str">
        <f>IF(Q230="","",COUNTIFS(tblAnalysis[Date],Q230))</f>
        <v/>
      </c>
      <c r="W230" s="27" t="str">
        <f t="shared" si="66"/>
        <v/>
      </c>
      <c r="X230" s="6" t="str">
        <f t="shared" si="67"/>
        <v/>
      </c>
      <c r="Y230" s="6" t="str">
        <f>IF(Q230="","",MAX(X230,_xlfn.MAXIFS(tblAnalysis[Cum P&amp;L SOL],tblAnalysis[Date],Q230)))</f>
        <v/>
      </c>
      <c r="Z230" s="6" t="str">
        <f>IF(Q230="","",MIN(X230,_xlfn.MINIFS(tblAnalysis[Cum P&amp;L SOL],tblAnalysis[Date],Q230)))</f>
        <v/>
      </c>
      <c r="AA230" s="6" t="str">
        <f t="shared" si="68"/>
        <v/>
      </c>
      <c r="AB230"/>
      <c r="AC230" s="27" t="str">
        <f t="shared" si="69"/>
        <v/>
      </c>
      <c r="AD230" s="10" t="str">
        <f t="shared" si="70"/>
        <v/>
      </c>
      <c r="AE230" s="10" t="str">
        <f t="shared" si="71"/>
        <v/>
      </c>
      <c r="AF230" s="10" t="str">
        <f t="shared" si="72"/>
        <v/>
      </c>
      <c r="AG230"/>
      <c r="AH230" t="str">
        <f t="shared" si="73"/>
        <v/>
      </c>
      <c r="AI230" t="str">
        <f t="shared" si="74"/>
        <v/>
      </c>
      <c r="AK230" t="str" cm="1">
        <f t="array" ref="AK230">IFERROR(IF(INDEX($A:$A,ROW())="","",INDEX($A:$A,ROW())),"")</f>
        <v/>
      </c>
      <c r="AL230" t="str" cm="1">
        <f t="array" ref="AL230">IFERROR(INDEX(tblTrades[sol_invested],ROW()-1),"")</f>
        <v/>
      </c>
      <c r="AM230" s="6" t="str" cm="1">
        <f t="array" ref="AM230">IFERROR(INDEX(tblAnalysis[P&amp;L SOL],ROW()-1),"")</f>
        <v/>
      </c>
      <c r="AN230" t="str" cm="1">
        <f t="array" ref="AN230">IFERROR(IF(INDEX(tblTrades[sol_invested],ROW()-1)&gt;0.5,INDEX(tblAnalysis[Token],ROW()-1)&amp;" ("&amp;TEXT(INDEX(tblTrades[sol_invested],ROW()-1),"0.0")&amp;" SOL)",""),"")</f>
        <v/>
      </c>
      <c r="AO230" s="7"/>
      <c r="AP230" s="12" t="str" cm="1">
        <f t="array" ref="AP230">IFERROR(INDEX(tblAnalysis[Entry MC ($)],ROW()-1),"")</f>
        <v/>
      </c>
      <c r="AQ230" s="10" t="str" cm="1">
        <f t="array" ref="AQ230">IFERROR(INDEX(tblAnalysis[P&amp;L %],ROW()-1),"")</f>
        <v/>
      </c>
      <c r="AR230" t="str" cm="1">
        <f t="array" ref="AR230">IFERROR(INDEX(tblAnalysis[Hold Time (s)],ROW()-1),"")</f>
        <v/>
      </c>
      <c r="AS230" s="6" t="str" cm="1">
        <f t="array" ref="AS230">IFERROR(INDEX(tblAnalysis[P&amp;L SOL],ROW()-1),"")</f>
        <v/>
      </c>
      <c r="AT230"/>
      <c r="AY230" s="10"/>
      <c r="AZ230" s="10"/>
      <c r="BA230" s="6"/>
      <c r="BB230"/>
      <c r="BF230" t="str">
        <f t="shared" si="75"/>
        <v/>
      </c>
      <c r="BG230" s="27" t="str">
        <f t="shared" si="76"/>
        <v/>
      </c>
      <c r="BH230" t="str">
        <f t="shared" si="77"/>
        <v/>
      </c>
      <c r="BL230" s="29" t="e">
        <f t="shared" si="64"/>
        <v>#N/A</v>
      </c>
      <c r="BM230" s="29" t="e">
        <f t="shared" si="65"/>
        <v>#N/A</v>
      </c>
    </row>
    <row r="231" spans="16:65" x14ac:dyDescent="0.35">
      <c r="P231" s="6"/>
      <c r="Q231" s="27"/>
      <c r="R231" s="6" t="str">
        <f>IF(Q231="","",SUMIFS(tblAnalysis[P&amp;L SOL],tblAnalysis[Date],Q231))</f>
        <v/>
      </c>
      <c r="S231" s="10" t="str">
        <f>IF(Q231="","",SUMIFS(tblAnalysis[P&amp;L %],tblAnalysis[Date],Q231))</f>
        <v/>
      </c>
      <c r="T231" s="6" t="str">
        <f>IF(Q231="","",IFERROR(SUM($R$2:R231),""))</f>
        <v/>
      </c>
      <c r="U231" t="str">
        <f>IF(Q231="","",COUNTIFS(tblAnalysis[Date],Q231))</f>
        <v/>
      </c>
      <c r="W231" s="27" t="str">
        <f t="shared" si="66"/>
        <v/>
      </c>
      <c r="X231" s="6" t="str">
        <f t="shared" si="67"/>
        <v/>
      </c>
      <c r="Y231" s="6" t="str">
        <f>IF(Q231="","",MAX(X231,_xlfn.MAXIFS(tblAnalysis[Cum P&amp;L SOL],tblAnalysis[Date],Q231)))</f>
        <v/>
      </c>
      <c r="Z231" s="6" t="str">
        <f>IF(Q231="","",MIN(X231,_xlfn.MINIFS(tblAnalysis[Cum P&amp;L SOL],tblAnalysis[Date],Q231)))</f>
        <v/>
      </c>
      <c r="AA231" s="6" t="str">
        <f t="shared" si="68"/>
        <v/>
      </c>
      <c r="AB231"/>
      <c r="AC231" s="27" t="str">
        <f t="shared" si="69"/>
        <v/>
      </c>
      <c r="AD231" s="10" t="str">
        <f t="shared" si="70"/>
        <v/>
      </c>
      <c r="AE231" s="10" t="str">
        <f t="shared" si="71"/>
        <v/>
      </c>
      <c r="AF231" s="10" t="str">
        <f t="shared" si="72"/>
        <v/>
      </c>
      <c r="AG231"/>
      <c r="AH231" t="str">
        <f t="shared" si="73"/>
        <v/>
      </c>
      <c r="AI231" t="str">
        <f t="shared" si="74"/>
        <v/>
      </c>
      <c r="AK231" t="str" cm="1">
        <f t="array" ref="AK231">IFERROR(IF(INDEX($A:$A,ROW())="","",INDEX($A:$A,ROW())),"")</f>
        <v/>
      </c>
      <c r="AL231" t="str" cm="1">
        <f t="array" ref="AL231">IFERROR(INDEX(tblTrades[sol_invested],ROW()-1),"")</f>
        <v/>
      </c>
      <c r="AM231" s="6" t="str" cm="1">
        <f t="array" ref="AM231">IFERROR(INDEX(tblAnalysis[P&amp;L SOL],ROW()-1),"")</f>
        <v/>
      </c>
      <c r="AN231" t="str" cm="1">
        <f t="array" ref="AN231">IFERROR(IF(INDEX(tblTrades[sol_invested],ROW()-1)&gt;0.5,INDEX(tblAnalysis[Token],ROW()-1)&amp;" ("&amp;TEXT(INDEX(tblTrades[sol_invested],ROW()-1),"0.0")&amp;" SOL)",""),"")</f>
        <v/>
      </c>
      <c r="AO231" s="7"/>
      <c r="AP231" s="12" t="str" cm="1">
        <f t="array" ref="AP231">IFERROR(INDEX(tblAnalysis[Entry MC ($)],ROW()-1),"")</f>
        <v/>
      </c>
      <c r="AQ231" s="10" t="str" cm="1">
        <f t="array" ref="AQ231">IFERROR(INDEX(tblAnalysis[P&amp;L %],ROW()-1),"")</f>
        <v/>
      </c>
      <c r="AR231" t="str" cm="1">
        <f t="array" ref="AR231">IFERROR(INDEX(tblAnalysis[Hold Time (s)],ROW()-1),"")</f>
        <v/>
      </c>
      <c r="AS231" s="6" t="str" cm="1">
        <f t="array" ref="AS231">IFERROR(INDEX(tblAnalysis[P&amp;L SOL],ROW()-1),"")</f>
        <v/>
      </c>
      <c r="AT231"/>
      <c r="AY231" s="10"/>
      <c r="AZ231" s="10"/>
      <c r="BA231" s="6"/>
      <c r="BB231"/>
      <c r="BF231" t="str">
        <f t="shared" si="75"/>
        <v/>
      </c>
      <c r="BG231" s="27" t="str">
        <f t="shared" si="76"/>
        <v/>
      </c>
      <c r="BH231" t="str">
        <f t="shared" si="77"/>
        <v/>
      </c>
      <c r="BL231" s="29" t="e">
        <f t="shared" si="64"/>
        <v>#N/A</v>
      </c>
      <c r="BM231" s="29" t="e">
        <f t="shared" si="65"/>
        <v>#N/A</v>
      </c>
    </row>
    <row r="232" spans="16:65" x14ac:dyDescent="0.35">
      <c r="P232" s="6"/>
      <c r="Q232" s="27"/>
      <c r="R232" s="6" t="str">
        <f>IF(Q232="","",SUMIFS(tblAnalysis[P&amp;L SOL],tblAnalysis[Date],Q232))</f>
        <v/>
      </c>
      <c r="S232" s="10" t="str">
        <f>IF(Q232="","",SUMIFS(tblAnalysis[P&amp;L %],tblAnalysis[Date],Q232))</f>
        <v/>
      </c>
      <c r="T232" s="6" t="str">
        <f>IF(Q232="","",IFERROR(SUM($R$2:R232),""))</f>
        <v/>
      </c>
      <c r="U232" t="str">
        <f>IF(Q232="","",COUNTIFS(tblAnalysis[Date],Q232))</f>
        <v/>
      </c>
      <c r="W232" s="27" t="str">
        <f t="shared" si="66"/>
        <v/>
      </c>
      <c r="X232" s="6" t="str">
        <f t="shared" si="67"/>
        <v/>
      </c>
      <c r="Y232" s="6" t="str">
        <f>IF(Q232="","",MAX(X232,_xlfn.MAXIFS(tblAnalysis[Cum P&amp;L SOL],tblAnalysis[Date],Q232)))</f>
        <v/>
      </c>
      <c r="Z232" s="6" t="str">
        <f>IF(Q232="","",MIN(X232,_xlfn.MINIFS(tblAnalysis[Cum P&amp;L SOL],tblAnalysis[Date],Q232)))</f>
        <v/>
      </c>
      <c r="AA232" s="6" t="str">
        <f t="shared" si="68"/>
        <v/>
      </c>
      <c r="AB232"/>
      <c r="AC232" s="27" t="str">
        <f t="shared" si="69"/>
        <v/>
      </c>
      <c r="AD232" s="10" t="str">
        <f t="shared" si="70"/>
        <v/>
      </c>
      <c r="AE232" s="10" t="str">
        <f t="shared" si="71"/>
        <v/>
      </c>
      <c r="AF232" s="10" t="str">
        <f t="shared" si="72"/>
        <v/>
      </c>
      <c r="AG232"/>
      <c r="AH232" t="str">
        <f t="shared" si="73"/>
        <v/>
      </c>
      <c r="AI232" t="str">
        <f t="shared" si="74"/>
        <v/>
      </c>
      <c r="AK232" t="str" cm="1">
        <f t="array" ref="AK232">IFERROR(IF(INDEX($A:$A,ROW())="","",INDEX($A:$A,ROW())),"")</f>
        <v/>
      </c>
      <c r="AL232" t="str" cm="1">
        <f t="array" ref="AL232">IFERROR(INDEX(tblTrades[sol_invested],ROW()-1),"")</f>
        <v/>
      </c>
      <c r="AM232" s="6" t="str" cm="1">
        <f t="array" ref="AM232">IFERROR(INDEX(tblAnalysis[P&amp;L SOL],ROW()-1),"")</f>
        <v/>
      </c>
      <c r="AN232" t="str" cm="1">
        <f t="array" ref="AN232">IFERROR(IF(INDEX(tblTrades[sol_invested],ROW()-1)&gt;0.5,INDEX(tblAnalysis[Token],ROW()-1)&amp;" ("&amp;TEXT(INDEX(tblTrades[sol_invested],ROW()-1),"0.0")&amp;" SOL)",""),"")</f>
        <v/>
      </c>
      <c r="AO232" s="7"/>
      <c r="AP232" s="12" t="str" cm="1">
        <f t="array" ref="AP232">IFERROR(INDEX(tblAnalysis[Entry MC ($)],ROW()-1),"")</f>
        <v/>
      </c>
      <c r="AQ232" s="10" t="str" cm="1">
        <f t="array" ref="AQ232">IFERROR(INDEX(tblAnalysis[P&amp;L %],ROW()-1),"")</f>
        <v/>
      </c>
      <c r="AR232" t="str" cm="1">
        <f t="array" ref="AR232">IFERROR(INDEX(tblAnalysis[Hold Time (s)],ROW()-1),"")</f>
        <v/>
      </c>
      <c r="AS232" s="6" t="str" cm="1">
        <f t="array" ref="AS232">IFERROR(INDEX(tblAnalysis[P&amp;L SOL],ROW()-1),"")</f>
        <v/>
      </c>
      <c r="AT232"/>
      <c r="AY232" s="10"/>
      <c r="AZ232" s="10"/>
      <c r="BA232" s="6"/>
      <c r="BB232"/>
      <c r="BF232" t="str">
        <f t="shared" si="75"/>
        <v/>
      </c>
      <c r="BG232" s="27" t="str">
        <f t="shared" si="76"/>
        <v/>
      </c>
      <c r="BH232" t="str">
        <f t="shared" si="77"/>
        <v/>
      </c>
      <c r="BL232" s="29" t="e">
        <f t="shared" ref="BL232:BL295" si="78">IF(ISNUMBER(G222),IF(G222&gt;0,G222,NA()),NA())</f>
        <v>#N/A</v>
      </c>
      <c r="BM232" s="29" t="e">
        <f t="shared" ref="BM232:BM295" si="79">IF(ISNUMBER(G222),IF(G222&lt;=0,G222,NA()),NA())</f>
        <v>#N/A</v>
      </c>
    </row>
    <row r="233" spans="16:65" x14ac:dyDescent="0.35">
      <c r="P233" s="6"/>
      <c r="Q233" s="27"/>
      <c r="R233" s="6" t="str">
        <f>IF(Q233="","",SUMIFS(tblAnalysis[P&amp;L SOL],tblAnalysis[Date],Q233))</f>
        <v/>
      </c>
      <c r="S233" s="10" t="str">
        <f>IF(Q233="","",SUMIFS(tblAnalysis[P&amp;L %],tblAnalysis[Date],Q233))</f>
        <v/>
      </c>
      <c r="T233" s="6" t="str">
        <f>IF(Q233="","",IFERROR(SUM($R$2:R233),""))</f>
        <v/>
      </c>
      <c r="U233" t="str">
        <f>IF(Q233="","",COUNTIFS(tblAnalysis[Date],Q233))</f>
        <v/>
      </c>
      <c r="W233" s="27" t="str">
        <f t="shared" si="66"/>
        <v/>
      </c>
      <c r="X233" s="6" t="str">
        <f t="shared" si="67"/>
        <v/>
      </c>
      <c r="Y233" s="6" t="str">
        <f>IF(Q233="","",MAX(X233,_xlfn.MAXIFS(tblAnalysis[Cum P&amp;L SOL],tblAnalysis[Date],Q233)))</f>
        <v/>
      </c>
      <c r="Z233" s="6" t="str">
        <f>IF(Q233="","",MIN(X233,_xlfn.MINIFS(tblAnalysis[Cum P&amp;L SOL],tblAnalysis[Date],Q233)))</f>
        <v/>
      </c>
      <c r="AA233" s="6" t="str">
        <f t="shared" si="68"/>
        <v/>
      </c>
      <c r="AB233"/>
      <c r="AC233" s="27" t="str">
        <f t="shared" si="69"/>
        <v/>
      </c>
      <c r="AD233" s="10" t="str">
        <f t="shared" si="70"/>
        <v/>
      </c>
      <c r="AE233" s="10" t="str">
        <f t="shared" si="71"/>
        <v/>
      </c>
      <c r="AF233" s="10" t="str">
        <f t="shared" si="72"/>
        <v/>
      </c>
      <c r="AG233"/>
      <c r="AH233" t="str">
        <f t="shared" si="73"/>
        <v/>
      </c>
      <c r="AI233" t="str">
        <f t="shared" si="74"/>
        <v/>
      </c>
      <c r="AK233" t="str" cm="1">
        <f t="array" ref="AK233">IFERROR(IF(INDEX($A:$A,ROW())="","",INDEX($A:$A,ROW())),"")</f>
        <v/>
      </c>
      <c r="AL233" t="str" cm="1">
        <f t="array" ref="AL233">IFERROR(INDEX(tblTrades[sol_invested],ROW()-1),"")</f>
        <v/>
      </c>
      <c r="AM233" s="6" t="str" cm="1">
        <f t="array" ref="AM233">IFERROR(INDEX(tblAnalysis[P&amp;L SOL],ROW()-1),"")</f>
        <v/>
      </c>
      <c r="AN233" t="str" cm="1">
        <f t="array" ref="AN233">IFERROR(IF(INDEX(tblTrades[sol_invested],ROW()-1)&gt;0.5,INDEX(tblAnalysis[Token],ROW()-1)&amp;" ("&amp;TEXT(INDEX(tblTrades[sol_invested],ROW()-1),"0.0")&amp;" SOL)",""),"")</f>
        <v/>
      </c>
      <c r="AO233" s="7"/>
      <c r="AP233" s="12" t="str" cm="1">
        <f t="array" ref="AP233">IFERROR(INDEX(tblAnalysis[Entry MC ($)],ROW()-1),"")</f>
        <v/>
      </c>
      <c r="AQ233" s="10" t="str" cm="1">
        <f t="array" ref="AQ233">IFERROR(INDEX(tblAnalysis[P&amp;L %],ROW()-1),"")</f>
        <v/>
      </c>
      <c r="AR233" t="str" cm="1">
        <f t="array" ref="AR233">IFERROR(INDEX(tblAnalysis[Hold Time (s)],ROW()-1),"")</f>
        <v/>
      </c>
      <c r="AS233" s="6" t="str" cm="1">
        <f t="array" ref="AS233">IFERROR(INDEX(tblAnalysis[P&amp;L SOL],ROW()-1),"")</f>
        <v/>
      </c>
      <c r="AT233"/>
      <c r="AY233" s="10"/>
      <c r="AZ233" s="10"/>
      <c r="BA233" s="6"/>
      <c r="BB233"/>
      <c r="BF233" t="str">
        <f t="shared" si="75"/>
        <v/>
      </c>
      <c r="BG233" s="27" t="str">
        <f t="shared" si="76"/>
        <v/>
      </c>
      <c r="BH233" t="str">
        <f t="shared" si="77"/>
        <v/>
      </c>
      <c r="BL233" s="29" t="e">
        <f t="shared" si="78"/>
        <v>#N/A</v>
      </c>
      <c r="BM233" s="29" t="e">
        <f t="shared" si="79"/>
        <v>#N/A</v>
      </c>
    </row>
    <row r="234" spans="16:65" x14ac:dyDescent="0.35">
      <c r="P234" s="6"/>
      <c r="Q234" s="27"/>
      <c r="R234" s="6" t="str">
        <f>IF(Q234="","",SUMIFS(tblAnalysis[P&amp;L SOL],tblAnalysis[Date],Q234))</f>
        <v/>
      </c>
      <c r="S234" s="10" t="str">
        <f>IF(Q234="","",SUMIFS(tblAnalysis[P&amp;L %],tblAnalysis[Date],Q234))</f>
        <v/>
      </c>
      <c r="T234" s="6" t="str">
        <f>IF(Q234="","",IFERROR(SUM($R$2:R234),""))</f>
        <v/>
      </c>
      <c r="U234" t="str">
        <f>IF(Q234="","",COUNTIFS(tblAnalysis[Date],Q234))</f>
        <v/>
      </c>
      <c r="W234" s="27" t="str">
        <f t="shared" si="66"/>
        <v/>
      </c>
      <c r="X234" s="6" t="str">
        <f t="shared" si="67"/>
        <v/>
      </c>
      <c r="Y234" s="6" t="str">
        <f>IF(Q234="","",MAX(X234,_xlfn.MAXIFS(tblAnalysis[Cum P&amp;L SOL],tblAnalysis[Date],Q234)))</f>
        <v/>
      </c>
      <c r="Z234" s="6" t="str">
        <f>IF(Q234="","",MIN(X234,_xlfn.MINIFS(tblAnalysis[Cum P&amp;L SOL],tblAnalysis[Date],Q234)))</f>
        <v/>
      </c>
      <c r="AA234" s="6" t="str">
        <f t="shared" si="68"/>
        <v/>
      </c>
      <c r="AB234"/>
      <c r="AC234" s="27" t="str">
        <f t="shared" si="69"/>
        <v/>
      </c>
      <c r="AD234" s="10" t="str">
        <f t="shared" si="70"/>
        <v/>
      </c>
      <c r="AE234" s="10" t="str">
        <f t="shared" si="71"/>
        <v/>
      </c>
      <c r="AF234" s="10" t="str">
        <f t="shared" si="72"/>
        <v/>
      </c>
      <c r="AG234"/>
      <c r="AH234" t="str">
        <f t="shared" si="73"/>
        <v/>
      </c>
      <c r="AI234" t="str">
        <f t="shared" si="74"/>
        <v/>
      </c>
      <c r="AK234" t="str" cm="1">
        <f t="array" ref="AK234">IFERROR(IF(INDEX($A:$A,ROW())="","",INDEX($A:$A,ROW())),"")</f>
        <v/>
      </c>
      <c r="AL234" t="str" cm="1">
        <f t="array" ref="AL234">IFERROR(INDEX(tblTrades[sol_invested],ROW()-1),"")</f>
        <v/>
      </c>
      <c r="AM234" s="6" t="str" cm="1">
        <f t="array" ref="AM234">IFERROR(INDEX(tblAnalysis[P&amp;L SOL],ROW()-1),"")</f>
        <v/>
      </c>
      <c r="AN234" t="str" cm="1">
        <f t="array" ref="AN234">IFERROR(IF(INDEX(tblTrades[sol_invested],ROW()-1)&gt;0.5,INDEX(tblAnalysis[Token],ROW()-1)&amp;" ("&amp;TEXT(INDEX(tblTrades[sol_invested],ROW()-1),"0.0")&amp;" SOL)",""),"")</f>
        <v/>
      </c>
      <c r="AO234" s="7"/>
      <c r="AP234" s="12" t="str" cm="1">
        <f t="array" ref="AP234">IFERROR(INDEX(tblAnalysis[Entry MC ($)],ROW()-1),"")</f>
        <v/>
      </c>
      <c r="AQ234" s="10" t="str" cm="1">
        <f t="array" ref="AQ234">IFERROR(INDEX(tblAnalysis[P&amp;L %],ROW()-1),"")</f>
        <v/>
      </c>
      <c r="AR234" t="str" cm="1">
        <f t="array" ref="AR234">IFERROR(INDEX(tblAnalysis[Hold Time (s)],ROW()-1),"")</f>
        <v/>
      </c>
      <c r="AS234" s="6" t="str" cm="1">
        <f t="array" ref="AS234">IFERROR(INDEX(tblAnalysis[P&amp;L SOL],ROW()-1),"")</f>
        <v/>
      </c>
      <c r="AT234"/>
      <c r="AY234" s="10"/>
      <c r="AZ234" s="10"/>
      <c r="BA234" s="6"/>
      <c r="BB234"/>
      <c r="BF234" t="str">
        <f t="shared" si="75"/>
        <v/>
      </c>
      <c r="BG234" s="27" t="str">
        <f t="shared" si="76"/>
        <v/>
      </c>
      <c r="BH234" t="str">
        <f t="shared" si="77"/>
        <v/>
      </c>
      <c r="BL234" s="29" t="e">
        <f t="shared" si="78"/>
        <v>#N/A</v>
      </c>
      <c r="BM234" s="29" t="e">
        <f t="shared" si="79"/>
        <v>#N/A</v>
      </c>
    </row>
    <row r="235" spans="16:65" x14ac:dyDescent="0.35">
      <c r="P235" s="6"/>
      <c r="Q235" s="27"/>
      <c r="R235" s="6" t="str">
        <f>IF(Q235="","",SUMIFS(tblAnalysis[P&amp;L SOL],tblAnalysis[Date],Q235))</f>
        <v/>
      </c>
      <c r="S235" s="10" t="str">
        <f>IF(Q235="","",SUMIFS(tblAnalysis[P&amp;L %],tblAnalysis[Date],Q235))</f>
        <v/>
      </c>
      <c r="T235" s="6" t="str">
        <f>IF(Q235="","",IFERROR(SUM($R$2:R235),""))</f>
        <v/>
      </c>
      <c r="U235" t="str">
        <f>IF(Q235="","",COUNTIFS(tblAnalysis[Date],Q235))</f>
        <v/>
      </c>
      <c r="W235" s="27" t="str">
        <f t="shared" si="66"/>
        <v/>
      </c>
      <c r="X235" s="6" t="str">
        <f t="shared" si="67"/>
        <v/>
      </c>
      <c r="Y235" s="6" t="str">
        <f>IF(Q235="","",MAX(X235,_xlfn.MAXIFS(tblAnalysis[Cum P&amp;L SOL],tblAnalysis[Date],Q235)))</f>
        <v/>
      </c>
      <c r="Z235" s="6" t="str">
        <f>IF(Q235="","",MIN(X235,_xlfn.MINIFS(tblAnalysis[Cum P&amp;L SOL],tblAnalysis[Date],Q235)))</f>
        <v/>
      </c>
      <c r="AA235" s="6" t="str">
        <f t="shared" si="68"/>
        <v/>
      </c>
      <c r="AB235"/>
      <c r="AC235" s="27" t="str">
        <f t="shared" si="69"/>
        <v/>
      </c>
      <c r="AD235" s="10" t="str">
        <f t="shared" si="70"/>
        <v/>
      </c>
      <c r="AE235" s="10" t="str">
        <f t="shared" si="71"/>
        <v/>
      </c>
      <c r="AF235" s="10" t="str">
        <f t="shared" si="72"/>
        <v/>
      </c>
      <c r="AG235"/>
      <c r="AH235" t="str">
        <f t="shared" si="73"/>
        <v/>
      </c>
      <c r="AI235" t="str">
        <f t="shared" si="74"/>
        <v/>
      </c>
      <c r="AK235" t="str" cm="1">
        <f t="array" ref="AK235">IFERROR(IF(INDEX($A:$A,ROW())="","",INDEX($A:$A,ROW())),"")</f>
        <v/>
      </c>
      <c r="AL235" t="str" cm="1">
        <f t="array" ref="AL235">IFERROR(INDEX(tblTrades[sol_invested],ROW()-1),"")</f>
        <v/>
      </c>
      <c r="AM235" s="6" t="str" cm="1">
        <f t="array" ref="AM235">IFERROR(INDEX(tblAnalysis[P&amp;L SOL],ROW()-1),"")</f>
        <v/>
      </c>
      <c r="AN235" t="str" cm="1">
        <f t="array" ref="AN235">IFERROR(IF(INDEX(tblTrades[sol_invested],ROW()-1)&gt;0.5,INDEX(tblAnalysis[Token],ROW()-1)&amp;" ("&amp;TEXT(INDEX(tblTrades[sol_invested],ROW()-1),"0.0")&amp;" SOL)",""),"")</f>
        <v/>
      </c>
      <c r="AO235" s="7"/>
      <c r="AP235" s="12" t="str" cm="1">
        <f t="array" ref="AP235">IFERROR(INDEX(tblAnalysis[Entry MC ($)],ROW()-1),"")</f>
        <v/>
      </c>
      <c r="AQ235" s="10" t="str" cm="1">
        <f t="array" ref="AQ235">IFERROR(INDEX(tblAnalysis[P&amp;L %],ROW()-1),"")</f>
        <v/>
      </c>
      <c r="AR235" t="str" cm="1">
        <f t="array" ref="AR235">IFERROR(INDEX(tblAnalysis[Hold Time (s)],ROW()-1),"")</f>
        <v/>
      </c>
      <c r="AS235" s="6" t="str" cm="1">
        <f t="array" ref="AS235">IFERROR(INDEX(tblAnalysis[P&amp;L SOL],ROW()-1),"")</f>
        <v/>
      </c>
      <c r="AT235"/>
      <c r="AY235" s="10"/>
      <c r="AZ235" s="10"/>
      <c r="BA235" s="6"/>
      <c r="BB235"/>
      <c r="BF235" t="str">
        <f t="shared" si="75"/>
        <v/>
      </c>
      <c r="BG235" s="27" t="str">
        <f t="shared" si="76"/>
        <v/>
      </c>
      <c r="BH235" t="str">
        <f t="shared" si="77"/>
        <v/>
      </c>
      <c r="BL235" s="29" t="e">
        <f t="shared" si="78"/>
        <v>#N/A</v>
      </c>
      <c r="BM235" s="29" t="e">
        <f t="shared" si="79"/>
        <v>#N/A</v>
      </c>
    </row>
    <row r="236" spans="16:65" x14ac:dyDescent="0.35">
      <c r="P236" s="6"/>
      <c r="Q236" s="27"/>
      <c r="R236" s="6" t="str">
        <f>IF(Q236="","",SUMIFS(tblAnalysis[P&amp;L SOL],tblAnalysis[Date],Q236))</f>
        <v/>
      </c>
      <c r="S236" s="10" t="str">
        <f>IF(Q236="","",SUMIFS(tblAnalysis[P&amp;L %],tblAnalysis[Date],Q236))</f>
        <v/>
      </c>
      <c r="T236" s="6" t="str">
        <f>IF(Q236="","",IFERROR(SUM($R$2:R236),""))</f>
        <v/>
      </c>
      <c r="U236" t="str">
        <f>IF(Q236="","",COUNTIFS(tblAnalysis[Date],Q236))</f>
        <v/>
      </c>
      <c r="W236" s="27" t="str">
        <f t="shared" si="66"/>
        <v/>
      </c>
      <c r="X236" s="6" t="str">
        <f t="shared" si="67"/>
        <v/>
      </c>
      <c r="Y236" s="6" t="str">
        <f>IF(Q236="","",MAX(X236,_xlfn.MAXIFS(tblAnalysis[Cum P&amp;L SOL],tblAnalysis[Date],Q236)))</f>
        <v/>
      </c>
      <c r="Z236" s="6" t="str">
        <f>IF(Q236="","",MIN(X236,_xlfn.MINIFS(tblAnalysis[Cum P&amp;L SOL],tblAnalysis[Date],Q236)))</f>
        <v/>
      </c>
      <c r="AA236" s="6" t="str">
        <f t="shared" si="68"/>
        <v/>
      </c>
      <c r="AB236"/>
      <c r="AC236" s="27" t="str">
        <f t="shared" si="69"/>
        <v/>
      </c>
      <c r="AD236" s="10" t="str">
        <f t="shared" si="70"/>
        <v/>
      </c>
      <c r="AE236" s="10" t="str">
        <f t="shared" si="71"/>
        <v/>
      </c>
      <c r="AF236" s="10" t="str">
        <f t="shared" si="72"/>
        <v/>
      </c>
      <c r="AG236"/>
      <c r="AH236" t="str">
        <f t="shared" si="73"/>
        <v/>
      </c>
      <c r="AI236" t="str">
        <f t="shared" si="74"/>
        <v/>
      </c>
      <c r="AK236" t="str" cm="1">
        <f t="array" ref="AK236">IFERROR(IF(INDEX($A:$A,ROW())="","",INDEX($A:$A,ROW())),"")</f>
        <v/>
      </c>
      <c r="AL236" t="str" cm="1">
        <f t="array" ref="AL236">IFERROR(INDEX(tblTrades[sol_invested],ROW()-1),"")</f>
        <v/>
      </c>
      <c r="AM236" s="6" t="str" cm="1">
        <f t="array" ref="AM236">IFERROR(INDEX(tblAnalysis[P&amp;L SOL],ROW()-1),"")</f>
        <v/>
      </c>
      <c r="AN236" t="str" cm="1">
        <f t="array" ref="AN236">IFERROR(IF(INDEX(tblTrades[sol_invested],ROW()-1)&gt;0.5,INDEX(tblAnalysis[Token],ROW()-1)&amp;" ("&amp;TEXT(INDEX(tblTrades[sol_invested],ROW()-1),"0.0")&amp;" SOL)",""),"")</f>
        <v/>
      </c>
      <c r="AO236" s="7"/>
      <c r="AP236" s="12" t="str" cm="1">
        <f t="array" ref="AP236">IFERROR(INDEX(tblAnalysis[Entry MC ($)],ROW()-1),"")</f>
        <v/>
      </c>
      <c r="AQ236" s="10" t="str" cm="1">
        <f t="array" ref="AQ236">IFERROR(INDEX(tblAnalysis[P&amp;L %],ROW()-1),"")</f>
        <v/>
      </c>
      <c r="AR236" t="str" cm="1">
        <f t="array" ref="AR236">IFERROR(INDEX(tblAnalysis[Hold Time (s)],ROW()-1),"")</f>
        <v/>
      </c>
      <c r="AS236" s="6" t="str" cm="1">
        <f t="array" ref="AS236">IFERROR(INDEX(tblAnalysis[P&amp;L SOL],ROW()-1),"")</f>
        <v/>
      </c>
      <c r="AT236"/>
      <c r="AY236" s="10"/>
      <c r="AZ236" s="10"/>
      <c r="BA236" s="6"/>
      <c r="BB236"/>
      <c r="BF236" t="str">
        <f t="shared" si="75"/>
        <v/>
      </c>
      <c r="BG236" s="27" t="str">
        <f t="shared" si="76"/>
        <v/>
      </c>
      <c r="BH236" t="str">
        <f t="shared" si="77"/>
        <v/>
      </c>
      <c r="BL236" s="29" t="e">
        <f t="shared" si="78"/>
        <v>#N/A</v>
      </c>
      <c r="BM236" s="29" t="e">
        <f t="shared" si="79"/>
        <v>#N/A</v>
      </c>
    </row>
    <row r="237" spans="16:65" x14ac:dyDescent="0.35">
      <c r="P237" s="6"/>
      <c r="Q237" s="27"/>
      <c r="R237" s="6" t="str">
        <f>IF(Q237="","",SUMIFS(tblAnalysis[P&amp;L SOL],tblAnalysis[Date],Q237))</f>
        <v/>
      </c>
      <c r="S237" s="10" t="str">
        <f>IF(Q237="","",SUMIFS(tblAnalysis[P&amp;L %],tblAnalysis[Date],Q237))</f>
        <v/>
      </c>
      <c r="T237" s="6" t="str">
        <f>IF(Q237="","",IFERROR(SUM($R$2:R237),""))</f>
        <v/>
      </c>
      <c r="U237" t="str">
        <f>IF(Q237="","",COUNTIFS(tblAnalysis[Date],Q237))</f>
        <v/>
      </c>
      <c r="W237" s="27" t="str">
        <f t="shared" si="66"/>
        <v/>
      </c>
      <c r="X237" s="6" t="str">
        <f t="shared" si="67"/>
        <v/>
      </c>
      <c r="Y237" s="6" t="str">
        <f>IF(Q237="","",MAX(X237,_xlfn.MAXIFS(tblAnalysis[Cum P&amp;L SOL],tblAnalysis[Date],Q237)))</f>
        <v/>
      </c>
      <c r="Z237" s="6" t="str">
        <f>IF(Q237="","",MIN(X237,_xlfn.MINIFS(tblAnalysis[Cum P&amp;L SOL],tblAnalysis[Date],Q237)))</f>
        <v/>
      </c>
      <c r="AA237" s="6" t="str">
        <f t="shared" si="68"/>
        <v/>
      </c>
      <c r="AB237"/>
      <c r="AC237" s="27" t="str">
        <f t="shared" si="69"/>
        <v/>
      </c>
      <c r="AD237" s="10" t="str">
        <f t="shared" si="70"/>
        <v/>
      </c>
      <c r="AE237" s="10" t="str">
        <f t="shared" si="71"/>
        <v/>
      </c>
      <c r="AF237" s="10" t="str">
        <f t="shared" si="72"/>
        <v/>
      </c>
      <c r="AG237"/>
      <c r="AH237" t="str">
        <f t="shared" si="73"/>
        <v/>
      </c>
      <c r="AI237" t="str">
        <f t="shared" si="74"/>
        <v/>
      </c>
      <c r="AK237" t="str" cm="1">
        <f t="array" ref="AK237">IFERROR(IF(INDEX($A:$A,ROW())="","",INDEX($A:$A,ROW())),"")</f>
        <v/>
      </c>
      <c r="AL237" t="str" cm="1">
        <f t="array" ref="AL237">IFERROR(INDEX(tblTrades[sol_invested],ROW()-1),"")</f>
        <v/>
      </c>
      <c r="AM237" s="6" t="str" cm="1">
        <f t="array" ref="AM237">IFERROR(INDEX(tblAnalysis[P&amp;L SOL],ROW()-1),"")</f>
        <v/>
      </c>
      <c r="AN237" t="str" cm="1">
        <f t="array" ref="AN237">IFERROR(IF(INDEX(tblTrades[sol_invested],ROW()-1)&gt;0.5,INDEX(tblAnalysis[Token],ROW()-1)&amp;" ("&amp;TEXT(INDEX(tblTrades[sol_invested],ROW()-1),"0.0")&amp;" SOL)",""),"")</f>
        <v/>
      </c>
      <c r="AO237" s="7"/>
      <c r="AP237" s="12" t="str" cm="1">
        <f t="array" ref="AP237">IFERROR(INDEX(tblAnalysis[Entry MC ($)],ROW()-1),"")</f>
        <v/>
      </c>
      <c r="AQ237" s="10" t="str" cm="1">
        <f t="array" ref="AQ237">IFERROR(INDEX(tblAnalysis[P&amp;L %],ROW()-1),"")</f>
        <v/>
      </c>
      <c r="AR237" t="str" cm="1">
        <f t="array" ref="AR237">IFERROR(INDEX(tblAnalysis[Hold Time (s)],ROW()-1),"")</f>
        <v/>
      </c>
      <c r="AS237" s="6" t="str" cm="1">
        <f t="array" ref="AS237">IFERROR(INDEX(tblAnalysis[P&amp;L SOL],ROW()-1),"")</f>
        <v/>
      </c>
      <c r="AT237"/>
      <c r="AY237" s="10"/>
      <c r="AZ237" s="10"/>
      <c r="BA237" s="6"/>
      <c r="BB237"/>
      <c r="BF237" t="str">
        <f t="shared" si="75"/>
        <v/>
      </c>
      <c r="BG237" s="27" t="str">
        <f t="shared" si="76"/>
        <v/>
      </c>
      <c r="BH237" t="str">
        <f t="shared" si="77"/>
        <v/>
      </c>
      <c r="BL237" s="29" t="e">
        <f t="shared" si="78"/>
        <v>#N/A</v>
      </c>
      <c r="BM237" s="29" t="e">
        <f t="shared" si="79"/>
        <v>#N/A</v>
      </c>
    </row>
    <row r="238" spans="16:65" x14ac:dyDescent="0.35">
      <c r="P238" s="6"/>
      <c r="Q238" s="27"/>
      <c r="R238" s="6" t="str">
        <f>IF(Q238="","",SUMIFS(tblAnalysis[P&amp;L SOL],tblAnalysis[Date],Q238))</f>
        <v/>
      </c>
      <c r="S238" s="10" t="str">
        <f>IF(Q238="","",SUMIFS(tblAnalysis[P&amp;L %],tblAnalysis[Date],Q238))</f>
        <v/>
      </c>
      <c r="T238" s="6" t="str">
        <f>IF(Q238="","",IFERROR(SUM($R$2:R238),""))</f>
        <v/>
      </c>
      <c r="U238" t="str">
        <f>IF(Q238="","",COUNTIFS(tblAnalysis[Date],Q238))</f>
        <v/>
      </c>
      <c r="W238" s="27" t="str">
        <f t="shared" si="66"/>
        <v/>
      </c>
      <c r="X238" s="6" t="str">
        <f t="shared" si="67"/>
        <v/>
      </c>
      <c r="Y238" s="6" t="str">
        <f>IF(Q238="","",MAX(X238,_xlfn.MAXIFS(tblAnalysis[Cum P&amp;L SOL],tblAnalysis[Date],Q238)))</f>
        <v/>
      </c>
      <c r="Z238" s="6" t="str">
        <f>IF(Q238="","",MIN(X238,_xlfn.MINIFS(tblAnalysis[Cum P&amp;L SOL],tblAnalysis[Date],Q238)))</f>
        <v/>
      </c>
      <c r="AA238" s="6" t="str">
        <f t="shared" si="68"/>
        <v/>
      </c>
      <c r="AB238"/>
      <c r="AC238" s="27" t="str">
        <f t="shared" si="69"/>
        <v/>
      </c>
      <c r="AD238" s="10" t="str">
        <f t="shared" si="70"/>
        <v/>
      </c>
      <c r="AE238" s="10" t="str">
        <f t="shared" si="71"/>
        <v/>
      </c>
      <c r="AF238" s="10" t="str">
        <f t="shared" si="72"/>
        <v/>
      </c>
      <c r="AG238"/>
      <c r="AH238" t="str">
        <f t="shared" si="73"/>
        <v/>
      </c>
      <c r="AI238" t="str">
        <f t="shared" si="74"/>
        <v/>
      </c>
      <c r="AK238" t="str" cm="1">
        <f t="array" ref="AK238">IFERROR(IF(INDEX($A:$A,ROW())="","",INDEX($A:$A,ROW())),"")</f>
        <v/>
      </c>
      <c r="AL238" t="str" cm="1">
        <f t="array" ref="AL238">IFERROR(INDEX(tblTrades[sol_invested],ROW()-1),"")</f>
        <v/>
      </c>
      <c r="AM238" s="6" t="str" cm="1">
        <f t="array" ref="AM238">IFERROR(INDEX(tblAnalysis[P&amp;L SOL],ROW()-1),"")</f>
        <v/>
      </c>
      <c r="AN238" t="str" cm="1">
        <f t="array" ref="AN238">IFERROR(IF(INDEX(tblTrades[sol_invested],ROW()-1)&gt;0.5,INDEX(tblAnalysis[Token],ROW()-1)&amp;" ("&amp;TEXT(INDEX(tblTrades[sol_invested],ROW()-1),"0.0")&amp;" SOL)",""),"")</f>
        <v/>
      </c>
      <c r="AO238" s="7"/>
      <c r="AP238" s="12" t="str" cm="1">
        <f t="array" ref="AP238">IFERROR(INDEX(tblAnalysis[Entry MC ($)],ROW()-1),"")</f>
        <v/>
      </c>
      <c r="AQ238" s="10" t="str" cm="1">
        <f t="array" ref="AQ238">IFERROR(INDEX(tblAnalysis[P&amp;L %],ROW()-1),"")</f>
        <v/>
      </c>
      <c r="AR238" t="str" cm="1">
        <f t="array" ref="AR238">IFERROR(INDEX(tblAnalysis[Hold Time (s)],ROW()-1),"")</f>
        <v/>
      </c>
      <c r="AS238" s="6" t="str" cm="1">
        <f t="array" ref="AS238">IFERROR(INDEX(tblAnalysis[P&amp;L SOL],ROW()-1),"")</f>
        <v/>
      </c>
      <c r="AT238"/>
      <c r="AY238" s="10"/>
      <c r="AZ238" s="10"/>
      <c r="BA238" s="6"/>
      <c r="BB238"/>
      <c r="BF238" t="str">
        <f t="shared" si="75"/>
        <v/>
      </c>
      <c r="BG238" s="27" t="str">
        <f t="shared" si="76"/>
        <v/>
      </c>
      <c r="BH238" t="str">
        <f t="shared" si="77"/>
        <v/>
      </c>
      <c r="BL238" s="29" t="e">
        <f t="shared" si="78"/>
        <v>#N/A</v>
      </c>
      <c r="BM238" s="29" t="e">
        <f t="shared" si="79"/>
        <v>#N/A</v>
      </c>
    </row>
    <row r="239" spans="16:65" x14ac:dyDescent="0.35">
      <c r="P239" s="6"/>
      <c r="Q239" s="27"/>
      <c r="R239" s="6" t="str">
        <f>IF(Q239="","",SUMIFS(tblAnalysis[P&amp;L SOL],tblAnalysis[Date],Q239))</f>
        <v/>
      </c>
      <c r="S239" s="10" t="str">
        <f>IF(Q239="","",SUMIFS(tblAnalysis[P&amp;L %],tblAnalysis[Date],Q239))</f>
        <v/>
      </c>
      <c r="T239" s="6" t="str">
        <f>IF(Q239="","",IFERROR(SUM($R$2:R239),""))</f>
        <v/>
      </c>
      <c r="U239" t="str">
        <f>IF(Q239="","",COUNTIFS(tblAnalysis[Date],Q239))</f>
        <v/>
      </c>
      <c r="W239" s="27" t="str">
        <f t="shared" si="66"/>
        <v/>
      </c>
      <c r="X239" s="6" t="str">
        <f t="shared" si="67"/>
        <v/>
      </c>
      <c r="Y239" s="6" t="str">
        <f>IF(Q239="","",MAX(X239,_xlfn.MAXIFS(tblAnalysis[Cum P&amp;L SOL],tblAnalysis[Date],Q239)))</f>
        <v/>
      </c>
      <c r="Z239" s="6" t="str">
        <f>IF(Q239="","",MIN(X239,_xlfn.MINIFS(tblAnalysis[Cum P&amp;L SOL],tblAnalysis[Date],Q239)))</f>
        <v/>
      </c>
      <c r="AA239" s="6" t="str">
        <f t="shared" si="68"/>
        <v/>
      </c>
      <c r="AB239"/>
      <c r="AC239" s="27" t="str">
        <f t="shared" si="69"/>
        <v/>
      </c>
      <c r="AD239" s="10" t="str">
        <f t="shared" si="70"/>
        <v/>
      </c>
      <c r="AE239" s="10" t="str">
        <f t="shared" si="71"/>
        <v/>
      </c>
      <c r="AF239" s="10" t="str">
        <f t="shared" si="72"/>
        <v/>
      </c>
      <c r="AG239"/>
      <c r="AH239" t="str">
        <f t="shared" si="73"/>
        <v/>
      </c>
      <c r="AI239" t="str">
        <f t="shared" si="74"/>
        <v/>
      </c>
      <c r="AK239" t="str" cm="1">
        <f t="array" ref="AK239">IFERROR(IF(INDEX($A:$A,ROW())="","",INDEX($A:$A,ROW())),"")</f>
        <v/>
      </c>
      <c r="AL239" t="str" cm="1">
        <f t="array" ref="AL239">IFERROR(INDEX(tblTrades[sol_invested],ROW()-1),"")</f>
        <v/>
      </c>
      <c r="AM239" s="6" t="str" cm="1">
        <f t="array" ref="AM239">IFERROR(INDEX(tblAnalysis[P&amp;L SOL],ROW()-1),"")</f>
        <v/>
      </c>
      <c r="AN239" t="str" cm="1">
        <f t="array" ref="AN239">IFERROR(IF(INDEX(tblTrades[sol_invested],ROW()-1)&gt;0.5,INDEX(tblAnalysis[Token],ROW()-1)&amp;" ("&amp;TEXT(INDEX(tblTrades[sol_invested],ROW()-1),"0.0")&amp;" SOL)",""),"")</f>
        <v/>
      </c>
      <c r="AO239" s="7"/>
      <c r="AP239" s="12" t="str" cm="1">
        <f t="array" ref="AP239">IFERROR(INDEX(tblAnalysis[Entry MC ($)],ROW()-1),"")</f>
        <v/>
      </c>
      <c r="AQ239" s="10" t="str" cm="1">
        <f t="array" ref="AQ239">IFERROR(INDEX(tblAnalysis[P&amp;L %],ROW()-1),"")</f>
        <v/>
      </c>
      <c r="AR239" t="str" cm="1">
        <f t="array" ref="AR239">IFERROR(INDEX(tblAnalysis[Hold Time (s)],ROW()-1),"")</f>
        <v/>
      </c>
      <c r="AS239" s="6" t="str" cm="1">
        <f t="array" ref="AS239">IFERROR(INDEX(tblAnalysis[P&amp;L SOL],ROW()-1),"")</f>
        <v/>
      </c>
      <c r="AT239"/>
      <c r="AY239" s="10"/>
      <c r="AZ239" s="10"/>
      <c r="BA239" s="6"/>
      <c r="BB239"/>
      <c r="BF239" t="str">
        <f t="shared" si="75"/>
        <v/>
      </c>
      <c r="BG239" s="27" t="str">
        <f t="shared" si="76"/>
        <v/>
      </c>
      <c r="BH239" t="str">
        <f t="shared" si="77"/>
        <v/>
      </c>
      <c r="BL239" s="29" t="e">
        <f t="shared" si="78"/>
        <v>#N/A</v>
      </c>
      <c r="BM239" s="29" t="e">
        <f t="shared" si="79"/>
        <v>#N/A</v>
      </c>
    </row>
    <row r="240" spans="16:65" x14ac:dyDescent="0.35">
      <c r="P240" s="6"/>
      <c r="Q240" s="27"/>
      <c r="R240" s="6" t="str">
        <f>IF(Q240="","",SUMIFS(tblAnalysis[P&amp;L SOL],tblAnalysis[Date],Q240))</f>
        <v/>
      </c>
      <c r="S240" s="10" t="str">
        <f>IF(Q240="","",SUMIFS(tblAnalysis[P&amp;L %],tblAnalysis[Date],Q240))</f>
        <v/>
      </c>
      <c r="T240" s="6" t="str">
        <f>IF(Q240="","",IFERROR(SUM($R$2:R240),""))</f>
        <v/>
      </c>
      <c r="U240" t="str">
        <f>IF(Q240="","",COUNTIFS(tblAnalysis[Date],Q240))</f>
        <v/>
      </c>
      <c r="W240" s="27" t="str">
        <f t="shared" si="66"/>
        <v/>
      </c>
      <c r="X240" s="6" t="str">
        <f t="shared" si="67"/>
        <v/>
      </c>
      <c r="Y240" s="6" t="str">
        <f>IF(Q240="","",MAX(X240,_xlfn.MAXIFS(tblAnalysis[Cum P&amp;L SOL],tblAnalysis[Date],Q240)))</f>
        <v/>
      </c>
      <c r="Z240" s="6" t="str">
        <f>IF(Q240="","",MIN(X240,_xlfn.MINIFS(tblAnalysis[Cum P&amp;L SOL],tblAnalysis[Date],Q240)))</f>
        <v/>
      </c>
      <c r="AA240" s="6" t="str">
        <f t="shared" si="68"/>
        <v/>
      </c>
      <c r="AB240"/>
      <c r="AC240" s="27" t="str">
        <f t="shared" si="69"/>
        <v/>
      </c>
      <c r="AD240" s="10" t="str">
        <f t="shared" si="70"/>
        <v/>
      </c>
      <c r="AE240" s="10" t="str">
        <f t="shared" si="71"/>
        <v/>
      </c>
      <c r="AF240" s="10" t="str">
        <f t="shared" si="72"/>
        <v/>
      </c>
      <c r="AG240"/>
      <c r="AH240" t="str">
        <f t="shared" si="73"/>
        <v/>
      </c>
      <c r="AI240" t="str">
        <f t="shared" si="74"/>
        <v/>
      </c>
      <c r="AK240" t="str" cm="1">
        <f t="array" ref="AK240">IFERROR(IF(INDEX($A:$A,ROW())="","",INDEX($A:$A,ROW())),"")</f>
        <v/>
      </c>
      <c r="AL240" t="str" cm="1">
        <f t="array" ref="AL240">IFERROR(INDEX(tblTrades[sol_invested],ROW()-1),"")</f>
        <v/>
      </c>
      <c r="AM240" s="6" t="str" cm="1">
        <f t="array" ref="AM240">IFERROR(INDEX(tblAnalysis[P&amp;L SOL],ROW()-1),"")</f>
        <v/>
      </c>
      <c r="AN240" t="str" cm="1">
        <f t="array" ref="AN240">IFERROR(IF(INDEX(tblTrades[sol_invested],ROW()-1)&gt;0.5,INDEX(tblAnalysis[Token],ROW()-1)&amp;" ("&amp;TEXT(INDEX(tblTrades[sol_invested],ROW()-1),"0.0")&amp;" SOL)",""),"")</f>
        <v/>
      </c>
      <c r="AO240" s="7"/>
      <c r="AP240" s="12" t="str" cm="1">
        <f t="array" ref="AP240">IFERROR(INDEX(tblAnalysis[Entry MC ($)],ROW()-1),"")</f>
        <v/>
      </c>
      <c r="AQ240" s="10" t="str" cm="1">
        <f t="array" ref="AQ240">IFERROR(INDEX(tblAnalysis[P&amp;L %],ROW()-1),"")</f>
        <v/>
      </c>
      <c r="AR240" t="str" cm="1">
        <f t="array" ref="AR240">IFERROR(INDEX(tblAnalysis[Hold Time (s)],ROW()-1),"")</f>
        <v/>
      </c>
      <c r="AS240" s="6" t="str" cm="1">
        <f t="array" ref="AS240">IFERROR(INDEX(tblAnalysis[P&amp;L SOL],ROW()-1),"")</f>
        <v/>
      </c>
      <c r="AT240"/>
      <c r="AY240" s="10"/>
      <c r="AZ240" s="10"/>
      <c r="BA240" s="6"/>
      <c r="BB240"/>
      <c r="BF240" t="str">
        <f t="shared" si="75"/>
        <v/>
      </c>
      <c r="BG240" s="27" t="str">
        <f t="shared" si="76"/>
        <v/>
      </c>
      <c r="BH240" t="str">
        <f t="shared" si="77"/>
        <v/>
      </c>
      <c r="BL240" s="29" t="e">
        <f t="shared" si="78"/>
        <v>#N/A</v>
      </c>
      <c r="BM240" s="29" t="e">
        <f t="shared" si="79"/>
        <v>#N/A</v>
      </c>
    </row>
    <row r="241" spans="16:65" x14ac:dyDescent="0.35">
      <c r="P241" s="6"/>
      <c r="Q241" s="27"/>
      <c r="R241" s="6" t="str">
        <f>IF(Q241="","",SUMIFS(tblAnalysis[P&amp;L SOL],tblAnalysis[Date],Q241))</f>
        <v/>
      </c>
      <c r="S241" s="10" t="str">
        <f>IF(Q241="","",SUMIFS(tblAnalysis[P&amp;L %],tblAnalysis[Date],Q241))</f>
        <v/>
      </c>
      <c r="T241" s="6" t="str">
        <f>IF(Q241="","",IFERROR(SUM($R$2:R241),""))</f>
        <v/>
      </c>
      <c r="U241" t="str">
        <f>IF(Q241="","",COUNTIFS(tblAnalysis[Date],Q241))</f>
        <v/>
      </c>
      <c r="W241" s="27" t="str">
        <f t="shared" si="66"/>
        <v/>
      </c>
      <c r="X241" s="6" t="str">
        <f t="shared" si="67"/>
        <v/>
      </c>
      <c r="Y241" s="6" t="str">
        <f>IF(Q241="","",MAX(X241,_xlfn.MAXIFS(tblAnalysis[Cum P&amp;L SOL],tblAnalysis[Date],Q241)))</f>
        <v/>
      </c>
      <c r="Z241" s="6" t="str">
        <f>IF(Q241="","",MIN(X241,_xlfn.MINIFS(tblAnalysis[Cum P&amp;L SOL],tblAnalysis[Date],Q241)))</f>
        <v/>
      </c>
      <c r="AA241" s="6" t="str">
        <f t="shared" si="68"/>
        <v/>
      </c>
      <c r="AB241"/>
      <c r="AC241" s="27" t="str">
        <f t="shared" si="69"/>
        <v/>
      </c>
      <c r="AD241" s="10" t="str">
        <f t="shared" si="70"/>
        <v/>
      </c>
      <c r="AE241" s="10" t="str">
        <f t="shared" si="71"/>
        <v/>
      </c>
      <c r="AF241" s="10" t="str">
        <f t="shared" si="72"/>
        <v/>
      </c>
      <c r="AG241"/>
      <c r="AH241" t="str">
        <f t="shared" si="73"/>
        <v/>
      </c>
      <c r="AI241" t="str">
        <f t="shared" si="74"/>
        <v/>
      </c>
      <c r="AK241" t="str" cm="1">
        <f t="array" ref="AK241">IFERROR(IF(INDEX($A:$A,ROW())="","",INDEX($A:$A,ROW())),"")</f>
        <v/>
      </c>
      <c r="AL241" t="str" cm="1">
        <f t="array" ref="AL241">IFERROR(INDEX(tblTrades[sol_invested],ROW()-1),"")</f>
        <v/>
      </c>
      <c r="AM241" s="6" t="str" cm="1">
        <f t="array" ref="AM241">IFERROR(INDEX(tblAnalysis[P&amp;L SOL],ROW()-1),"")</f>
        <v/>
      </c>
      <c r="AN241" t="str" cm="1">
        <f t="array" ref="AN241">IFERROR(IF(INDEX(tblTrades[sol_invested],ROW()-1)&gt;0.5,INDEX(tblAnalysis[Token],ROW()-1)&amp;" ("&amp;TEXT(INDEX(tblTrades[sol_invested],ROW()-1),"0.0")&amp;" SOL)",""),"")</f>
        <v/>
      </c>
      <c r="AO241" s="7"/>
      <c r="AP241" s="12" t="str" cm="1">
        <f t="array" ref="AP241">IFERROR(INDEX(tblAnalysis[Entry MC ($)],ROW()-1),"")</f>
        <v/>
      </c>
      <c r="AQ241" s="10" t="str" cm="1">
        <f t="array" ref="AQ241">IFERROR(INDEX(tblAnalysis[P&amp;L %],ROW()-1),"")</f>
        <v/>
      </c>
      <c r="AR241" t="str" cm="1">
        <f t="array" ref="AR241">IFERROR(INDEX(tblAnalysis[Hold Time (s)],ROW()-1),"")</f>
        <v/>
      </c>
      <c r="AS241" s="6" t="str" cm="1">
        <f t="array" ref="AS241">IFERROR(INDEX(tblAnalysis[P&amp;L SOL],ROW()-1),"")</f>
        <v/>
      </c>
      <c r="AT241"/>
      <c r="AY241" s="10"/>
      <c r="AZ241" s="10"/>
      <c r="BA241" s="6"/>
      <c r="BB241"/>
      <c r="BF241" t="str">
        <f t="shared" si="75"/>
        <v/>
      </c>
      <c r="BG241" s="27" t="str">
        <f t="shared" si="76"/>
        <v/>
      </c>
      <c r="BH241" t="str">
        <f t="shared" si="77"/>
        <v/>
      </c>
      <c r="BL241" s="29" t="e">
        <f t="shared" si="78"/>
        <v>#N/A</v>
      </c>
      <c r="BM241" s="29" t="e">
        <f t="shared" si="79"/>
        <v>#N/A</v>
      </c>
    </row>
    <row r="242" spans="16:65" x14ac:dyDescent="0.35">
      <c r="P242" s="6"/>
      <c r="Q242" s="27"/>
      <c r="R242" s="6" t="str">
        <f>IF(Q242="","",SUMIFS(tblAnalysis[P&amp;L SOL],tblAnalysis[Date],Q242))</f>
        <v/>
      </c>
      <c r="S242" s="10" t="str">
        <f>IF(Q242="","",SUMIFS(tblAnalysis[P&amp;L %],tblAnalysis[Date],Q242))</f>
        <v/>
      </c>
      <c r="T242" s="6" t="str">
        <f>IF(Q242="","",IFERROR(SUM($R$2:R242),""))</f>
        <v/>
      </c>
      <c r="U242" t="str">
        <f>IF(Q242="","",COUNTIFS(tblAnalysis[Date],Q242))</f>
        <v/>
      </c>
      <c r="W242" s="27" t="str">
        <f t="shared" si="66"/>
        <v/>
      </c>
      <c r="X242" s="6" t="str">
        <f t="shared" si="67"/>
        <v/>
      </c>
      <c r="Y242" s="6" t="str">
        <f>IF(Q242="","",MAX(X242,_xlfn.MAXIFS(tblAnalysis[Cum P&amp;L SOL],tblAnalysis[Date],Q242)))</f>
        <v/>
      </c>
      <c r="Z242" s="6" t="str">
        <f>IF(Q242="","",MIN(X242,_xlfn.MINIFS(tblAnalysis[Cum P&amp;L SOL],tblAnalysis[Date],Q242)))</f>
        <v/>
      </c>
      <c r="AA242" s="6" t="str">
        <f t="shared" si="68"/>
        <v/>
      </c>
      <c r="AB242"/>
      <c r="AC242" s="27" t="str">
        <f t="shared" si="69"/>
        <v/>
      </c>
      <c r="AD242" s="10" t="str">
        <f t="shared" si="70"/>
        <v/>
      </c>
      <c r="AE242" s="10" t="str">
        <f t="shared" si="71"/>
        <v/>
      </c>
      <c r="AF242" s="10" t="str">
        <f t="shared" si="72"/>
        <v/>
      </c>
      <c r="AG242"/>
      <c r="AH242" t="str">
        <f t="shared" si="73"/>
        <v/>
      </c>
      <c r="AI242" t="str">
        <f t="shared" si="74"/>
        <v/>
      </c>
      <c r="AK242" t="str" cm="1">
        <f t="array" ref="AK242">IFERROR(IF(INDEX($A:$A,ROW())="","",INDEX($A:$A,ROW())),"")</f>
        <v/>
      </c>
      <c r="AL242" t="str" cm="1">
        <f t="array" ref="AL242">IFERROR(INDEX(tblTrades[sol_invested],ROW()-1),"")</f>
        <v/>
      </c>
      <c r="AM242" s="6" t="str" cm="1">
        <f t="array" ref="AM242">IFERROR(INDEX(tblAnalysis[P&amp;L SOL],ROW()-1),"")</f>
        <v/>
      </c>
      <c r="AN242" t="str" cm="1">
        <f t="array" ref="AN242">IFERROR(IF(INDEX(tblTrades[sol_invested],ROW()-1)&gt;0.5,INDEX(tblAnalysis[Token],ROW()-1)&amp;" ("&amp;TEXT(INDEX(tblTrades[sol_invested],ROW()-1),"0.0")&amp;" SOL)",""),"")</f>
        <v/>
      </c>
      <c r="AO242" s="7"/>
      <c r="AP242" s="12" t="str" cm="1">
        <f t="array" ref="AP242">IFERROR(INDEX(tblAnalysis[Entry MC ($)],ROW()-1),"")</f>
        <v/>
      </c>
      <c r="AQ242" s="10" t="str" cm="1">
        <f t="array" ref="AQ242">IFERROR(INDEX(tblAnalysis[P&amp;L %],ROW()-1),"")</f>
        <v/>
      </c>
      <c r="AR242" t="str" cm="1">
        <f t="array" ref="AR242">IFERROR(INDEX(tblAnalysis[Hold Time (s)],ROW()-1),"")</f>
        <v/>
      </c>
      <c r="AS242" s="6" t="str" cm="1">
        <f t="array" ref="AS242">IFERROR(INDEX(tblAnalysis[P&amp;L SOL],ROW()-1),"")</f>
        <v/>
      </c>
      <c r="AT242"/>
      <c r="AY242" s="10"/>
      <c r="AZ242" s="10"/>
      <c r="BA242" s="6"/>
      <c r="BB242"/>
      <c r="BF242" t="str">
        <f t="shared" si="75"/>
        <v/>
      </c>
      <c r="BG242" s="27" t="str">
        <f t="shared" si="76"/>
        <v/>
      </c>
      <c r="BH242" t="str">
        <f t="shared" si="77"/>
        <v/>
      </c>
      <c r="BL242" s="29" t="e">
        <f t="shared" si="78"/>
        <v>#N/A</v>
      </c>
      <c r="BM242" s="29" t="e">
        <f t="shared" si="79"/>
        <v>#N/A</v>
      </c>
    </row>
    <row r="243" spans="16:65" x14ac:dyDescent="0.35">
      <c r="P243" s="6"/>
      <c r="Q243" s="27"/>
      <c r="R243" s="6" t="str">
        <f>IF(Q243="","",SUMIFS(tblAnalysis[P&amp;L SOL],tblAnalysis[Date],Q243))</f>
        <v/>
      </c>
      <c r="S243" s="10" t="str">
        <f>IF(Q243="","",SUMIFS(tblAnalysis[P&amp;L %],tblAnalysis[Date],Q243))</f>
        <v/>
      </c>
      <c r="T243" s="6" t="str">
        <f>IF(Q243="","",IFERROR(SUM($R$2:R243),""))</f>
        <v/>
      </c>
      <c r="U243" t="str">
        <f>IF(Q243="","",COUNTIFS(tblAnalysis[Date],Q243))</f>
        <v/>
      </c>
      <c r="W243" s="27" t="str">
        <f t="shared" si="66"/>
        <v/>
      </c>
      <c r="X243" s="6" t="str">
        <f t="shared" si="67"/>
        <v/>
      </c>
      <c r="Y243" s="6" t="str">
        <f>IF(Q243="","",MAX(X243,_xlfn.MAXIFS(tblAnalysis[Cum P&amp;L SOL],tblAnalysis[Date],Q243)))</f>
        <v/>
      </c>
      <c r="Z243" s="6" t="str">
        <f>IF(Q243="","",MIN(X243,_xlfn.MINIFS(tblAnalysis[Cum P&amp;L SOL],tblAnalysis[Date],Q243)))</f>
        <v/>
      </c>
      <c r="AA243" s="6" t="str">
        <f t="shared" si="68"/>
        <v/>
      </c>
      <c r="AB243"/>
      <c r="AC243" s="27" t="str">
        <f t="shared" si="69"/>
        <v/>
      </c>
      <c r="AD243" s="10" t="str">
        <f t="shared" si="70"/>
        <v/>
      </c>
      <c r="AE243" s="10" t="str">
        <f t="shared" si="71"/>
        <v/>
      </c>
      <c r="AF243" s="10" t="str">
        <f t="shared" si="72"/>
        <v/>
      </c>
      <c r="AG243"/>
      <c r="AH243" t="str">
        <f t="shared" si="73"/>
        <v/>
      </c>
      <c r="AI243" t="str">
        <f t="shared" si="74"/>
        <v/>
      </c>
      <c r="AK243" t="str" cm="1">
        <f t="array" ref="AK243">IFERROR(IF(INDEX($A:$A,ROW())="","",INDEX($A:$A,ROW())),"")</f>
        <v/>
      </c>
      <c r="AL243" t="str" cm="1">
        <f t="array" ref="AL243">IFERROR(INDEX(tblTrades[sol_invested],ROW()-1),"")</f>
        <v/>
      </c>
      <c r="AM243" s="6" t="str" cm="1">
        <f t="array" ref="AM243">IFERROR(INDEX(tblAnalysis[P&amp;L SOL],ROW()-1),"")</f>
        <v/>
      </c>
      <c r="AN243" t="str" cm="1">
        <f t="array" ref="AN243">IFERROR(IF(INDEX(tblTrades[sol_invested],ROW()-1)&gt;0.5,INDEX(tblAnalysis[Token],ROW()-1)&amp;" ("&amp;TEXT(INDEX(tblTrades[sol_invested],ROW()-1),"0.0")&amp;" SOL)",""),"")</f>
        <v/>
      </c>
      <c r="AO243" s="7"/>
      <c r="AP243" s="12" t="str" cm="1">
        <f t="array" ref="AP243">IFERROR(INDEX(tblAnalysis[Entry MC ($)],ROW()-1),"")</f>
        <v/>
      </c>
      <c r="AQ243" s="10" t="str" cm="1">
        <f t="array" ref="AQ243">IFERROR(INDEX(tblAnalysis[P&amp;L %],ROW()-1),"")</f>
        <v/>
      </c>
      <c r="AR243" t="str" cm="1">
        <f t="array" ref="AR243">IFERROR(INDEX(tblAnalysis[Hold Time (s)],ROW()-1),"")</f>
        <v/>
      </c>
      <c r="AS243" s="6" t="str" cm="1">
        <f t="array" ref="AS243">IFERROR(INDEX(tblAnalysis[P&amp;L SOL],ROW()-1),"")</f>
        <v/>
      </c>
      <c r="AT243"/>
      <c r="AY243" s="10"/>
      <c r="AZ243" s="10"/>
      <c r="BA243" s="6"/>
      <c r="BB243"/>
      <c r="BF243" t="str">
        <f t="shared" si="75"/>
        <v/>
      </c>
      <c r="BG243" s="27" t="str">
        <f t="shared" si="76"/>
        <v/>
      </c>
      <c r="BH243" t="str">
        <f t="shared" si="77"/>
        <v/>
      </c>
      <c r="BL243" s="29" t="e">
        <f t="shared" si="78"/>
        <v>#N/A</v>
      </c>
      <c r="BM243" s="29" t="e">
        <f t="shared" si="79"/>
        <v>#N/A</v>
      </c>
    </row>
    <row r="244" spans="16:65" x14ac:dyDescent="0.35">
      <c r="P244" s="6"/>
      <c r="Q244" s="27"/>
      <c r="R244" s="6" t="str">
        <f>IF(Q244="","",SUMIFS(tblAnalysis[P&amp;L SOL],tblAnalysis[Date],Q244))</f>
        <v/>
      </c>
      <c r="S244" s="10" t="str">
        <f>IF(Q244="","",SUMIFS(tblAnalysis[P&amp;L %],tblAnalysis[Date],Q244))</f>
        <v/>
      </c>
      <c r="T244" s="6" t="str">
        <f>IF(Q244="","",IFERROR(SUM($R$2:R244),""))</f>
        <v/>
      </c>
      <c r="U244" t="str">
        <f>IF(Q244="","",COUNTIFS(tblAnalysis[Date],Q244))</f>
        <v/>
      </c>
      <c r="W244" s="27" t="str">
        <f t="shared" si="66"/>
        <v/>
      </c>
      <c r="X244" s="6" t="str">
        <f t="shared" si="67"/>
        <v/>
      </c>
      <c r="Y244" s="6" t="str">
        <f>IF(Q244="","",MAX(X244,_xlfn.MAXIFS(tblAnalysis[Cum P&amp;L SOL],tblAnalysis[Date],Q244)))</f>
        <v/>
      </c>
      <c r="Z244" s="6" t="str">
        <f>IF(Q244="","",MIN(X244,_xlfn.MINIFS(tblAnalysis[Cum P&amp;L SOL],tblAnalysis[Date],Q244)))</f>
        <v/>
      </c>
      <c r="AA244" s="6" t="str">
        <f t="shared" si="68"/>
        <v/>
      </c>
      <c r="AB244"/>
      <c r="AC244" s="27" t="str">
        <f t="shared" si="69"/>
        <v/>
      </c>
      <c r="AD244" s="10" t="str">
        <f t="shared" si="70"/>
        <v/>
      </c>
      <c r="AE244" s="10" t="str">
        <f t="shared" si="71"/>
        <v/>
      </c>
      <c r="AF244" s="10" t="str">
        <f t="shared" si="72"/>
        <v/>
      </c>
      <c r="AG244"/>
      <c r="AH244" t="str">
        <f t="shared" si="73"/>
        <v/>
      </c>
      <c r="AI244" t="str">
        <f t="shared" si="74"/>
        <v/>
      </c>
      <c r="AK244" t="str" cm="1">
        <f t="array" ref="AK244">IFERROR(IF(INDEX($A:$A,ROW())="","",INDEX($A:$A,ROW())),"")</f>
        <v/>
      </c>
      <c r="AL244" t="str" cm="1">
        <f t="array" ref="AL244">IFERROR(INDEX(tblTrades[sol_invested],ROW()-1),"")</f>
        <v/>
      </c>
      <c r="AM244" s="6" t="str" cm="1">
        <f t="array" ref="AM244">IFERROR(INDEX(tblAnalysis[P&amp;L SOL],ROW()-1),"")</f>
        <v/>
      </c>
      <c r="AN244" t="str" cm="1">
        <f t="array" ref="AN244">IFERROR(IF(INDEX(tblTrades[sol_invested],ROW()-1)&gt;0.5,INDEX(tblAnalysis[Token],ROW()-1)&amp;" ("&amp;TEXT(INDEX(tblTrades[sol_invested],ROW()-1),"0.0")&amp;" SOL)",""),"")</f>
        <v/>
      </c>
      <c r="AO244" s="7"/>
      <c r="AP244" s="12" t="str" cm="1">
        <f t="array" ref="AP244">IFERROR(INDEX(tblAnalysis[Entry MC ($)],ROW()-1),"")</f>
        <v/>
      </c>
      <c r="AQ244" s="10" t="str" cm="1">
        <f t="array" ref="AQ244">IFERROR(INDEX(tblAnalysis[P&amp;L %],ROW()-1),"")</f>
        <v/>
      </c>
      <c r="AR244" t="str" cm="1">
        <f t="array" ref="AR244">IFERROR(INDEX(tblAnalysis[Hold Time (s)],ROW()-1),"")</f>
        <v/>
      </c>
      <c r="AS244" s="6" t="str" cm="1">
        <f t="array" ref="AS244">IFERROR(INDEX(tblAnalysis[P&amp;L SOL],ROW()-1),"")</f>
        <v/>
      </c>
      <c r="AT244"/>
      <c r="AY244" s="10"/>
      <c r="AZ244" s="10"/>
      <c r="BA244" s="6"/>
      <c r="BB244"/>
      <c r="BF244" t="str">
        <f t="shared" si="75"/>
        <v/>
      </c>
      <c r="BG244" s="27" t="str">
        <f t="shared" si="76"/>
        <v/>
      </c>
      <c r="BH244" t="str">
        <f t="shared" si="77"/>
        <v/>
      </c>
      <c r="BL244" s="29" t="e">
        <f t="shared" si="78"/>
        <v>#N/A</v>
      </c>
      <c r="BM244" s="29" t="e">
        <f t="shared" si="79"/>
        <v>#N/A</v>
      </c>
    </row>
    <row r="245" spans="16:65" x14ac:dyDescent="0.35">
      <c r="P245" s="6"/>
      <c r="Q245" s="27"/>
      <c r="R245" s="6" t="str">
        <f>IF(Q245="","",SUMIFS(tblAnalysis[P&amp;L SOL],tblAnalysis[Date],Q245))</f>
        <v/>
      </c>
      <c r="S245" s="10" t="str">
        <f>IF(Q245="","",SUMIFS(tblAnalysis[P&amp;L %],tblAnalysis[Date],Q245))</f>
        <v/>
      </c>
      <c r="T245" s="6" t="str">
        <f>IF(Q245="","",IFERROR(SUM($R$2:R245),""))</f>
        <v/>
      </c>
      <c r="U245" t="str">
        <f>IF(Q245="","",COUNTIFS(tblAnalysis[Date],Q245))</f>
        <v/>
      </c>
      <c r="W245" s="27" t="str">
        <f t="shared" si="66"/>
        <v/>
      </c>
      <c r="X245" s="6" t="str">
        <f t="shared" si="67"/>
        <v/>
      </c>
      <c r="Y245" s="6" t="str">
        <f>IF(Q245="","",MAX(X245,_xlfn.MAXIFS(tblAnalysis[Cum P&amp;L SOL],tblAnalysis[Date],Q245)))</f>
        <v/>
      </c>
      <c r="Z245" s="6" t="str">
        <f>IF(Q245="","",MIN(X245,_xlfn.MINIFS(tblAnalysis[Cum P&amp;L SOL],tblAnalysis[Date],Q245)))</f>
        <v/>
      </c>
      <c r="AA245" s="6" t="str">
        <f t="shared" si="68"/>
        <v/>
      </c>
      <c r="AB245"/>
      <c r="AC245" s="27" t="str">
        <f t="shared" si="69"/>
        <v/>
      </c>
      <c r="AD245" s="10" t="str">
        <f t="shared" si="70"/>
        <v/>
      </c>
      <c r="AE245" s="10" t="str">
        <f t="shared" si="71"/>
        <v/>
      </c>
      <c r="AF245" s="10" t="str">
        <f t="shared" si="72"/>
        <v/>
      </c>
      <c r="AG245"/>
      <c r="AH245" t="str">
        <f t="shared" si="73"/>
        <v/>
      </c>
      <c r="AI245" t="str">
        <f t="shared" si="74"/>
        <v/>
      </c>
      <c r="AK245" t="str" cm="1">
        <f t="array" ref="AK245">IFERROR(IF(INDEX($A:$A,ROW())="","",INDEX($A:$A,ROW())),"")</f>
        <v/>
      </c>
      <c r="AL245" t="str" cm="1">
        <f t="array" ref="AL245">IFERROR(INDEX(tblTrades[sol_invested],ROW()-1),"")</f>
        <v/>
      </c>
      <c r="AM245" s="6" t="str" cm="1">
        <f t="array" ref="AM245">IFERROR(INDEX(tblAnalysis[P&amp;L SOL],ROW()-1),"")</f>
        <v/>
      </c>
      <c r="AN245" t="str" cm="1">
        <f t="array" ref="AN245">IFERROR(IF(INDEX(tblTrades[sol_invested],ROW()-1)&gt;0.5,INDEX(tblAnalysis[Token],ROW()-1)&amp;" ("&amp;TEXT(INDEX(tblTrades[sol_invested],ROW()-1),"0.0")&amp;" SOL)",""),"")</f>
        <v/>
      </c>
      <c r="AO245" s="7"/>
      <c r="AP245" s="12" t="str" cm="1">
        <f t="array" ref="AP245">IFERROR(INDEX(tblAnalysis[Entry MC ($)],ROW()-1),"")</f>
        <v/>
      </c>
      <c r="AQ245" s="10" t="str" cm="1">
        <f t="array" ref="AQ245">IFERROR(INDEX(tblAnalysis[P&amp;L %],ROW()-1),"")</f>
        <v/>
      </c>
      <c r="AR245" t="str" cm="1">
        <f t="array" ref="AR245">IFERROR(INDEX(tblAnalysis[Hold Time (s)],ROW()-1),"")</f>
        <v/>
      </c>
      <c r="AS245" s="6" t="str" cm="1">
        <f t="array" ref="AS245">IFERROR(INDEX(tblAnalysis[P&amp;L SOL],ROW()-1),"")</f>
        <v/>
      </c>
      <c r="AT245"/>
      <c r="AY245" s="10"/>
      <c r="AZ245" s="10"/>
      <c r="BA245" s="6"/>
      <c r="BB245"/>
      <c r="BF245" t="str">
        <f t="shared" si="75"/>
        <v/>
      </c>
      <c r="BG245" s="27" t="str">
        <f t="shared" si="76"/>
        <v/>
      </c>
      <c r="BH245" t="str">
        <f t="shared" si="77"/>
        <v/>
      </c>
      <c r="BL245" s="29" t="e">
        <f t="shared" si="78"/>
        <v>#N/A</v>
      </c>
      <c r="BM245" s="29" t="e">
        <f t="shared" si="79"/>
        <v>#N/A</v>
      </c>
    </row>
    <row r="246" spans="16:65" x14ac:dyDescent="0.35">
      <c r="P246" s="6"/>
      <c r="Q246" s="27"/>
      <c r="R246" s="6" t="str">
        <f>IF(Q246="","",SUMIFS(tblAnalysis[P&amp;L SOL],tblAnalysis[Date],Q246))</f>
        <v/>
      </c>
      <c r="S246" s="10" t="str">
        <f>IF(Q246="","",SUMIFS(tblAnalysis[P&amp;L %],tblAnalysis[Date],Q246))</f>
        <v/>
      </c>
      <c r="T246" s="6" t="str">
        <f>IF(Q246="","",IFERROR(SUM($R$2:R246),""))</f>
        <v/>
      </c>
      <c r="U246" t="str">
        <f>IF(Q246="","",COUNTIFS(tblAnalysis[Date],Q246))</f>
        <v/>
      </c>
      <c r="W246" s="27" t="str">
        <f t="shared" si="66"/>
        <v/>
      </c>
      <c r="X246" s="6" t="str">
        <f t="shared" si="67"/>
        <v/>
      </c>
      <c r="Y246" s="6" t="str">
        <f>IF(Q246="","",MAX(X246,_xlfn.MAXIFS(tblAnalysis[Cum P&amp;L SOL],tblAnalysis[Date],Q246)))</f>
        <v/>
      </c>
      <c r="Z246" s="6" t="str">
        <f>IF(Q246="","",MIN(X246,_xlfn.MINIFS(tblAnalysis[Cum P&amp;L SOL],tblAnalysis[Date],Q246)))</f>
        <v/>
      </c>
      <c r="AA246" s="6" t="str">
        <f t="shared" si="68"/>
        <v/>
      </c>
      <c r="AB246"/>
      <c r="AC246" s="27" t="str">
        <f t="shared" si="69"/>
        <v/>
      </c>
      <c r="AD246" s="10" t="str">
        <f t="shared" si="70"/>
        <v/>
      </c>
      <c r="AE246" s="10" t="str">
        <f t="shared" si="71"/>
        <v/>
      </c>
      <c r="AF246" s="10" t="str">
        <f t="shared" si="72"/>
        <v/>
      </c>
      <c r="AG246"/>
      <c r="AH246" t="str">
        <f t="shared" si="73"/>
        <v/>
      </c>
      <c r="AI246" t="str">
        <f t="shared" si="74"/>
        <v/>
      </c>
      <c r="AK246" t="str" cm="1">
        <f t="array" ref="AK246">IFERROR(IF(INDEX($A:$A,ROW())="","",INDEX($A:$A,ROW())),"")</f>
        <v/>
      </c>
      <c r="AL246" t="str" cm="1">
        <f t="array" ref="AL246">IFERROR(INDEX(tblTrades[sol_invested],ROW()-1),"")</f>
        <v/>
      </c>
      <c r="AM246" s="6" t="str" cm="1">
        <f t="array" ref="AM246">IFERROR(INDEX(tblAnalysis[P&amp;L SOL],ROW()-1),"")</f>
        <v/>
      </c>
      <c r="AN246" t="str" cm="1">
        <f t="array" ref="AN246">IFERROR(IF(INDEX(tblTrades[sol_invested],ROW()-1)&gt;0.5,INDEX(tblAnalysis[Token],ROW()-1)&amp;" ("&amp;TEXT(INDEX(tblTrades[sol_invested],ROW()-1),"0.0")&amp;" SOL)",""),"")</f>
        <v/>
      </c>
      <c r="AO246" s="7"/>
      <c r="AP246" s="12" t="str" cm="1">
        <f t="array" ref="AP246">IFERROR(INDEX(tblAnalysis[Entry MC ($)],ROW()-1),"")</f>
        <v/>
      </c>
      <c r="AQ246" s="10" t="str" cm="1">
        <f t="array" ref="AQ246">IFERROR(INDEX(tblAnalysis[P&amp;L %],ROW()-1),"")</f>
        <v/>
      </c>
      <c r="AR246" t="str" cm="1">
        <f t="array" ref="AR246">IFERROR(INDEX(tblAnalysis[Hold Time (s)],ROW()-1),"")</f>
        <v/>
      </c>
      <c r="AS246" s="6" t="str" cm="1">
        <f t="array" ref="AS246">IFERROR(INDEX(tblAnalysis[P&amp;L SOL],ROW()-1),"")</f>
        <v/>
      </c>
      <c r="AT246"/>
      <c r="AY246" s="10"/>
      <c r="AZ246" s="10"/>
      <c r="BA246" s="6"/>
      <c r="BB246"/>
      <c r="BF246" t="str">
        <f t="shared" si="75"/>
        <v/>
      </c>
      <c r="BG246" s="27" t="str">
        <f t="shared" si="76"/>
        <v/>
      </c>
      <c r="BH246" t="str">
        <f t="shared" si="77"/>
        <v/>
      </c>
      <c r="BL246" s="29" t="e">
        <f t="shared" si="78"/>
        <v>#N/A</v>
      </c>
      <c r="BM246" s="29" t="e">
        <f t="shared" si="79"/>
        <v>#N/A</v>
      </c>
    </row>
    <row r="247" spans="16:65" x14ac:dyDescent="0.35">
      <c r="P247" s="6"/>
      <c r="Q247" s="27"/>
      <c r="R247" s="6" t="str">
        <f>IF(Q247="","",SUMIFS(tblAnalysis[P&amp;L SOL],tblAnalysis[Date],Q247))</f>
        <v/>
      </c>
      <c r="S247" s="10" t="str">
        <f>IF(Q247="","",SUMIFS(tblAnalysis[P&amp;L %],tblAnalysis[Date],Q247))</f>
        <v/>
      </c>
      <c r="T247" s="6" t="str">
        <f>IF(Q247="","",IFERROR(SUM($R$2:R247),""))</f>
        <v/>
      </c>
      <c r="U247" t="str">
        <f>IF(Q247="","",COUNTIFS(tblAnalysis[Date],Q247))</f>
        <v/>
      </c>
      <c r="W247" s="27" t="str">
        <f t="shared" si="66"/>
        <v/>
      </c>
      <c r="X247" s="6" t="str">
        <f t="shared" si="67"/>
        <v/>
      </c>
      <c r="Y247" s="6" t="str">
        <f>IF(Q247="","",MAX(X247,_xlfn.MAXIFS(tblAnalysis[Cum P&amp;L SOL],tblAnalysis[Date],Q247)))</f>
        <v/>
      </c>
      <c r="Z247" s="6" t="str">
        <f>IF(Q247="","",MIN(X247,_xlfn.MINIFS(tblAnalysis[Cum P&amp;L SOL],tblAnalysis[Date],Q247)))</f>
        <v/>
      </c>
      <c r="AA247" s="6" t="str">
        <f t="shared" si="68"/>
        <v/>
      </c>
      <c r="AB247"/>
      <c r="AC247" s="27" t="str">
        <f t="shared" si="69"/>
        <v/>
      </c>
      <c r="AD247" s="10" t="str">
        <f t="shared" si="70"/>
        <v/>
      </c>
      <c r="AE247" s="10" t="str">
        <f t="shared" si="71"/>
        <v/>
      </c>
      <c r="AF247" s="10" t="str">
        <f t="shared" si="72"/>
        <v/>
      </c>
      <c r="AG247"/>
      <c r="AH247" t="str">
        <f t="shared" si="73"/>
        <v/>
      </c>
      <c r="AI247" t="str">
        <f t="shared" si="74"/>
        <v/>
      </c>
      <c r="AK247" t="str" cm="1">
        <f t="array" ref="AK247">IFERROR(IF(INDEX($A:$A,ROW())="","",INDEX($A:$A,ROW())),"")</f>
        <v/>
      </c>
      <c r="AL247" t="str" cm="1">
        <f t="array" ref="AL247">IFERROR(INDEX(tblTrades[sol_invested],ROW()-1),"")</f>
        <v/>
      </c>
      <c r="AM247" s="6" t="str" cm="1">
        <f t="array" ref="AM247">IFERROR(INDEX(tblAnalysis[P&amp;L SOL],ROW()-1),"")</f>
        <v/>
      </c>
      <c r="AN247" t="str" cm="1">
        <f t="array" ref="AN247">IFERROR(IF(INDEX(tblTrades[sol_invested],ROW()-1)&gt;0.5,INDEX(tblAnalysis[Token],ROW()-1)&amp;" ("&amp;TEXT(INDEX(tblTrades[sol_invested],ROW()-1),"0.0")&amp;" SOL)",""),"")</f>
        <v/>
      </c>
      <c r="AO247" s="7"/>
      <c r="AP247" s="12" t="str" cm="1">
        <f t="array" ref="AP247">IFERROR(INDEX(tblAnalysis[Entry MC ($)],ROW()-1),"")</f>
        <v/>
      </c>
      <c r="AQ247" s="10" t="str" cm="1">
        <f t="array" ref="AQ247">IFERROR(INDEX(tblAnalysis[P&amp;L %],ROW()-1),"")</f>
        <v/>
      </c>
      <c r="AR247" t="str" cm="1">
        <f t="array" ref="AR247">IFERROR(INDEX(tblAnalysis[Hold Time (s)],ROW()-1),"")</f>
        <v/>
      </c>
      <c r="AS247" s="6" t="str" cm="1">
        <f t="array" ref="AS247">IFERROR(INDEX(tblAnalysis[P&amp;L SOL],ROW()-1),"")</f>
        <v/>
      </c>
      <c r="AT247"/>
      <c r="AY247" s="10"/>
      <c r="AZ247" s="10"/>
      <c r="BA247" s="6"/>
      <c r="BB247"/>
      <c r="BF247" t="str">
        <f t="shared" si="75"/>
        <v/>
      </c>
      <c r="BG247" s="27" t="str">
        <f t="shared" si="76"/>
        <v/>
      </c>
      <c r="BH247" t="str">
        <f t="shared" si="77"/>
        <v/>
      </c>
      <c r="BL247" s="29" t="e">
        <f t="shared" si="78"/>
        <v>#N/A</v>
      </c>
      <c r="BM247" s="29" t="e">
        <f t="shared" si="79"/>
        <v>#N/A</v>
      </c>
    </row>
    <row r="248" spans="16:65" x14ac:dyDescent="0.35">
      <c r="P248" s="6"/>
      <c r="Q248" s="27"/>
      <c r="R248" s="6" t="str">
        <f>IF(Q248="","",SUMIFS(tblAnalysis[P&amp;L SOL],tblAnalysis[Date],Q248))</f>
        <v/>
      </c>
      <c r="S248" s="10" t="str">
        <f>IF(Q248="","",SUMIFS(tblAnalysis[P&amp;L %],tblAnalysis[Date],Q248))</f>
        <v/>
      </c>
      <c r="T248" s="6" t="str">
        <f>IF(Q248="","",IFERROR(SUM($R$2:R248),""))</f>
        <v/>
      </c>
      <c r="U248" t="str">
        <f>IF(Q248="","",COUNTIFS(tblAnalysis[Date],Q248))</f>
        <v/>
      </c>
      <c r="W248" s="27" t="str">
        <f t="shared" si="66"/>
        <v/>
      </c>
      <c r="X248" s="6" t="str">
        <f t="shared" si="67"/>
        <v/>
      </c>
      <c r="Y248" s="6" t="str">
        <f>IF(Q248="","",MAX(X248,_xlfn.MAXIFS(tblAnalysis[Cum P&amp;L SOL],tblAnalysis[Date],Q248)))</f>
        <v/>
      </c>
      <c r="Z248" s="6" t="str">
        <f>IF(Q248="","",MIN(X248,_xlfn.MINIFS(tblAnalysis[Cum P&amp;L SOL],tblAnalysis[Date],Q248)))</f>
        <v/>
      </c>
      <c r="AA248" s="6" t="str">
        <f t="shared" si="68"/>
        <v/>
      </c>
      <c r="AB248"/>
      <c r="AC248" s="27" t="str">
        <f t="shared" si="69"/>
        <v/>
      </c>
      <c r="AD248" s="10" t="str">
        <f t="shared" si="70"/>
        <v/>
      </c>
      <c r="AE248" s="10" t="str">
        <f t="shared" si="71"/>
        <v/>
      </c>
      <c r="AF248" s="10" t="str">
        <f t="shared" si="72"/>
        <v/>
      </c>
      <c r="AG248"/>
      <c r="AH248" t="str">
        <f t="shared" si="73"/>
        <v/>
      </c>
      <c r="AI248" t="str">
        <f t="shared" si="74"/>
        <v/>
      </c>
      <c r="AK248" t="str" cm="1">
        <f t="array" ref="AK248">IFERROR(IF(INDEX($A:$A,ROW())="","",INDEX($A:$A,ROW())),"")</f>
        <v/>
      </c>
      <c r="AL248" t="str" cm="1">
        <f t="array" ref="AL248">IFERROR(INDEX(tblTrades[sol_invested],ROW()-1),"")</f>
        <v/>
      </c>
      <c r="AM248" s="6" t="str" cm="1">
        <f t="array" ref="AM248">IFERROR(INDEX(tblAnalysis[P&amp;L SOL],ROW()-1),"")</f>
        <v/>
      </c>
      <c r="AN248" t="str" cm="1">
        <f t="array" ref="AN248">IFERROR(IF(INDEX(tblTrades[sol_invested],ROW()-1)&gt;0.5,INDEX(tblAnalysis[Token],ROW()-1)&amp;" ("&amp;TEXT(INDEX(tblTrades[sol_invested],ROW()-1),"0.0")&amp;" SOL)",""),"")</f>
        <v/>
      </c>
      <c r="AO248" s="7"/>
      <c r="AP248" s="12" t="str" cm="1">
        <f t="array" ref="AP248">IFERROR(INDEX(tblAnalysis[Entry MC ($)],ROW()-1),"")</f>
        <v/>
      </c>
      <c r="AQ248" s="10" t="str" cm="1">
        <f t="array" ref="AQ248">IFERROR(INDEX(tblAnalysis[P&amp;L %],ROW()-1),"")</f>
        <v/>
      </c>
      <c r="AR248" t="str" cm="1">
        <f t="array" ref="AR248">IFERROR(INDEX(tblAnalysis[Hold Time (s)],ROW()-1),"")</f>
        <v/>
      </c>
      <c r="AS248" s="6" t="str" cm="1">
        <f t="array" ref="AS248">IFERROR(INDEX(tblAnalysis[P&amp;L SOL],ROW()-1),"")</f>
        <v/>
      </c>
      <c r="AT248"/>
      <c r="AY248" s="10"/>
      <c r="AZ248" s="10"/>
      <c r="BA248" s="6"/>
      <c r="BB248"/>
      <c r="BF248" t="str">
        <f t="shared" si="75"/>
        <v/>
      </c>
      <c r="BG248" s="27" t="str">
        <f t="shared" si="76"/>
        <v/>
      </c>
      <c r="BH248" t="str">
        <f t="shared" si="77"/>
        <v/>
      </c>
      <c r="BL248" s="29" t="e">
        <f t="shared" si="78"/>
        <v>#N/A</v>
      </c>
      <c r="BM248" s="29" t="e">
        <f t="shared" si="79"/>
        <v>#N/A</v>
      </c>
    </row>
    <row r="249" spans="16:65" x14ac:dyDescent="0.35">
      <c r="P249" s="6"/>
      <c r="Q249" s="27"/>
      <c r="R249" s="6" t="str">
        <f>IF(Q249="","",SUMIFS(tblAnalysis[P&amp;L SOL],tblAnalysis[Date],Q249))</f>
        <v/>
      </c>
      <c r="S249" s="10" t="str">
        <f>IF(Q249="","",SUMIFS(tblAnalysis[P&amp;L %],tblAnalysis[Date],Q249))</f>
        <v/>
      </c>
      <c r="T249" s="6" t="str">
        <f>IF(Q249="","",IFERROR(SUM($R$2:R249),""))</f>
        <v/>
      </c>
      <c r="U249" t="str">
        <f>IF(Q249="","",COUNTIFS(tblAnalysis[Date],Q249))</f>
        <v/>
      </c>
      <c r="W249" s="27" t="str">
        <f t="shared" si="66"/>
        <v/>
      </c>
      <c r="X249" s="6" t="str">
        <f t="shared" si="67"/>
        <v/>
      </c>
      <c r="Y249" s="6" t="str">
        <f>IF(Q249="","",MAX(X249,_xlfn.MAXIFS(tblAnalysis[Cum P&amp;L SOL],tblAnalysis[Date],Q249)))</f>
        <v/>
      </c>
      <c r="Z249" s="6" t="str">
        <f>IF(Q249="","",MIN(X249,_xlfn.MINIFS(tblAnalysis[Cum P&amp;L SOL],tblAnalysis[Date],Q249)))</f>
        <v/>
      </c>
      <c r="AA249" s="6" t="str">
        <f t="shared" si="68"/>
        <v/>
      </c>
      <c r="AB249"/>
      <c r="AC249" s="27" t="str">
        <f t="shared" si="69"/>
        <v/>
      </c>
      <c r="AD249" s="10" t="str">
        <f t="shared" si="70"/>
        <v/>
      </c>
      <c r="AE249" s="10" t="str">
        <f t="shared" si="71"/>
        <v/>
      </c>
      <c r="AF249" s="10" t="str">
        <f t="shared" si="72"/>
        <v/>
      </c>
      <c r="AG249"/>
      <c r="AH249" t="str">
        <f t="shared" si="73"/>
        <v/>
      </c>
      <c r="AI249" t="str">
        <f t="shared" si="74"/>
        <v/>
      </c>
      <c r="AK249" t="str" cm="1">
        <f t="array" ref="AK249">IFERROR(IF(INDEX($A:$A,ROW())="","",INDEX($A:$A,ROW())),"")</f>
        <v/>
      </c>
      <c r="AL249" t="str" cm="1">
        <f t="array" ref="AL249">IFERROR(INDEX(tblTrades[sol_invested],ROW()-1),"")</f>
        <v/>
      </c>
      <c r="AM249" s="6" t="str" cm="1">
        <f t="array" ref="AM249">IFERROR(INDEX(tblAnalysis[P&amp;L SOL],ROW()-1),"")</f>
        <v/>
      </c>
      <c r="AN249" t="str" cm="1">
        <f t="array" ref="AN249">IFERROR(IF(INDEX(tblTrades[sol_invested],ROW()-1)&gt;0.5,INDEX(tblAnalysis[Token],ROW()-1)&amp;" ("&amp;TEXT(INDEX(tblTrades[sol_invested],ROW()-1),"0.0")&amp;" SOL)",""),"")</f>
        <v/>
      </c>
      <c r="AO249" s="7"/>
      <c r="AP249" s="12" t="str" cm="1">
        <f t="array" ref="AP249">IFERROR(INDEX(tblAnalysis[Entry MC ($)],ROW()-1),"")</f>
        <v/>
      </c>
      <c r="AQ249" s="10" t="str" cm="1">
        <f t="array" ref="AQ249">IFERROR(INDEX(tblAnalysis[P&amp;L %],ROW()-1),"")</f>
        <v/>
      </c>
      <c r="AR249" t="str" cm="1">
        <f t="array" ref="AR249">IFERROR(INDEX(tblAnalysis[Hold Time (s)],ROW()-1),"")</f>
        <v/>
      </c>
      <c r="AS249" s="6" t="str" cm="1">
        <f t="array" ref="AS249">IFERROR(INDEX(tblAnalysis[P&amp;L SOL],ROW()-1),"")</f>
        <v/>
      </c>
      <c r="AT249"/>
      <c r="AY249" s="10"/>
      <c r="AZ249" s="10"/>
      <c r="BA249" s="6"/>
      <c r="BB249"/>
      <c r="BF249" t="str">
        <f t="shared" si="75"/>
        <v/>
      </c>
      <c r="BG249" s="27" t="str">
        <f t="shared" si="76"/>
        <v/>
      </c>
      <c r="BH249" t="str">
        <f t="shared" si="77"/>
        <v/>
      </c>
      <c r="BL249" s="29" t="e">
        <f t="shared" si="78"/>
        <v>#N/A</v>
      </c>
      <c r="BM249" s="29" t="e">
        <f t="shared" si="79"/>
        <v>#N/A</v>
      </c>
    </row>
    <row r="250" spans="16:65" x14ac:dyDescent="0.35">
      <c r="P250" s="6"/>
      <c r="Q250" s="27"/>
      <c r="R250" s="6" t="str">
        <f>IF(Q250="","",SUMIFS(tblAnalysis[P&amp;L SOL],tblAnalysis[Date],Q250))</f>
        <v/>
      </c>
      <c r="S250" s="10" t="str">
        <f>IF(Q250="","",SUMIFS(tblAnalysis[P&amp;L %],tblAnalysis[Date],Q250))</f>
        <v/>
      </c>
      <c r="T250" s="6" t="str">
        <f>IF(Q250="","",IFERROR(SUM($R$2:R250),""))</f>
        <v/>
      </c>
      <c r="U250" t="str">
        <f>IF(Q250="","",COUNTIFS(tblAnalysis[Date],Q250))</f>
        <v/>
      </c>
      <c r="W250" s="27" t="str">
        <f t="shared" si="66"/>
        <v/>
      </c>
      <c r="X250" s="6" t="str">
        <f t="shared" si="67"/>
        <v/>
      </c>
      <c r="Y250" s="6" t="str">
        <f>IF(Q250="","",MAX(X250,_xlfn.MAXIFS(tblAnalysis[Cum P&amp;L SOL],tblAnalysis[Date],Q250)))</f>
        <v/>
      </c>
      <c r="Z250" s="6" t="str">
        <f>IF(Q250="","",MIN(X250,_xlfn.MINIFS(tblAnalysis[Cum P&amp;L SOL],tblAnalysis[Date],Q250)))</f>
        <v/>
      </c>
      <c r="AA250" s="6" t="str">
        <f t="shared" si="68"/>
        <v/>
      </c>
      <c r="AB250"/>
      <c r="AC250" s="27" t="str">
        <f t="shared" si="69"/>
        <v/>
      </c>
      <c r="AD250" s="10" t="str">
        <f t="shared" si="70"/>
        <v/>
      </c>
      <c r="AE250" s="10" t="str">
        <f t="shared" si="71"/>
        <v/>
      </c>
      <c r="AF250" s="10" t="str">
        <f t="shared" si="72"/>
        <v/>
      </c>
      <c r="AG250"/>
      <c r="AH250" t="str">
        <f t="shared" si="73"/>
        <v/>
      </c>
      <c r="AI250" t="str">
        <f t="shared" si="74"/>
        <v/>
      </c>
      <c r="AK250" t="str" cm="1">
        <f t="array" ref="AK250">IFERROR(IF(INDEX($A:$A,ROW())="","",INDEX($A:$A,ROW())),"")</f>
        <v/>
      </c>
      <c r="AL250" t="str" cm="1">
        <f t="array" ref="AL250">IFERROR(INDEX(tblTrades[sol_invested],ROW()-1),"")</f>
        <v/>
      </c>
      <c r="AM250" s="6" t="str" cm="1">
        <f t="array" ref="AM250">IFERROR(INDEX(tblAnalysis[P&amp;L SOL],ROW()-1),"")</f>
        <v/>
      </c>
      <c r="AN250" t="str" cm="1">
        <f t="array" ref="AN250">IFERROR(IF(INDEX(tblTrades[sol_invested],ROW()-1)&gt;0.5,INDEX(tblAnalysis[Token],ROW()-1)&amp;" ("&amp;TEXT(INDEX(tblTrades[sol_invested],ROW()-1),"0.0")&amp;" SOL)",""),"")</f>
        <v/>
      </c>
      <c r="AO250" s="7"/>
      <c r="AP250" s="12" t="str" cm="1">
        <f t="array" ref="AP250">IFERROR(INDEX(tblAnalysis[Entry MC ($)],ROW()-1),"")</f>
        <v/>
      </c>
      <c r="AQ250" s="10" t="str" cm="1">
        <f t="array" ref="AQ250">IFERROR(INDEX(tblAnalysis[P&amp;L %],ROW()-1),"")</f>
        <v/>
      </c>
      <c r="AR250" t="str" cm="1">
        <f t="array" ref="AR250">IFERROR(INDEX(tblAnalysis[Hold Time (s)],ROW()-1),"")</f>
        <v/>
      </c>
      <c r="AS250" s="6" t="str" cm="1">
        <f t="array" ref="AS250">IFERROR(INDEX(tblAnalysis[P&amp;L SOL],ROW()-1),"")</f>
        <v/>
      </c>
      <c r="AT250"/>
      <c r="AY250" s="10"/>
      <c r="AZ250" s="10"/>
      <c r="BA250" s="6"/>
      <c r="BB250"/>
      <c r="BF250" t="str">
        <f t="shared" si="75"/>
        <v/>
      </c>
      <c r="BG250" s="27" t="str">
        <f t="shared" si="76"/>
        <v/>
      </c>
      <c r="BH250" t="str">
        <f t="shared" si="77"/>
        <v/>
      </c>
      <c r="BL250" s="29" t="e">
        <f t="shared" si="78"/>
        <v>#N/A</v>
      </c>
      <c r="BM250" s="29" t="e">
        <f t="shared" si="79"/>
        <v>#N/A</v>
      </c>
    </row>
    <row r="251" spans="16:65" x14ac:dyDescent="0.35">
      <c r="P251" s="6"/>
      <c r="Q251" s="27"/>
      <c r="R251" s="6" t="str">
        <f>IF(Q251="","",SUMIFS(tblAnalysis[P&amp;L SOL],tblAnalysis[Date],Q251))</f>
        <v/>
      </c>
      <c r="S251" s="10" t="str">
        <f>IF(Q251="","",SUMIFS(tblAnalysis[P&amp;L %],tblAnalysis[Date],Q251))</f>
        <v/>
      </c>
      <c r="T251" s="6" t="str">
        <f>IF(Q251="","",IFERROR(SUM($R$2:R251),""))</f>
        <v/>
      </c>
      <c r="U251" t="str">
        <f>IF(Q251="","",COUNTIFS(tblAnalysis[Date],Q251))</f>
        <v/>
      </c>
      <c r="W251" s="27" t="str">
        <f t="shared" si="66"/>
        <v/>
      </c>
      <c r="X251" s="6" t="str">
        <f t="shared" si="67"/>
        <v/>
      </c>
      <c r="Y251" s="6" t="str">
        <f>IF(Q251="","",MAX(X251,_xlfn.MAXIFS(tblAnalysis[Cum P&amp;L SOL],tblAnalysis[Date],Q251)))</f>
        <v/>
      </c>
      <c r="Z251" s="6" t="str">
        <f>IF(Q251="","",MIN(X251,_xlfn.MINIFS(tblAnalysis[Cum P&amp;L SOL],tblAnalysis[Date],Q251)))</f>
        <v/>
      </c>
      <c r="AA251" s="6" t="str">
        <f t="shared" si="68"/>
        <v/>
      </c>
      <c r="AB251"/>
      <c r="AC251" s="27" t="str">
        <f t="shared" si="69"/>
        <v/>
      </c>
      <c r="AD251" s="10" t="str">
        <f t="shared" si="70"/>
        <v/>
      </c>
      <c r="AE251" s="10" t="str">
        <f t="shared" si="71"/>
        <v/>
      </c>
      <c r="AF251" s="10" t="str">
        <f t="shared" si="72"/>
        <v/>
      </c>
      <c r="AG251"/>
      <c r="AH251" t="str">
        <f t="shared" si="73"/>
        <v/>
      </c>
      <c r="AI251" t="str">
        <f t="shared" si="74"/>
        <v/>
      </c>
      <c r="AK251" t="str" cm="1">
        <f t="array" ref="AK251">IFERROR(IF(INDEX($A:$A,ROW())="","",INDEX($A:$A,ROW())),"")</f>
        <v/>
      </c>
      <c r="AL251" t="str" cm="1">
        <f t="array" ref="AL251">IFERROR(INDEX(tblTrades[sol_invested],ROW()-1),"")</f>
        <v/>
      </c>
      <c r="AM251" s="6" t="str" cm="1">
        <f t="array" ref="AM251">IFERROR(INDEX(tblAnalysis[P&amp;L SOL],ROW()-1),"")</f>
        <v/>
      </c>
      <c r="AN251" t="str" cm="1">
        <f t="array" ref="AN251">IFERROR(IF(INDEX(tblTrades[sol_invested],ROW()-1)&gt;0.5,INDEX(tblAnalysis[Token],ROW()-1)&amp;" ("&amp;TEXT(INDEX(tblTrades[sol_invested],ROW()-1),"0.0")&amp;" SOL)",""),"")</f>
        <v/>
      </c>
      <c r="AO251" s="7"/>
      <c r="AP251" s="12" t="str" cm="1">
        <f t="array" ref="AP251">IFERROR(INDEX(tblAnalysis[Entry MC ($)],ROW()-1),"")</f>
        <v/>
      </c>
      <c r="AQ251" s="10" t="str" cm="1">
        <f t="array" ref="AQ251">IFERROR(INDEX(tblAnalysis[P&amp;L %],ROW()-1),"")</f>
        <v/>
      </c>
      <c r="AR251" t="str" cm="1">
        <f t="array" ref="AR251">IFERROR(INDEX(tblAnalysis[Hold Time (s)],ROW()-1),"")</f>
        <v/>
      </c>
      <c r="AS251" s="6" t="str" cm="1">
        <f t="array" ref="AS251">IFERROR(INDEX(tblAnalysis[P&amp;L SOL],ROW()-1),"")</f>
        <v/>
      </c>
      <c r="AT251"/>
      <c r="AY251" s="10"/>
      <c r="AZ251" s="10"/>
      <c r="BA251" s="6"/>
      <c r="BB251"/>
      <c r="BF251" t="str">
        <f t="shared" si="75"/>
        <v/>
      </c>
      <c r="BG251" s="27" t="str">
        <f t="shared" si="76"/>
        <v/>
      </c>
      <c r="BH251" t="str">
        <f t="shared" si="77"/>
        <v/>
      </c>
      <c r="BL251" s="29" t="e">
        <f t="shared" si="78"/>
        <v>#N/A</v>
      </c>
      <c r="BM251" s="29" t="e">
        <f t="shared" si="79"/>
        <v>#N/A</v>
      </c>
    </row>
    <row r="252" spans="16:65" x14ac:dyDescent="0.35">
      <c r="P252" s="6"/>
      <c r="Q252" s="27"/>
      <c r="R252" s="6" t="str">
        <f>IF(Q252="","",SUMIFS(tblAnalysis[P&amp;L SOL],tblAnalysis[Date],Q252))</f>
        <v/>
      </c>
      <c r="S252" s="10" t="str">
        <f>IF(Q252="","",SUMIFS(tblAnalysis[P&amp;L %],tblAnalysis[Date],Q252))</f>
        <v/>
      </c>
      <c r="T252" s="6" t="str">
        <f>IF(Q252="","",IFERROR(SUM($R$2:R252),""))</f>
        <v/>
      </c>
      <c r="U252" t="str">
        <f>IF(Q252="","",COUNTIFS(tblAnalysis[Date],Q252))</f>
        <v/>
      </c>
      <c r="W252" s="27" t="str">
        <f t="shared" si="66"/>
        <v/>
      </c>
      <c r="X252" s="6" t="str">
        <f t="shared" si="67"/>
        <v/>
      </c>
      <c r="Y252" s="6" t="str">
        <f>IF(Q252="","",MAX(X252,_xlfn.MAXIFS(tblAnalysis[Cum P&amp;L SOL],tblAnalysis[Date],Q252)))</f>
        <v/>
      </c>
      <c r="Z252" s="6" t="str">
        <f>IF(Q252="","",MIN(X252,_xlfn.MINIFS(tblAnalysis[Cum P&amp;L SOL],tblAnalysis[Date],Q252)))</f>
        <v/>
      </c>
      <c r="AA252" s="6" t="str">
        <f t="shared" si="68"/>
        <v/>
      </c>
      <c r="AB252"/>
      <c r="AC252" s="27" t="str">
        <f t="shared" si="69"/>
        <v/>
      </c>
      <c r="AD252" s="10" t="str">
        <f t="shared" si="70"/>
        <v/>
      </c>
      <c r="AE252" s="10" t="str">
        <f t="shared" si="71"/>
        <v/>
      </c>
      <c r="AF252" s="10" t="str">
        <f t="shared" si="72"/>
        <v/>
      </c>
      <c r="AG252"/>
      <c r="AH252" t="str">
        <f t="shared" si="73"/>
        <v/>
      </c>
      <c r="AI252" t="str">
        <f t="shared" si="74"/>
        <v/>
      </c>
      <c r="AK252" t="str" cm="1">
        <f t="array" ref="AK252">IFERROR(IF(INDEX($A:$A,ROW())="","",INDEX($A:$A,ROW())),"")</f>
        <v/>
      </c>
      <c r="AL252" t="str" cm="1">
        <f t="array" ref="AL252">IFERROR(INDEX(tblTrades[sol_invested],ROW()-1),"")</f>
        <v/>
      </c>
      <c r="AM252" s="6" t="str" cm="1">
        <f t="array" ref="AM252">IFERROR(INDEX(tblAnalysis[P&amp;L SOL],ROW()-1),"")</f>
        <v/>
      </c>
      <c r="AN252" t="str" cm="1">
        <f t="array" ref="AN252">IFERROR(IF(INDEX(tblTrades[sol_invested],ROW()-1)&gt;0.5,INDEX(tblAnalysis[Token],ROW()-1)&amp;" ("&amp;TEXT(INDEX(tblTrades[sol_invested],ROW()-1),"0.0")&amp;" SOL)",""),"")</f>
        <v/>
      </c>
      <c r="AO252" s="7"/>
      <c r="AP252" s="12" t="str" cm="1">
        <f t="array" ref="AP252">IFERROR(INDEX(tblAnalysis[Entry MC ($)],ROW()-1),"")</f>
        <v/>
      </c>
      <c r="AQ252" s="10" t="str" cm="1">
        <f t="array" ref="AQ252">IFERROR(INDEX(tblAnalysis[P&amp;L %],ROW()-1),"")</f>
        <v/>
      </c>
      <c r="AR252" t="str" cm="1">
        <f t="array" ref="AR252">IFERROR(INDEX(tblAnalysis[Hold Time (s)],ROW()-1),"")</f>
        <v/>
      </c>
      <c r="AS252" s="6" t="str" cm="1">
        <f t="array" ref="AS252">IFERROR(INDEX(tblAnalysis[P&amp;L SOL],ROW()-1),"")</f>
        <v/>
      </c>
      <c r="AT252"/>
      <c r="AY252" s="10"/>
      <c r="AZ252" s="10"/>
      <c r="BA252" s="6"/>
      <c r="BB252"/>
      <c r="BF252" t="str">
        <f t="shared" si="75"/>
        <v/>
      </c>
      <c r="BG252" s="27" t="str">
        <f t="shared" si="76"/>
        <v/>
      </c>
      <c r="BH252" t="str">
        <f t="shared" si="77"/>
        <v/>
      </c>
      <c r="BL252" s="29" t="e">
        <f t="shared" si="78"/>
        <v>#N/A</v>
      </c>
      <c r="BM252" s="29" t="e">
        <f t="shared" si="79"/>
        <v>#N/A</v>
      </c>
    </row>
    <row r="253" spans="16:65" x14ac:dyDescent="0.35">
      <c r="P253" s="6"/>
      <c r="Q253" s="27"/>
      <c r="R253" s="6" t="str">
        <f>IF(Q253="","",SUMIFS(tblAnalysis[P&amp;L SOL],tblAnalysis[Date],Q253))</f>
        <v/>
      </c>
      <c r="S253" s="10" t="str">
        <f>IF(Q253="","",SUMIFS(tblAnalysis[P&amp;L %],tblAnalysis[Date],Q253))</f>
        <v/>
      </c>
      <c r="T253" s="6" t="str">
        <f>IF(Q253="","",IFERROR(SUM($R$2:R253),""))</f>
        <v/>
      </c>
      <c r="U253" t="str">
        <f>IF(Q253="","",COUNTIFS(tblAnalysis[Date],Q253))</f>
        <v/>
      </c>
      <c r="W253" s="27" t="str">
        <f t="shared" si="66"/>
        <v/>
      </c>
      <c r="X253" s="6" t="str">
        <f t="shared" si="67"/>
        <v/>
      </c>
      <c r="Y253" s="6" t="str">
        <f>IF(Q253="","",MAX(X253,_xlfn.MAXIFS(tblAnalysis[Cum P&amp;L SOL],tblAnalysis[Date],Q253)))</f>
        <v/>
      </c>
      <c r="Z253" s="6" t="str">
        <f>IF(Q253="","",MIN(X253,_xlfn.MINIFS(tblAnalysis[Cum P&amp;L SOL],tblAnalysis[Date],Q253)))</f>
        <v/>
      </c>
      <c r="AA253" s="6" t="str">
        <f t="shared" si="68"/>
        <v/>
      </c>
      <c r="AB253"/>
      <c r="AC253" s="27" t="str">
        <f t="shared" si="69"/>
        <v/>
      </c>
      <c r="AD253" s="10" t="str">
        <f t="shared" si="70"/>
        <v/>
      </c>
      <c r="AE253" s="10" t="str">
        <f t="shared" si="71"/>
        <v/>
      </c>
      <c r="AF253" s="10" t="str">
        <f t="shared" si="72"/>
        <v/>
      </c>
      <c r="AG253"/>
      <c r="AH253" t="str">
        <f t="shared" si="73"/>
        <v/>
      </c>
      <c r="AI253" t="str">
        <f t="shared" si="74"/>
        <v/>
      </c>
      <c r="AK253" t="str" cm="1">
        <f t="array" ref="AK253">IFERROR(IF(INDEX($A:$A,ROW())="","",INDEX($A:$A,ROW())),"")</f>
        <v/>
      </c>
      <c r="AL253" t="str" cm="1">
        <f t="array" ref="AL253">IFERROR(INDEX(tblTrades[sol_invested],ROW()-1),"")</f>
        <v/>
      </c>
      <c r="AM253" s="6" t="str" cm="1">
        <f t="array" ref="AM253">IFERROR(INDEX(tblAnalysis[P&amp;L SOL],ROW()-1),"")</f>
        <v/>
      </c>
      <c r="AN253" t="str" cm="1">
        <f t="array" ref="AN253">IFERROR(IF(INDEX(tblTrades[sol_invested],ROW()-1)&gt;0.5,INDEX(tblAnalysis[Token],ROW()-1)&amp;" ("&amp;TEXT(INDEX(tblTrades[sol_invested],ROW()-1),"0.0")&amp;" SOL)",""),"")</f>
        <v/>
      </c>
      <c r="AO253" s="7"/>
      <c r="AP253" s="12" t="str" cm="1">
        <f t="array" ref="AP253">IFERROR(INDEX(tblAnalysis[Entry MC ($)],ROW()-1),"")</f>
        <v/>
      </c>
      <c r="AQ253" s="10" t="str" cm="1">
        <f t="array" ref="AQ253">IFERROR(INDEX(tblAnalysis[P&amp;L %],ROW()-1),"")</f>
        <v/>
      </c>
      <c r="AR253" t="str" cm="1">
        <f t="array" ref="AR253">IFERROR(INDEX(tblAnalysis[Hold Time (s)],ROW()-1),"")</f>
        <v/>
      </c>
      <c r="AS253" s="6" t="str" cm="1">
        <f t="array" ref="AS253">IFERROR(INDEX(tblAnalysis[P&amp;L SOL],ROW()-1),"")</f>
        <v/>
      </c>
      <c r="AT253"/>
      <c r="AY253" s="10"/>
      <c r="AZ253" s="10"/>
      <c r="BA253" s="6"/>
      <c r="BB253"/>
      <c r="BF253" t="str">
        <f t="shared" si="75"/>
        <v/>
      </c>
      <c r="BG253" s="27" t="str">
        <f t="shared" si="76"/>
        <v/>
      </c>
      <c r="BH253" t="str">
        <f t="shared" si="77"/>
        <v/>
      </c>
      <c r="BL253" s="29" t="e">
        <f t="shared" si="78"/>
        <v>#N/A</v>
      </c>
      <c r="BM253" s="29" t="e">
        <f t="shared" si="79"/>
        <v>#N/A</v>
      </c>
    </row>
    <row r="254" spans="16:65" x14ac:dyDescent="0.35">
      <c r="P254" s="6"/>
      <c r="Q254" s="27"/>
      <c r="R254" s="6" t="str">
        <f>IF(Q254="","",SUMIFS(tblAnalysis[P&amp;L SOL],tblAnalysis[Date],Q254))</f>
        <v/>
      </c>
      <c r="S254" s="10" t="str">
        <f>IF(Q254="","",SUMIFS(tblAnalysis[P&amp;L %],tblAnalysis[Date],Q254))</f>
        <v/>
      </c>
      <c r="T254" s="6" t="str">
        <f>IF(Q254="","",IFERROR(SUM($R$2:R254),""))</f>
        <v/>
      </c>
      <c r="U254" t="str">
        <f>IF(Q254="","",COUNTIFS(tblAnalysis[Date],Q254))</f>
        <v/>
      </c>
      <c r="W254" s="27" t="str">
        <f t="shared" si="66"/>
        <v/>
      </c>
      <c r="X254" s="6" t="str">
        <f t="shared" si="67"/>
        <v/>
      </c>
      <c r="Y254" s="6" t="str">
        <f>IF(Q254="","",MAX(X254,_xlfn.MAXIFS(tblAnalysis[Cum P&amp;L SOL],tblAnalysis[Date],Q254)))</f>
        <v/>
      </c>
      <c r="Z254" s="6" t="str">
        <f>IF(Q254="","",MIN(X254,_xlfn.MINIFS(tblAnalysis[Cum P&amp;L SOL],tblAnalysis[Date],Q254)))</f>
        <v/>
      </c>
      <c r="AA254" s="6" t="str">
        <f t="shared" si="68"/>
        <v/>
      </c>
      <c r="AB254"/>
      <c r="AC254" s="27" t="str">
        <f t="shared" si="69"/>
        <v/>
      </c>
      <c r="AD254" s="10" t="str">
        <f t="shared" si="70"/>
        <v/>
      </c>
      <c r="AE254" s="10" t="str">
        <f t="shared" si="71"/>
        <v/>
      </c>
      <c r="AF254" s="10" t="str">
        <f t="shared" si="72"/>
        <v/>
      </c>
      <c r="AG254"/>
      <c r="AH254" t="str">
        <f t="shared" si="73"/>
        <v/>
      </c>
      <c r="AI254" t="str">
        <f t="shared" si="74"/>
        <v/>
      </c>
      <c r="AK254" t="str" cm="1">
        <f t="array" ref="AK254">IFERROR(IF(INDEX($A:$A,ROW())="","",INDEX($A:$A,ROW())),"")</f>
        <v/>
      </c>
      <c r="AL254" t="str" cm="1">
        <f t="array" ref="AL254">IFERROR(INDEX(tblTrades[sol_invested],ROW()-1),"")</f>
        <v/>
      </c>
      <c r="AM254" s="6" t="str" cm="1">
        <f t="array" ref="AM254">IFERROR(INDEX(tblAnalysis[P&amp;L SOL],ROW()-1),"")</f>
        <v/>
      </c>
      <c r="AN254" t="str" cm="1">
        <f t="array" ref="AN254">IFERROR(IF(INDEX(tblTrades[sol_invested],ROW()-1)&gt;0.5,INDEX(tblAnalysis[Token],ROW()-1)&amp;" ("&amp;TEXT(INDEX(tblTrades[sol_invested],ROW()-1),"0.0")&amp;" SOL)",""),"")</f>
        <v/>
      </c>
      <c r="AO254" s="7"/>
      <c r="AP254" s="12" t="str" cm="1">
        <f t="array" ref="AP254">IFERROR(INDEX(tblAnalysis[Entry MC ($)],ROW()-1),"")</f>
        <v/>
      </c>
      <c r="AQ254" s="10" t="str" cm="1">
        <f t="array" ref="AQ254">IFERROR(INDEX(tblAnalysis[P&amp;L %],ROW()-1),"")</f>
        <v/>
      </c>
      <c r="AR254" t="str" cm="1">
        <f t="array" ref="AR254">IFERROR(INDEX(tblAnalysis[Hold Time (s)],ROW()-1),"")</f>
        <v/>
      </c>
      <c r="AS254" s="6" t="str" cm="1">
        <f t="array" ref="AS254">IFERROR(INDEX(tblAnalysis[P&amp;L SOL],ROW()-1),"")</f>
        <v/>
      </c>
      <c r="AT254"/>
      <c r="AY254" s="10"/>
      <c r="AZ254" s="10"/>
      <c r="BA254" s="6"/>
      <c r="BB254"/>
      <c r="BF254" t="str">
        <f t="shared" si="75"/>
        <v/>
      </c>
      <c r="BG254" s="27" t="str">
        <f t="shared" si="76"/>
        <v/>
      </c>
      <c r="BH254" t="str">
        <f t="shared" si="77"/>
        <v/>
      </c>
      <c r="BL254" s="29" t="e">
        <f t="shared" si="78"/>
        <v>#N/A</v>
      </c>
      <c r="BM254" s="29" t="e">
        <f t="shared" si="79"/>
        <v>#N/A</v>
      </c>
    </row>
    <row r="255" spans="16:65" x14ac:dyDescent="0.35">
      <c r="P255" s="6"/>
      <c r="Q255" s="27"/>
      <c r="R255" s="6" t="str">
        <f>IF(Q255="","",SUMIFS(tblAnalysis[P&amp;L SOL],tblAnalysis[Date],Q255))</f>
        <v/>
      </c>
      <c r="S255" s="10" t="str">
        <f>IF(Q255="","",SUMIFS(tblAnalysis[P&amp;L %],tblAnalysis[Date],Q255))</f>
        <v/>
      </c>
      <c r="T255" s="6" t="str">
        <f>IF(Q255="","",IFERROR(SUM($R$2:R255),""))</f>
        <v/>
      </c>
      <c r="U255" t="str">
        <f>IF(Q255="","",COUNTIFS(tblAnalysis[Date],Q255))</f>
        <v/>
      </c>
      <c r="W255" s="27" t="str">
        <f t="shared" si="66"/>
        <v/>
      </c>
      <c r="X255" s="6" t="str">
        <f t="shared" si="67"/>
        <v/>
      </c>
      <c r="Y255" s="6" t="str">
        <f>IF(Q255="","",MAX(X255,_xlfn.MAXIFS(tblAnalysis[Cum P&amp;L SOL],tblAnalysis[Date],Q255)))</f>
        <v/>
      </c>
      <c r="Z255" s="6" t="str">
        <f>IF(Q255="","",MIN(X255,_xlfn.MINIFS(tblAnalysis[Cum P&amp;L SOL],tblAnalysis[Date],Q255)))</f>
        <v/>
      </c>
      <c r="AA255" s="6" t="str">
        <f t="shared" si="68"/>
        <v/>
      </c>
      <c r="AB255"/>
      <c r="AC255" s="27" t="str">
        <f t="shared" si="69"/>
        <v/>
      </c>
      <c r="AD255" s="10" t="str">
        <f t="shared" si="70"/>
        <v/>
      </c>
      <c r="AE255" s="10" t="str">
        <f t="shared" si="71"/>
        <v/>
      </c>
      <c r="AF255" s="10" t="str">
        <f t="shared" si="72"/>
        <v/>
      </c>
      <c r="AG255"/>
      <c r="AH255" t="str">
        <f t="shared" si="73"/>
        <v/>
      </c>
      <c r="AI255" t="str">
        <f t="shared" si="74"/>
        <v/>
      </c>
      <c r="AK255" t="str" cm="1">
        <f t="array" ref="AK255">IFERROR(IF(INDEX($A:$A,ROW())="","",INDEX($A:$A,ROW())),"")</f>
        <v/>
      </c>
      <c r="AL255" t="str" cm="1">
        <f t="array" ref="AL255">IFERROR(INDEX(tblTrades[sol_invested],ROW()-1),"")</f>
        <v/>
      </c>
      <c r="AM255" s="6" t="str" cm="1">
        <f t="array" ref="AM255">IFERROR(INDEX(tblAnalysis[P&amp;L SOL],ROW()-1),"")</f>
        <v/>
      </c>
      <c r="AN255" t="str" cm="1">
        <f t="array" ref="AN255">IFERROR(IF(INDEX(tblTrades[sol_invested],ROW()-1)&gt;0.5,INDEX(tblAnalysis[Token],ROW()-1)&amp;" ("&amp;TEXT(INDEX(tblTrades[sol_invested],ROW()-1),"0.0")&amp;" SOL)",""),"")</f>
        <v/>
      </c>
      <c r="AO255" s="7"/>
      <c r="AP255" s="12" t="str" cm="1">
        <f t="array" ref="AP255">IFERROR(INDEX(tblAnalysis[Entry MC ($)],ROW()-1),"")</f>
        <v/>
      </c>
      <c r="AQ255" s="10" t="str" cm="1">
        <f t="array" ref="AQ255">IFERROR(INDEX(tblAnalysis[P&amp;L %],ROW()-1),"")</f>
        <v/>
      </c>
      <c r="AR255" t="str" cm="1">
        <f t="array" ref="AR255">IFERROR(INDEX(tblAnalysis[Hold Time (s)],ROW()-1),"")</f>
        <v/>
      </c>
      <c r="AS255" s="6" t="str" cm="1">
        <f t="array" ref="AS255">IFERROR(INDEX(tblAnalysis[P&amp;L SOL],ROW()-1),"")</f>
        <v/>
      </c>
      <c r="AT255"/>
      <c r="AY255" s="10"/>
      <c r="AZ255" s="10"/>
      <c r="BA255" s="6"/>
      <c r="BB255"/>
      <c r="BF255" t="str">
        <f t="shared" si="75"/>
        <v/>
      </c>
      <c r="BG255" s="27" t="str">
        <f t="shared" si="76"/>
        <v/>
      </c>
      <c r="BH255" t="str">
        <f t="shared" si="77"/>
        <v/>
      </c>
      <c r="BL255" s="29" t="e">
        <f t="shared" si="78"/>
        <v>#N/A</v>
      </c>
      <c r="BM255" s="29" t="e">
        <f t="shared" si="79"/>
        <v>#N/A</v>
      </c>
    </row>
    <row r="256" spans="16:65" x14ac:dyDescent="0.35">
      <c r="P256" s="6"/>
      <c r="Q256" s="27"/>
      <c r="R256" s="6" t="str">
        <f>IF(Q256="","",SUMIFS(tblAnalysis[P&amp;L SOL],tblAnalysis[Date],Q256))</f>
        <v/>
      </c>
      <c r="S256" s="10" t="str">
        <f>IF(Q256="","",SUMIFS(tblAnalysis[P&amp;L %],tblAnalysis[Date],Q256))</f>
        <v/>
      </c>
      <c r="T256" s="6" t="str">
        <f>IF(Q256="","",IFERROR(SUM($R$2:R256),""))</f>
        <v/>
      </c>
      <c r="U256" t="str">
        <f>IF(Q256="","",COUNTIFS(tblAnalysis[Date],Q256))</f>
        <v/>
      </c>
      <c r="W256" s="27" t="str">
        <f t="shared" si="66"/>
        <v/>
      </c>
      <c r="X256" s="6" t="str">
        <f t="shared" si="67"/>
        <v/>
      </c>
      <c r="Y256" s="6" t="str">
        <f>IF(Q256="","",MAX(X256,_xlfn.MAXIFS(tblAnalysis[Cum P&amp;L SOL],tblAnalysis[Date],Q256)))</f>
        <v/>
      </c>
      <c r="Z256" s="6" t="str">
        <f>IF(Q256="","",MIN(X256,_xlfn.MINIFS(tblAnalysis[Cum P&amp;L SOL],tblAnalysis[Date],Q256)))</f>
        <v/>
      </c>
      <c r="AA256" s="6" t="str">
        <f t="shared" si="68"/>
        <v/>
      </c>
      <c r="AB256"/>
      <c r="AC256" s="27" t="str">
        <f t="shared" si="69"/>
        <v/>
      </c>
      <c r="AD256" s="10" t="str">
        <f t="shared" si="70"/>
        <v/>
      </c>
      <c r="AE256" s="10" t="str">
        <f t="shared" si="71"/>
        <v/>
      </c>
      <c r="AF256" s="10" t="str">
        <f t="shared" si="72"/>
        <v/>
      </c>
      <c r="AG256"/>
      <c r="AH256" t="str">
        <f t="shared" si="73"/>
        <v/>
      </c>
      <c r="AI256" t="str">
        <f t="shared" si="74"/>
        <v/>
      </c>
      <c r="AK256" t="str" cm="1">
        <f t="array" ref="AK256">IFERROR(IF(INDEX($A:$A,ROW())="","",INDEX($A:$A,ROW())),"")</f>
        <v/>
      </c>
      <c r="AL256" t="str" cm="1">
        <f t="array" ref="AL256">IFERROR(INDEX(tblTrades[sol_invested],ROW()-1),"")</f>
        <v/>
      </c>
      <c r="AM256" s="6" t="str" cm="1">
        <f t="array" ref="AM256">IFERROR(INDEX(tblAnalysis[P&amp;L SOL],ROW()-1),"")</f>
        <v/>
      </c>
      <c r="AN256" t="str" cm="1">
        <f t="array" ref="AN256">IFERROR(IF(INDEX(tblTrades[sol_invested],ROW()-1)&gt;0.5,INDEX(tblAnalysis[Token],ROW()-1)&amp;" ("&amp;TEXT(INDEX(tblTrades[sol_invested],ROW()-1),"0.0")&amp;" SOL)",""),"")</f>
        <v/>
      </c>
      <c r="AO256" s="7"/>
      <c r="AP256" s="12" t="str" cm="1">
        <f t="array" ref="AP256">IFERROR(INDEX(tblAnalysis[Entry MC ($)],ROW()-1),"")</f>
        <v/>
      </c>
      <c r="AQ256" s="10" t="str" cm="1">
        <f t="array" ref="AQ256">IFERROR(INDEX(tblAnalysis[P&amp;L %],ROW()-1),"")</f>
        <v/>
      </c>
      <c r="AR256" t="str" cm="1">
        <f t="array" ref="AR256">IFERROR(INDEX(tblAnalysis[Hold Time (s)],ROW()-1),"")</f>
        <v/>
      </c>
      <c r="AS256" s="6" t="str" cm="1">
        <f t="array" ref="AS256">IFERROR(INDEX(tblAnalysis[P&amp;L SOL],ROW()-1),"")</f>
        <v/>
      </c>
      <c r="AT256"/>
      <c r="AY256" s="10"/>
      <c r="AZ256" s="10"/>
      <c r="BA256" s="6"/>
      <c r="BB256"/>
      <c r="BF256" t="str">
        <f t="shared" si="75"/>
        <v/>
      </c>
      <c r="BG256" s="27" t="str">
        <f t="shared" si="76"/>
        <v/>
      </c>
      <c r="BH256" t="str">
        <f t="shared" si="77"/>
        <v/>
      </c>
      <c r="BL256" s="29" t="e">
        <f t="shared" si="78"/>
        <v>#N/A</v>
      </c>
      <c r="BM256" s="29" t="e">
        <f t="shared" si="79"/>
        <v>#N/A</v>
      </c>
    </row>
    <row r="257" spans="16:65" x14ac:dyDescent="0.35">
      <c r="P257" s="6"/>
      <c r="Q257" s="27"/>
      <c r="R257" s="6" t="str">
        <f>IF(Q257="","",SUMIFS(tblAnalysis[P&amp;L SOL],tblAnalysis[Date],Q257))</f>
        <v/>
      </c>
      <c r="S257" s="10" t="str">
        <f>IF(Q257="","",SUMIFS(tblAnalysis[P&amp;L %],tblAnalysis[Date],Q257))</f>
        <v/>
      </c>
      <c r="T257" s="6" t="str">
        <f>IF(Q257="","",IFERROR(SUM($R$2:R257),""))</f>
        <v/>
      </c>
      <c r="U257" t="str">
        <f>IF(Q257="","",COUNTIFS(tblAnalysis[Date],Q257))</f>
        <v/>
      </c>
      <c r="W257" s="27" t="str">
        <f t="shared" si="66"/>
        <v/>
      </c>
      <c r="X257" s="6" t="str">
        <f t="shared" si="67"/>
        <v/>
      </c>
      <c r="Y257" s="6" t="str">
        <f>IF(Q257="","",MAX(X257,_xlfn.MAXIFS(tblAnalysis[Cum P&amp;L SOL],tblAnalysis[Date],Q257)))</f>
        <v/>
      </c>
      <c r="Z257" s="6" t="str">
        <f>IF(Q257="","",MIN(X257,_xlfn.MINIFS(tblAnalysis[Cum P&amp;L SOL],tblAnalysis[Date],Q257)))</f>
        <v/>
      </c>
      <c r="AA257" s="6" t="str">
        <f t="shared" si="68"/>
        <v/>
      </c>
      <c r="AB257"/>
      <c r="AC257" s="27" t="str">
        <f t="shared" si="69"/>
        <v/>
      </c>
      <c r="AD257" s="10" t="str">
        <f t="shared" si="70"/>
        <v/>
      </c>
      <c r="AE257" s="10" t="str">
        <f t="shared" si="71"/>
        <v/>
      </c>
      <c r="AF257" s="10" t="str">
        <f t="shared" si="72"/>
        <v/>
      </c>
      <c r="AG257"/>
      <c r="AH257" t="str">
        <f t="shared" si="73"/>
        <v/>
      </c>
      <c r="AI257" t="str">
        <f t="shared" si="74"/>
        <v/>
      </c>
      <c r="AK257" t="str" cm="1">
        <f t="array" ref="AK257">IFERROR(IF(INDEX($A:$A,ROW())="","",INDEX($A:$A,ROW())),"")</f>
        <v/>
      </c>
      <c r="AL257" t="str" cm="1">
        <f t="array" ref="AL257">IFERROR(INDEX(tblTrades[sol_invested],ROW()-1),"")</f>
        <v/>
      </c>
      <c r="AM257" s="6" t="str" cm="1">
        <f t="array" ref="AM257">IFERROR(INDEX(tblAnalysis[P&amp;L SOL],ROW()-1),"")</f>
        <v/>
      </c>
      <c r="AN257" t="str" cm="1">
        <f t="array" ref="AN257">IFERROR(IF(INDEX(tblTrades[sol_invested],ROW()-1)&gt;0.5,INDEX(tblAnalysis[Token],ROW()-1)&amp;" ("&amp;TEXT(INDEX(tblTrades[sol_invested],ROW()-1),"0.0")&amp;" SOL)",""),"")</f>
        <v/>
      </c>
      <c r="AO257" s="7"/>
      <c r="AP257" s="12" t="str" cm="1">
        <f t="array" ref="AP257">IFERROR(INDEX(tblAnalysis[Entry MC ($)],ROW()-1),"")</f>
        <v/>
      </c>
      <c r="AQ257" s="10" t="str" cm="1">
        <f t="array" ref="AQ257">IFERROR(INDEX(tblAnalysis[P&amp;L %],ROW()-1),"")</f>
        <v/>
      </c>
      <c r="AR257" t="str" cm="1">
        <f t="array" ref="AR257">IFERROR(INDEX(tblAnalysis[Hold Time (s)],ROW()-1),"")</f>
        <v/>
      </c>
      <c r="AS257" s="6" t="str" cm="1">
        <f t="array" ref="AS257">IFERROR(INDEX(tblAnalysis[P&amp;L SOL],ROW()-1),"")</f>
        <v/>
      </c>
      <c r="AT257"/>
      <c r="AY257" s="10"/>
      <c r="AZ257" s="10"/>
      <c r="BA257" s="6"/>
      <c r="BB257"/>
      <c r="BF257" t="str">
        <f t="shared" si="75"/>
        <v/>
      </c>
      <c r="BG257" s="27" t="str">
        <f t="shared" si="76"/>
        <v/>
      </c>
      <c r="BH257" t="str">
        <f t="shared" si="77"/>
        <v/>
      </c>
      <c r="BL257" s="29" t="e">
        <f t="shared" si="78"/>
        <v>#N/A</v>
      </c>
      <c r="BM257" s="29" t="e">
        <f t="shared" si="79"/>
        <v>#N/A</v>
      </c>
    </row>
    <row r="258" spans="16:65" x14ac:dyDescent="0.35">
      <c r="P258" s="6"/>
      <c r="Q258" s="27"/>
      <c r="R258" s="6" t="str">
        <f>IF(Q258="","",SUMIFS(tblAnalysis[P&amp;L SOL],tblAnalysis[Date],Q258))</f>
        <v/>
      </c>
      <c r="S258" s="10" t="str">
        <f>IF(Q258="","",SUMIFS(tblAnalysis[P&amp;L %],tblAnalysis[Date],Q258))</f>
        <v/>
      </c>
      <c r="T258" s="6" t="str">
        <f>IF(Q258="","",IFERROR(SUM($R$2:R258),""))</f>
        <v/>
      </c>
      <c r="U258" t="str">
        <f>IF(Q258="","",COUNTIFS(tblAnalysis[Date],Q258))</f>
        <v/>
      </c>
      <c r="W258" s="27" t="str">
        <f t="shared" si="66"/>
        <v/>
      </c>
      <c r="X258" s="6" t="str">
        <f t="shared" si="67"/>
        <v/>
      </c>
      <c r="Y258" s="6" t="str">
        <f>IF(Q258="","",MAX(X258,_xlfn.MAXIFS(tblAnalysis[Cum P&amp;L SOL],tblAnalysis[Date],Q258)))</f>
        <v/>
      </c>
      <c r="Z258" s="6" t="str">
        <f>IF(Q258="","",MIN(X258,_xlfn.MINIFS(tblAnalysis[Cum P&amp;L SOL],tblAnalysis[Date],Q258)))</f>
        <v/>
      </c>
      <c r="AA258" s="6" t="str">
        <f t="shared" si="68"/>
        <v/>
      </c>
      <c r="AB258"/>
      <c r="AC258" s="27" t="str">
        <f t="shared" si="69"/>
        <v/>
      </c>
      <c r="AD258" s="10" t="str">
        <f t="shared" si="70"/>
        <v/>
      </c>
      <c r="AE258" s="10" t="str">
        <f t="shared" si="71"/>
        <v/>
      </c>
      <c r="AF258" s="10" t="str">
        <f t="shared" si="72"/>
        <v/>
      </c>
      <c r="AG258"/>
      <c r="AH258" t="str">
        <f t="shared" si="73"/>
        <v/>
      </c>
      <c r="AI258" t="str">
        <f t="shared" si="74"/>
        <v/>
      </c>
      <c r="AK258" t="str" cm="1">
        <f t="array" ref="AK258">IFERROR(IF(INDEX($A:$A,ROW())="","",INDEX($A:$A,ROW())),"")</f>
        <v/>
      </c>
      <c r="AL258" t="str" cm="1">
        <f t="array" ref="AL258">IFERROR(INDEX(tblTrades[sol_invested],ROW()-1),"")</f>
        <v/>
      </c>
      <c r="AM258" s="6" t="str" cm="1">
        <f t="array" ref="AM258">IFERROR(INDEX(tblAnalysis[P&amp;L SOL],ROW()-1),"")</f>
        <v/>
      </c>
      <c r="AN258" t="str" cm="1">
        <f t="array" ref="AN258">IFERROR(IF(INDEX(tblTrades[sol_invested],ROW()-1)&gt;0.5,INDEX(tblAnalysis[Token],ROW()-1)&amp;" ("&amp;TEXT(INDEX(tblTrades[sol_invested],ROW()-1),"0.0")&amp;" SOL)",""),"")</f>
        <v/>
      </c>
      <c r="AO258" s="7"/>
      <c r="AP258" s="12" t="str" cm="1">
        <f t="array" ref="AP258">IFERROR(INDEX(tblAnalysis[Entry MC ($)],ROW()-1),"")</f>
        <v/>
      </c>
      <c r="AQ258" s="10" t="str" cm="1">
        <f t="array" ref="AQ258">IFERROR(INDEX(tblAnalysis[P&amp;L %],ROW()-1),"")</f>
        <v/>
      </c>
      <c r="AR258" t="str" cm="1">
        <f t="array" ref="AR258">IFERROR(INDEX(tblAnalysis[Hold Time (s)],ROW()-1),"")</f>
        <v/>
      </c>
      <c r="AS258" s="6" t="str" cm="1">
        <f t="array" ref="AS258">IFERROR(INDEX(tblAnalysis[P&amp;L SOL],ROW()-1),"")</f>
        <v/>
      </c>
      <c r="AT258"/>
      <c r="AY258" s="10"/>
      <c r="AZ258" s="10"/>
      <c r="BA258" s="6"/>
      <c r="BB258"/>
      <c r="BF258" t="str">
        <f t="shared" si="75"/>
        <v/>
      </c>
      <c r="BG258" s="27" t="str">
        <f t="shared" si="76"/>
        <v/>
      </c>
      <c r="BH258" t="str">
        <f t="shared" si="77"/>
        <v/>
      </c>
      <c r="BL258" s="29" t="e">
        <f t="shared" si="78"/>
        <v>#N/A</v>
      </c>
      <c r="BM258" s="29" t="e">
        <f t="shared" si="79"/>
        <v>#N/A</v>
      </c>
    </row>
    <row r="259" spans="16:65" x14ac:dyDescent="0.35">
      <c r="P259" s="6"/>
      <c r="Q259" s="27"/>
      <c r="R259" s="6" t="str">
        <f>IF(Q259="","",SUMIFS(tblAnalysis[P&amp;L SOL],tblAnalysis[Date],Q259))</f>
        <v/>
      </c>
      <c r="S259" s="10" t="str">
        <f>IF(Q259="","",SUMIFS(tblAnalysis[P&amp;L %],tblAnalysis[Date],Q259))</f>
        <v/>
      </c>
      <c r="T259" s="6" t="str">
        <f>IF(Q259="","",IFERROR(SUM($R$2:R259),""))</f>
        <v/>
      </c>
      <c r="U259" t="str">
        <f>IF(Q259="","",COUNTIFS(tblAnalysis[Date],Q259))</f>
        <v/>
      </c>
      <c r="W259" s="27" t="str">
        <f t="shared" ref="W259:W322" si="80">IF(Q259="","",Q259)</f>
        <v/>
      </c>
      <c r="X259" s="6" t="str">
        <f t="shared" ref="X259:X322" si="81">IF(Q259="","",IF(ROW()=2,0,AA258))</f>
        <v/>
      </c>
      <c r="Y259" s="6" t="str">
        <f>IF(Q259="","",MAX(X259,_xlfn.MAXIFS(tblAnalysis[Cum P&amp;L SOL],tblAnalysis[Date],Q259)))</f>
        <v/>
      </c>
      <c r="Z259" s="6" t="str">
        <f>IF(Q259="","",MIN(X259,_xlfn.MINIFS(tblAnalysis[Cum P&amp;L SOL],tblAnalysis[Date],Q259)))</f>
        <v/>
      </c>
      <c r="AA259" s="6" t="str">
        <f t="shared" ref="AA259:AA322" si="82">IF(Q259="","",T259)</f>
        <v/>
      </c>
      <c r="AB259"/>
      <c r="AC259" s="27" t="str">
        <f t="shared" ref="AC259:AC322" si="83">IF(Q259="","",Q259)</f>
        <v/>
      </c>
      <c r="AD259" s="10" t="str">
        <f t="shared" ref="AD259:AD322" si="84">IF(Q259="","",(Y259-X259)/$BK$1)</f>
        <v/>
      </c>
      <c r="AE259" s="10" t="str">
        <f t="shared" ref="AE259:AE322" si="85">IF(Q259="","",(Z259-X259)/$BK$1)</f>
        <v/>
      </c>
      <c r="AF259" s="10" t="str">
        <f t="shared" ref="AF259:AF322" si="86">IF(Q259="","",(AA259-X259)/$BK$1)</f>
        <v/>
      </c>
      <c r="AG259"/>
      <c r="AH259" t="str">
        <f t="shared" ref="AH259:AH322" si="87">IF(Q259="","",IF(AA259&gt;=X259,U259,0))</f>
        <v/>
      </c>
      <c r="AI259" t="str">
        <f t="shared" ref="AI259:AI322" si="88">IF(Q259="","",IF(AA259&lt;X259,U259,0))</f>
        <v/>
      </c>
      <c r="AK259" t="str" cm="1">
        <f t="array" ref="AK259">IFERROR(IF(INDEX($A:$A,ROW())="","",INDEX($A:$A,ROW())),"")</f>
        <v/>
      </c>
      <c r="AL259" t="str" cm="1">
        <f t="array" ref="AL259">IFERROR(INDEX(tblTrades[sol_invested],ROW()-1),"")</f>
        <v/>
      </c>
      <c r="AM259" s="6" t="str" cm="1">
        <f t="array" ref="AM259">IFERROR(INDEX(tblAnalysis[P&amp;L SOL],ROW()-1),"")</f>
        <v/>
      </c>
      <c r="AN259" t="str" cm="1">
        <f t="array" ref="AN259">IFERROR(IF(INDEX(tblTrades[sol_invested],ROW()-1)&gt;0.5,INDEX(tblAnalysis[Token],ROW()-1)&amp;" ("&amp;TEXT(INDEX(tblTrades[sol_invested],ROW()-1),"0.0")&amp;" SOL)",""),"")</f>
        <v/>
      </c>
      <c r="AO259" s="7"/>
      <c r="AP259" s="12" t="str" cm="1">
        <f t="array" ref="AP259">IFERROR(INDEX(tblAnalysis[Entry MC ($)],ROW()-1),"")</f>
        <v/>
      </c>
      <c r="AQ259" s="10" t="str" cm="1">
        <f t="array" ref="AQ259">IFERROR(INDEX(tblAnalysis[P&amp;L %],ROW()-1),"")</f>
        <v/>
      </c>
      <c r="AR259" t="str" cm="1">
        <f t="array" ref="AR259">IFERROR(INDEX(tblAnalysis[Hold Time (s)],ROW()-1),"")</f>
        <v/>
      </c>
      <c r="AS259" s="6" t="str" cm="1">
        <f t="array" ref="AS259">IFERROR(INDEX(tblAnalysis[P&amp;L SOL],ROW()-1),"")</f>
        <v/>
      </c>
      <c r="AT259"/>
      <c r="AY259" s="10"/>
      <c r="AZ259" s="10"/>
      <c r="BA259" s="6"/>
      <c r="BB259"/>
      <c r="BF259" t="str">
        <f t="shared" ref="BF259:BF322" si="89">IF(W259="","","("&amp;U259&amp;")")</f>
        <v/>
      </c>
      <c r="BG259" s="27" t="str">
        <f t="shared" ref="BG259:BG322" si="90">IF(W259="","",W259)</f>
        <v/>
      </c>
      <c r="BH259" t="str">
        <f t="shared" ref="BH259:BH322" si="91">IF(W259="","",-2.5)</f>
        <v/>
      </c>
      <c r="BL259" s="29" t="e">
        <f t="shared" si="78"/>
        <v>#N/A</v>
      </c>
      <c r="BM259" s="29" t="e">
        <f t="shared" si="79"/>
        <v>#N/A</v>
      </c>
    </row>
    <row r="260" spans="16:65" x14ac:dyDescent="0.35">
      <c r="P260" s="6"/>
      <c r="Q260" s="27"/>
      <c r="R260" s="6" t="str">
        <f>IF(Q260="","",SUMIFS(tblAnalysis[P&amp;L SOL],tblAnalysis[Date],Q260))</f>
        <v/>
      </c>
      <c r="S260" s="10" t="str">
        <f>IF(Q260="","",SUMIFS(tblAnalysis[P&amp;L %],tblAnalysis[Date],Q260))</f>
        <v/>
      </c>
      <c r="T260" s="6" t="str">
        <f>IF(Q260="","",IFERROR(SUM($R$2:R260),""))</f>
        <v/>
      </c>
      <c r="U260" t="str">
        <f>IF(Q260="","",COUNTIFS(tblAnalysis[Date],Q260))</f>
        <v/>
      </c>
      <c r="W260" s="27" t="str">
        <f t="shared" si="80"/>
        <v/>
      </c>
      <c r="X260" s="6" t="str">
        <f t="shared" si="81"/>
        <v/>
      </c>
      <c r="Y260" s="6" t="str">
        <f>IF(Q260="","",MAX(X260,_xlfn.MAXIFS(tblAnalysis[Cum P&amp;L SOL],tblAnalysis[Date],Q260)))</f>
        <v/>
      </c>
      <c r="Z260" s="6" t="str">
        <f>IF(Q260="","",MIN(X260,_xlfn.MINIFS(tblAnalysis[Cum P&amp;L SOL],tblAnalysis[Date],Q260)))</f>
        <v/>
      </c>
      <c r="AA260" s="6" t="str">
        <f t="shared" si="82"/>
        <v/>
      </c>
      <c r="AB260"/>
      <c r="AC260" s="27" t="str">
        <f t="shared" si="83"/>
        <v/>
      </c>
      <c r="AD260" s="10" t="str">
        <f t="shared" si="84"/>
        <v/>
      </c>
      <c r="AE260" s="10" t="str">
        <f t="shared" si="85"/>
        <v/>
      </c>
      <c r="AF260" s="10" t="str">
        <f t="shared" si="86"/>
        <v/>
      </c>
      <c r="AG260"/>
      <c r="AH260" t="str">
        <f t="shared" si="87"/>
        <v/>
      </c>
      <c r="AI260" t="str">
        <f t="shared" si="88"/>
        <v/>
      </c>
      <c r="AK260" t="str" cm="1">
        <f t="array" ref="AK260">IFERROR(IF(INDEX($A:$A,ROW())="","",INDEX($A:$A,ROW())),"")</f>
        <v/>
      </c>
      <c r="AL260" t="str" cm="1">
        <f t="array" ref="AL260">IFERROR(INDEX(tblTrades[sol_invested],ROW()-1),"")</f>
        <v/>
      </c>
      <c r="AM260" s="6" t="str" cm="1">
        <f t="array" ref="AM260">IFERROR(INDEX(tblAnalysis[P&amp;L SOL],ROW()-1),"")</f>
        <v/>
      </c>
      <c r="AN260" t="str" cm="1">
        <f t="array" ref="AN260">IFERROR(IF(INDEX(tblTrades[sol_invested],ROW()-1)&gt;0.5,INDEX(tblAnalysis[Token],ROW()-1)&amp;" ("&amp;TEXT(INDEX(tblTrades[sol_invested],ROW()-1),"0.0")&amp;" SOL)",""),"")</f>
        <v/>
      </c>
      <c r="AO260" s="7"/>
      <c r="AP260" s="12" t="str" cm="1">
        <f t="array" ref="AP260">IFERROR(INDEX(tblAnalysis[Entry MC ($)],ROW()-1),"")</f>
        <v/>
      </c>
      <c r="AQ260" s="10" t="str" cm="1">
        <f t="array" ref="AQ260">IFERROR(INDEX(tblAnalysis[P&amp;L %],ROW()-1),"")</f>
        <v/>
      </c>
      <c r="AR260" t="str" cm="1">
        <f t="array" ref="AR260">IFERROR(INDEX(tblAnalysis[Hold Time (s)],ROW()-1),"")</f>
        <v/>
      </c>
      <c r="AS260" s="6" t="str" cm="1">
        <f t="array" ref="AS260">IFERROR(INDEX(tblAnalysis[P&amp;L SOL],ROW()-1),"")</f>
        <v/>
      </c>
      <c r="AT260"/>
      <c r="AY260" s="10"/>
      <c r="AZ260" s="10"/>
      <c r="BA260" s="6"/>
      <c r="BB260"/>
      <c r="BF260" t="str">
        <f t="shared" si="89"/>
        <v/>
      </c>
      <c r="BG260" s="27" t="str">
        <f t="shared" si="90"/>
        <v/>
      </c>
      <c r="BH260" t="str">
        <f t="shared" si="91"/>
        <v/>
      </c>
      <c r="BL260" s="29" t="e">
        <f t="shared" si="78"/>
        <v>#N/A</v>
      </c>
      <c r="BM260" s="29" t="e">
        <f t="shared" si="79"/>
        <v>#N/A</v>
      </c>
    </row>
    <row r="261" spans="16:65" x14ac:dyDescent="0.35">
      <c r="P261" s="6"/>
      <c r="Q261" s="27"/>
      <c r="R261" s="6" t="str">
        <f>IF(Q261="","",SUMIFS(tblAnalysis[P&amp;L SOL],tblAnalysis[Date],Q261))</f>
        <v/>
      </c>
      <c r="S261" s="10" t="str">
        <f>IF(Q261="","",SUMIFS(tblAnalysis[P&amp;L %],tblAnalysis[Date],Q261))</f>
        <v/>
      </c>
      <c r="T261" s="6" t="str">
        <f>IF(Q261="","",IFERROR(SUM($R$2:R261),""))</f>
        <v/>
      </c>
      <c r="U261" t="str">
        <f>IF(Q261="","",COUNTIFS(tblAnalysis[Date],Q261))</f>
        <v/>
      </c>
      <c r="W261" s="27" t="str">
        <f t="shared" si="80"/>
        <v/>
      </c>
      <c r="X261" s="6" t="str">
        <f t="shared" si="81"/>
        <v/>
      </c>
      <c r="Y261" s="6" t="str">
        <f>IF(Q261="","",MAX(X261,_xlfn.MAXIFS(tblAnalysis[Cum P&amp;L SOL],tblAnalysis[Date],Q261)))</f>
        <v/>
      </c>
      <c r="Z261" s="6" t="str">
        <f>IF(Q261="","",MIN(X261,_xlfn.MINIFS(tblAnalysis[Cum P&amp;L SOL],tblAnalysis[Date],Q261)))</f>
        <v/>
      </c>
      <c r="AA261" s="6" t="str">
        <f t="shared" si="82"/>
        <v/>
      </c>
      <c r="AB261"/>
      <c r="AC261" s="27" t="str">
        <f t="shared" si="83"/>
        <v/>
      </c>
      <c r="AD261" s="10" t="str">
        <f t="shared" si="84"/>
        <v/>
      </c>
      <c r="AE261" s="10" t="str">
        <f t="shared" si="85"/>
        <v/>
      </c>
      <c r="AF261" s="10" t="str">
        <f t="shared" si="86"/>
        <v/>
      </c>
      <c r="AG261"/>
      <c r="AH261" t="str">
        <f t="shared" si="87"/>
        <v/>
      </c>
      <c r="AI261" t="str">
        <f t="shared" si="88"/>
        <v/>
      </c>
      <c r="AK261" t="str" cm="1">
        <f t="array" ref="AK261">IFERROR(IF(INDEX($A:$A,ROW())="","",INDEX($A:$A,ROW())),"")</f>
        <v/>
      </c>
      <c r="AL261" t="str" cm="1">
        <f t="array" ref="AL261">IFERROR(INDEX(tblTrades[sol_invested],ROW()-1),"")</f>
        <v/>
      </c>
      <c r="AM261" s="6" t="str" cm="1">
        <f t="array" ref="AM261">IFERROR(INDEX(tblAnalysis[P&amp;L SOL],ROW()-1),"")</f>
        <v/>
      </c>
      <c r="AN261" t="str" cm="1">
        <f t="array" ref="AN261">IFERROR(IF(INDEX(tblTrades[sol_invested],ROW()-1)&gt;0.5,INDEX(tblAnalysis[Token],ROW()-1)&amp;" ("&amp;TEXT(INDEX(tblTrades[sol_invested],ROW()-1),"0.0")&amp;" SOL)",""),"")</f>
        <v/>
      </c>
      <c r="AO261" s="7"/>
      <c r="AP261" s="12" t="str" cm="1">
        <f t="array" ref="AP261">IFERROR(INDEX(tblAnalysis[Entry MC ($)],ROW()-1),"")</f>
        <v/>
      </c>
      <c r="AQ261" s="10" t="str" cm="1">
        <f t="array" ref="AQ261">IFERROR(INDEX(tblAnalysis[P&amp;L %],ROW()-1),"")</f>
        <v/>
      </c>
      <c r="AR261" t="str" cm="1">
        <f t="array" ref="AR261">IFERROR(INDEX(tblAnalysis[Hold Time (s)],ROW()-1),"")</f>
        <v/>
      </c>
      <c r="AS261" s="6" t="str" cm="1">
        <f t="array" ref="AS261">IFERROR(INDEX(tblAnalysis[P&amp;L SOL],ROW()-1),"")</f>
        <v/>
      </c>
      <c r="AT261"/>
      <c r="AY261" s="10"/>
      <c r="AZ261" s="10"/>
      <c r="BA261" s="6"/>
      <c r="BB261"/>
      <c r="BF261" t="str">
        <f t="shared" si="89"/>
        <v/>
      </c>
      <c r="BG261" s="27" t="str">
        <f t="shared" si="90"/>
        <v/>
      </c>
      <c r="BH261" t="str">
        <f t="shared" si="91"/>
        <v/>
      </c>
      <c r="BL261" s="29" t="e">
        <f t="shared" si="78"/>
        <v>#N/A</v>
      </c>
      <c r="BM261" s="29" t="e">
        <f t="shared" si="79"/>
        <v>#N/A</v>
      </c>
    </row>
    <row r="262" spans="16:65" x14ac:dyDescent="0.35">
      <c r="P262" s="6"/>
      <c r="Q262" s="27"/>
      <c r="R262" s="6" t="str">
        <f>IF(Q262="","",SUMIFS(tblAnalysis[P&amp;L SOL],tblAnalysis[Date],Q262))</f>
        <v/>
      </c>
      <c r="S262" s="10" t="str">
        <f>IF(Q262="","",SUMIFS(tblAnalysis[P&amp;L %],tblAnalysis[Date],Q262))</f>
        <v/>
      </c>
      <c r="T262" s="6" t="str">
        <f>IF(Q262="","",IFERROR(SUM($R$2:R262),""))</f>
        <v/>
      </c>
      <c r="U262" t="str">
        <f>IF(Q262="","",COUNTIFS(tblAnalysis[Date],Q262))</f>
        <v/>
      </c>
      <c r="W262" s="27" t="str">
        <f t="shared" si="80"/>
        <v/>
      </c>
      <c r="X262" s="6" t="str">
        <f t="shared" si="81"/>
        <v/>
      </c>
      <c r="Y262" s="6" t="str">
        <f>IF(Q262="","",MAX(X262,_xlfn.MAXIFS(tblAnalysis[Cum P&amp;L SOL],tblAnalysis[Date],Q262)))</f>
        <v/>
      </c>
      <c r="Z262" s="6" t="str">
        <f>IF(Q262="","",MIN(X262,_xlfn.MINIFS(tblAnalysis[Cum P&amp;L SOL],tblAnalysis[Date],Q262)))</f>
        <v/>
      </c>
      <c r="AA262" s="6" t="str">
        <f t="shared" si="82"/>
        <v/>
      </c>
      <c r="AB262"/>
      <c r="AC262" s="27" t="str">
        <f t="shared" si="83"/>
        <v/>
      </c>
      <c r="AD262" s="10" t="str">
        <f t="shared" si="84"/>
        <v/>
      </c>
      <c r="AE262" s="10" t="str">
        <f t="shared" si="85"/>
        <v/>
      </c>
      <c r="AF262" s="10" t="str">
        <f t="shared" si="86"/>
        <v/>
      </c>
      <c r="AG262"/>
      <c r="AH262" t="str">
        <f t="shared" si="87"/>
        <v/>
      </c>
      <c r="AI262" t="str">
        <f t="shared" si="88"/>
        <v/>
      </c>
      <c r="AK262" t="str" cm="1">
        <f t="array" ref="AK262">IFERROR(IF(INDEX($A:$A,ROW())="","",INDEX($A:$A,ROW())),"")</f>
        <v/>
      </c>
      <c r="AL262" t="str" cm="1">
        <f t="array" ref="AL262">IFERROR(INDEX(tblTrades[sol_invested],ROW()-1),"")</f>
        <v/>
      </c>
      <c r="AM262" s="6" t="str" cm="1">
        <f t="array" ref="AM262">IFERROR(INDEX(tblAnalysis[P&amp;L SOL],ROW()-1),"")</f>
        <v/>
      </c>
      <c r="AN262" t="str" cm="1">
        <f t="array" ref="AN262">IFERROR(IF(INDEX(tblTrades[sol_invested],ROW()-1)&gt;0.5,INDEX(tblAnalysis[Token],ROW()-1)&amp;" ("&amp;TEXT(INDEX(tblTrades[sol_invested],ROW()-1),"0.0")&amp;" SOL)",""),"")</f>
        <v/>
      </c>
      <c r="AO262" s="7"/>
      <c r="AP262" s="12" t="str" cm="1">
        <f t="array" ref="AP262">IFERROR(INDEX(tblAnalysis[Entry MC ($)],ROW()-1),"")</f>
        <v/>
      </c>
      <c r="AQ262" s="10" t="str" cm="1">
        <f t="array" ref="AQ262">IFERROR(INDEX(tblAnalysis[P&amp;L %],ROW()-1),"")</f>
        <v/>
      </c>
      <c r="AR262" t="str" cm="1">
        <f t="array" ref="AR262">IFERROR(INDEX(tblAnalysis[Hold Time (s)],ROW()-1),"")</f>
        <v/>
      </c>
      <c r="AS262" s="6" t="str" cm="1">
        <f t="array" ref="AS262">IFERROR(INDEX(tblAnalysis[P&amp;L SOL],ROW()-1),"")</f>
        <v/>
      </c>
      <c r="AT262"/>
      <c r="AY262" s="10"/>
      <c r="AZ262" s="10"/>
      <c r="BA262" s="6"/>
      <c r="BB262"/>
      <c r="BF262" t="str">
        <f t="shared" si="89"/>
        <v/>
      </c>
      <c r="BG262" s="27" t="str">
        <f t="shared" si="90"/>
        <v/>
      </c>
      <c r="BH262" t="str">
        <f t="shared" si="91"/>
        <v/>
      </c>
      <c r="BL262" s="29" t="e">
        <f t="shared" si="78"/>
        <v>#N/A</v>
      </c>
      <c r="BM262" s="29" t="e">
        <f t="shared" si="79"/>
        <v>#N/A</v>
      </c>
    </row>
    <row r="263" spans="16:65" x14ac:dyDescent="0.35">
      <c r="P263" s="6"/>
      <c r="Q263" s="27"/>
      <c r="R263" s="6" t="str">
        <f>IF(Q263="","",SUMIFS(tblAnalysis[P&amp;L SOL],tblAnalysis[Date],Q263))</f>
        <v/>
      </c>
      <c r="S263" s="10" t="str">
        <f>IF(Q263="","",SUMIFS(tblAnalysis[P&amp;L %],tblAnalysis[Date],Q263))</f>
        <v/>
      </c>
      <c r="T263" s="6" t="str">
        <f>IF(Q263="","",IFERROR(SUM($R$2:R263),""))</f>
        <v/>
      </c>
      <c r="U263" t="str">
        <f>IF(Q263="","",COUNTIFS(tblAnalysis[Date],Q263))</f>
        <v/>
      </c>
      <c r="W263" s="27" t="str">
        <f t="shared" si="80"/>
        <v/>
      </c>
      <c r="X263" s="6" t="str">
        <f t="shared" si="81"/>
        <v/>
      </c>
      <c r="Y263" s="6" t="str">
        <f>IF(Q263="","",MAX(X263,_xlfn.MAXIFS(tblAnalysis[Cum P&amp;L SOL],tblAnalysis[Date],Q263)))</f>
        <v/>
      </c>
      <c r="Z263" s="6" t="str">
        <f>IF(Q263="","",MIN(X263,_xlfn.MINIFS(tblAnalysis[Cum P&amp;L SOL],tblAnalysis[Date],Q263)))</f>
        <v/>
      </c>
      <c r="AA263" s="6" t="str">
        <f t="shared" si="82"/>
        <v/>
      </c>
      <c r="AB263"/>
      <c r="AC263" s="27" t="str">
        <f t="shared" si="83"/>
        <v/>
      </c>
      <c r="AD263" s="10" t="str">
        <f t="shared" si="84"/>
        <v/>
      </c>
      <c r="AE263" s="10" t="str">
        <f t="shared" si="85"/>
        <v/>
      </c>
      <c r="AF263" s="10" t="str">
        <f t="shared" si="86"/>
        <v/>
      </c>
      <c r="AG263"/>
      <c r="AH263" t="str">
        <f t="shared" si="87"/>
        <v/>
      </c>
      <c r="AI263" t="str">
        <f t="shared" si="88"/>
        <v/>
      </c>
      <c r="AK263" t="str" cm="1">
        <f t="array" ref="AK263">IFERROR(IF(INDEX($A:$A,ROW())="","",INDEX($A:$A,ROW())),"")</f>
        <v/>
      </c>
      <c r="AL263" t="str" cm="1">
        <f t="array" ref="AL263">IFERROR(INDEX(tblTrades[sol_invested],ROW()-1),"")</f>
        <v/>
      </c>
      <c r="AM263" s="6" t="str" cm="1">
        <f t="array" ref="AM263">IFERROR(INDEX(tblAnalysis[P&amp;L SOL],ROW()-1),"")</f>
        <v/>
      </c>
      <c r="AN263" t="str" cm="1">
        <f t="array" ref="AN263">IFERROR(IF(INDEX(tblTrades[sol_invested],ROW()-1)&gt;0.5,INDEX(tblAnalysis[Token],ROW()-1)&amp;" ("&amp;TEXT(INDEX(tblTrades[sol_invested],ROW()-1),"0.0")&amp;" SOL)",""),"")</f>
        <v/>
      </c>
      <c r="AO263" s="7"/>
      <c r="AP263" s="12" t="str" cm="1">
        <f t="array" ref="AP263">IFERROR(INDEX(tblAnalysis[Entry MC ($)],ROW()-1),"")</f>
        <v/>
      </c>
      <c r="AQ263" s="10" t="str" cm="1">
        <f t="array" ref="AQ263">IFERROR(INDEX(tblAnalysis[P&amp;L %],ROW()-1),"")</f>
        <v/>
      </c>
      <c r="AR263" t="str" cm="1">
        <f t="array" ref="AR263">IFERROR(INDEX(tblAnalysis[Hold Time (s)],ROW()-1),"")</f>
        <v/>
      </c>
      <c r="AS263" s="6" t="str" cm="1">
        <f t="array" ref="AS263">IFERROR(INDEX(tblAnalysis[P&amp;L SOL],ROW()-1),"")</f>
        <v/>
      </c>
      <c r="AT263"/>
      <c r="AY263" s="10"/>
      <c r="AZ263" s="10"/>
      <c r="BA263" s="6"/>
      <c r="BB263"/>
      <c r="BF263" t="str">
        <f t="shared" si="89"/>
        <v/>
      </c>
      <c r="BG263" s="27" t="str">
        <f t="shared" si="90"/>
        <v/>
      </c>
      <c r="BH263" t="str">
        <f t="shared" si="91"/>
        <v/>
      </c>
      <c r="BL263" s="29" t="e">
        <f t="shared" si="78"/>
        <v>#N/A</v>
      </c>
      <c r="BM263" s="29" t="e">
        <f t="shared" si="79"/>
        <v>#N/A</v>
      </c>
    </row>
    <row r="264" spans="16:65" x14ac:dyDescent="0.35">
      <c r="P264" s="6"/>
      <c r="Q264" s="27"/>
      <c r="R264" s="6" t="str">
        <f>IF(Q264="","",SUMIFS(tblAnalysis[P&amp;L SOL],tblAnalysis[Date],Q264))</f>
        <v/>
      </c>
      <c r="S264" s="10" t="str">
        <f>IF(Q264="","",SUMIFS(tblAnalysis[P&amp;L %],tblAnalysis[Date],Q264))</f>
        <v/>
      </c>
      <c r="T264" s="6" t="str">
        <f>IF(Q264="","",IFERROR(SUM($R$2:R264),""))</f>
        <v/>
      </c>
      <c r="U264" t="str">
        <f>IF(Q264="","",COUNTIFS(tblAnalysis[Date],Q264))</f>
        <v/>
      </c>
      <c r="W264" s="27" t="str">
        <f t="shared" si="80"/>
        <v/>
      </c>
      <c r="X264" s="6" t="str">
        <f t="shared" si="81"/>
        <v/>
      </c>
      <c r="Y264" s="6" t="str">
        <f>IF(Q264="","",MAX(X264,_xlfn.MAXIFS(tblAnalysis[Cum P&amp;L SOL],tblAnalysis[Date],Q264)))</f>
        <v/>
      </c>
      <c r="Z264" s="6" t="str">
        <f>IF(Q264="","",MIN(X264,_xlfn.MINIFS(tblAnalysis[Cum P&amp;L SOL],tblAnalysis[Date],Q264)))</f>
        <v/>
      </c>
      <c r="AA264" s="6" t="str">
        <f t="shared" si="82"/>
        <v/>
      </c>
      <c r="AB264"/>
      <c r="AC264" s="27" t="str">
        <f t="shared" si="83"/>
        <v/>
      </c>
      <c r="AD264" s="10" t="str">
        <f t="shared" si="84"/>
        <v/>
      </c>
      <c r="AE264" s="10" t="str">
        <f t="shared" si="85"/>
        <v/>
      </c>
      <c r="AF264" s="10" t="str">
        <f t="shared" si="86"/>
        <v/>
      </c>
      <c r="AG264"/>
      <c r="AH264" t="str">
        <f t="shared" si="87"/>
        <v/>
      </c>
      <c r="AI264" t="str">
        <f t="shared" si="88"/>
        <v/>
      </c>
      <c r="AK264" t="str" cm="1">
        <f t="array" ref="AK264">IFERROR(IF(INDEX($A:$A,ROW())="","",INDEX($A:$A,ROW())),"")</f>
        <v/>
      </c>
      <c r="AL264" t="str" cm="1">
        <f t="array" ref="AL264">IFERROR(INDEX(tblTrades[sol_invested],ROW()-1),"")</f>
        <v/>
      </c>
      <c r="AM264" s="6" t="str" cm="1">
        <f t="array" ref="AM264">IFERROR(INDEX(tblAnalysis[P&amp;L SOL],ROW()-1),"")</f>
        <v/>
      </c>
      <c r="AN264" t="str" cm="1">
        <f t="array" ref="AN264">IFERROR(IF(INDEX(tblTrades[sol_invested],ROW()-1)&gt;0.5,INDEX(tblAnalysis[Token],ROW()-1)&amp;" ("&amp;TEXT(INDEX(tblTrades[sol_invested],ROW()-1),"0.0")&amp;" SOL)",""),"")</f>
        <v/>
      </c>
      <c r="AO264" s="7"/>
      <c r="AP264" s="12" t="str" cm="1">
        <f t="array" ref="AP264">IFERROR(INDEX(tblAnalysis[Entry MC ($)],ROW()-1),"")</f>
        <v/>
      </c>
      <c r="AQ264" s="10" t="str" cm="1">
        <f t="array" ref="AQ264">IFERROR(INDEX(tblAnalysis[P&amp;L %],ROW()-1),"")</f>
        <v/>
      </c>
      <c r="AR264" t="str" cm="1">
        <f t="array" ref="AR264">IFERROR(INDEX(tblAnalysis[Hold Time (s)],ROW()-1),"")</f>
        <v/>
      </c>
      <c r="AS264" s="6" t="str" cm="1">
        <f t="array" ref="AS264">IFERROR(INDEX(tblAnalysis[P&amp;L SOL],ROW()-1),"")</f>
        <v/>
      </c>
      <c r="AT264"/>
      <c r="AY264" s="10"/>
      <c r="AZ264" s="10"/>
      <c r="BA264" s="6"/>
      <c r="BB264"/>
      <c r="BF264" t="str">
        <f t="shared" si="89"/>
        <v/>
      </c>
      <c r="BG264" s="27" t="str">
        <f t="shared" si="90"/>
        <v/>
      </c>
      <c r="BH264" t="str">
        <f t="shared" si="91"/>
        <v/>
      </c>
      <c r="BL264" s="29" t="e">
        <f t="shared" si="78"/>
        <v>#N/A</v>
      </c>
      <c r="BM264" s="29" t="e">
        <f t="shared" si="79"/>
        <v>#N/A</v>
      </c>
    </row>
    <row r="265" spans="16:65" x14ac:dyDescent="0.35">
      <c r="P265" s="6"/>
      <c r="Q265" s="27"/>
      <c r="R265" s="6" t="str">
        <f>IF(Q265="","",SUMIFS(tblAnalysis[P&amp;L SOL],tblAnalysis[Date],Q265))</f>
        <v/>
      </c>
      <c r="S265" s="10" t="str">
        <f>IF(Q265="","",SUMIFS(tblAnalysis[P&amp;L %],tblAnalysis[Date],Q265))</f>
        <v/>
      </c>
      <c r="T265" s="6" t="str">
        <f>IF(Q265="","",IFERROR(SUM($R$2:R265),""))</f>
        <v/>
      </c>
      <c r="U265" t="str">
        <f>IF(Q265="","",COUNTIFS(tblAnalysis[Date],Q265))</f>
        <v/>
      </c>
      <c r="W265" s="27" t="str">
        <f t="shared" si="80"/>
        <v/>
      </c>
      <c r="X265" s="6" t="str">
        <f t="shared" si="81"/>
        <v/>
      </c>
      <c r="Y265" s="6" t="str">
        <f>IF(Q265="","",MAX(X265,_xlfn.MAXIFS(tblAnalysis[Cum P&amp;L SOL],tblAnalysis[Date],Q265)))</f>
        <v/>
      </c>
      <c r="Z265" s="6" t="str">
        <f>IF(Q265="","",MIN(X265,_xlfn.MINIFS(tblAnalysis[Cum P&amp;L SOL],tblAnalysis[Date],Q265)))</f>
        <v/>
      </c>
      <c r="AA265" s="6" t="str">
        <f t="shared" si="82"/>
        <v/>
      </c>
      <c r="AB265"/>
      <c r="AC265" s="27" t="str">
        <f t="shared" si="83"/>
        <v/>
      </c>
      <c r="AD265" s="10" t="str">
        <f t="shared" si="84"/>
        <v/>
      </c>
      <c r="AE265" s="10" t="str">
        <f t="shared" si="85"/>
        <v/>
      </c>
      <c r="AF265" s="10" t="str">
        <f t="shared" si="86"/>
        <v/>
      </c>
      <c r="AG265"/>
      <c r="AH265" t="str">
        <f t="shared" si="87"/>
        <v/>
      </c>
      <c r="AI265" t="str">
        <f t="shared" si="88"/>
        <v/>
      </c>
      <c r="AK265" t="str" cm="1">
        <f t="array" ref="AK265">IFERROR(IF(INDEX($A:$A,ROW())="","",INDEX($A:$A,ROW())),"")</f>
        <v/>
      </c>
      <c r="AL265" t="str" cm="1">
        <f t="array" ref="AL265">IFERROR(INDEX(tblTrades[sol_invested],ROW()-1),"")</f>
        <v/>
      </c>
      <c r="AM265" s="6" t="str" cm="1">
        <f t="array" ref="AM265">IFERROR(INDEX(tblAnalysis[P&amp;L SOL],ROW()-1),"")</f>
        <v/>
      </c>
      <c r="AN265" t="str" cm="1">
        <f t="array" ref="AN265">IFERROR(IF(INDEX(tblTrades[sol_invested],ROW()-1)&gt;0.5,INDEX(tblAnalysis[Token],ROW()-1)&amp;" ("&amp;TEXT(INDEX(tblTrades[sol_invested],ROW()-1),"0.0")&amp;" SOL)",""),"")</f>
        <v/>
      </c>
      <c r="AO265" s="7"/>
      <c r="AP265" s="12" t="str" cm="1">
        <f t="array" ref="AP265">IFERROR(INDEX(tblAnalysis[Entry MC ($)],ROW()-1),"")</f>
        <v/>
      </c>
      <c r="AQ265" s="10" t="str" cm="1">
        <f t="array" ref="AQ265">IFERROR(INDEX(tblAnalysis[P&amp;L %],ROW()-1),"")</f>
        <v/>
      </c>
      <c r="AR265" t="str" cm="1">
        <f t="array" ref="AR265">IFERROR(INDEX(tblAnalysis[Hold Time (s)],ROW()-1),"")</f>
        <v/>
      </c>
      <c r="AS265" s="6" t="str" cm="1">
        <f t="array" ref="AS265">IFERROR(INDEX(tblAnalysis[P&amp;L SOL],ROW()-1),"")</f>
        <v/>
      </c>
      <c r="AT265"/>
      <c r="AY265" s="10"/>
      <c r="AZ265" s="10"/>
      <c r="BA265" s="6"/>
      <c r="BB265"/>
      <c r="BF265" t="str">
        <f t="shared" si="89"/>
        <v/>
      </c>
      <c r="BG265" s="27" t="str">
        <f t="shared" si="90"/>
        <v/>
      </c>
      <c r="BH265" t="str">
        <f t="shared" si="91"/>
        <v/>
      </c>
      <c r="BL265" s="29" t="e">
        <f t="shared" si="78"/>
        <v>#N/A</v>
      </c>
      <c r="BM265" s="29" t="e">
        <f t="shared" si="79"/>
        <v>#N/A</v>
      </c>
    </row>
    <row r="266" spans="16:65" x14ac:dyDescent="0.35">
      <c r="P266" s="6"/>
      <c r="Q266" s="27"/>
      <c r="R266" s="6" t="str">
        <f>IF(Q266="","",SUMIFS(tblAnalysis[P&amp;L SOL],tblAnalysis[Date],Q266))</f>
        <v/>
      </c>
      <c r="S266" s="10" t="str">
        <f>IF(Q266="","",SUMIFS(tblAnalysis[P&amp;L %],tblAnalysis[Date],Q266))</f>
        <v/>
      </c>
      <c r="T266" s="6" t="str">
        <f>IF(Q266="","",IFERROR(SUM($R$2:R266),""))</f>
        <v/>
      </c>
      <c r="U266" t="str">
        <f>IF(Q266="","",COUNTIFS(tblAnalysis[Date],Q266))</f>
        <v/>
      </c>
      <c r="W266" s="27" t="str">
        <f t="shared" si="80"/>
        <v/>
      </c>
      <c r="X266" s="6" t="str">
        <f t="shared" si="81"/>
        <v/>
      </c>
      <c r="Y266" s="6" t="str">
        <f>IF(Q266="","",MAX(X266,_xlfn.MAXIFS(tblAnalysis[Cum P&amp;L SOL],tblAnalysis[Date],Q266)))</f>
        <v/>
      </c>
      <c r="Z266" s="6" t="str">
        <f>IF(Q266="","",MIN(X266,_xlfn.MINIFS(tblAnalysis[Cum P&amp;L SOL],tblAnalysis[Date],Q266)))</f>
        <v/>
      </c>
      <c r="AA266" s="6" t="str">
        <f t="shared" si="82"/>
        <v/>
      </c>
      <c r="AB266"/>
      <c r="AC266" s="27" t="str">
        <f t="shared" si="83"/>
        <v/>
      </c>
      <c r="AD266" s="10" t="str">
        <f t="shared" si="84"/>
        <v/>
      </c>
      <c r="AE266" s="10" t="str">
        <f t="shared" si="85"/>
        <v/>
      </c>
      <c r="AF266" s="10" t="str">
        <f t="shared" si="86"/>
        <v/>
      </c>
      <c r="AG266"/>
      <c r="AH266" t="str">
        <f t="shared" si="87"/>
        <v/>
      </c>
      <c r="AI266" t="str">
        <f t="shared" si="88"/>
        <v/>
      </c>
      <c r="AK266" t="str" cm="1">
        <f t="array" ref="AK266">IFERROR(IF(INDEX($A:$A,ROW())="","",INDEX($A:$A,ROW())),"")</f>
        <v/>
      </c>
      <c r="AL266" t="str" cm="1">
        <f t="array" ref="AL266">IFERROR(INDEX(tblTrades[sol_invested],ROW()-1),"")</f>
        <v/>
      </c>
      <c r="AM266" s="6" t="str" cm="1">
        <f t="array" ref="AM266">IFERROR(INDEX(tblAnalysis[P&amp;L SOL],ROW()-1),"")</f>
        <v/>
      </c>
      <c r="AN266" t="str" cm="1">
        <f t="array" ref="AN266">IFERROR(IF(INDEX(tblTrades[sol_invested],ROW()-1)&gt;0.5,INDEX(tblAnalysis[Token],ROW()-1)&amp;" ("&amp;TEXT(INDEX(tblTrades[sol_invested],ROW()-1),"0.0")&amp;" SOL)",""),"")</f>
        <v/>
      </c>
      <c r="AO266" s="7"/>
      <c r="AP266" s="12" t="str" cm="1">
        <f t="array" ref="AP266">IFERROR(INDEX(tblAnalysis[Entry MC ($)],ROW()-1),"")</f>
        <v/>
      </c>
      <c r="AQ266" s="10" t="str" cm="1">
        <f t="array" ref="AQ266">IFERROR(INDEX(tblAnalysis[P&amp;L %],ROW()-1),"")</f>
        <v/>
      </c>
      <c r="AR266" t="str" cm="1">
        <f t="array" ref="AR266">IFERROR(INDEX(tblAnalysis[Hold Time (s)],ROW()-1),"")</f>
        <v/>
      </c>
      <c r="AS266" s="6" t="str" cm="1">
        <f t="array" ref="AS266">IFERROR(INDEX(tblAnalysis[P&amp;L SOL],ROW()-1),"")</f>
        <v/>
      </c>
      <c r="AT266"/>
      <c r="AY266" s="10"/>
      <c r="AZ266" s="10"/>
      <c r="BA266" s="6"/>
      <c r="BB266"/>
      <c r="BF266" t="str">
        <f t="shared" si="89"/>
        <v/>
      </c>
      <c r="BG266" s="27" t="str">
        <f t="shared" si="90"/>
        <v/>
      </c>
      <c r="BH266" t="str">
        <f t="shared" si="91"/>
        <v/>
      </c>
      <c r="BL266" s="29" t="e">
        <f t="shared" si="78"/>
        <v>#N/A</v>
      </c>
      <c r="BM266" s="29" t="e">
        <f t="shared" si="79"/>
        <v>#N/A</v>
      </c>
    </row>
    <row r="267" spans="16:65" x14ac:dyDescent="0.35">
      <c r="P267" s="6"/>
      <c r="Q267" s="27"/>
      <c r="R267" s="6" t="str">
        <f>IF(Q267="","",SUMIFS(tblAnalysis[P&amp;L SOL],tblAnalysis[Date],Q267))</f>
        <v/>
      </c>
      <c r="S267" s="10" t="str">
        <f>IF(Q267="","",SUMIFS(tblAnalysis[P&amp;L %],tblAnalysis[Date],Q267))</f>
        <v/>
      </c>
      <c r="T267" s="6" t="str">
        <f>IF(Q267="","",IFERROR(SUM($R$2:R267),""))</f>
        <v/>
      </c>
      <c r="U267" t="str">
        <f>IF(Q267="","",COUNTIFS(tblAnalysis[Date],Q267))</f>
        <v/>
      </c>
      <c r="W267" s="27" t="str">
        <f t="shared" si="80"/>
        <v/>
      </c>
      <c r="X267" s="6" t="str">
        <f t="shared" si="81"/>
        <v/>
      </c>
      <c r="Y267" s="6" t="str">
        <f>IF(Q267="","",MAX(X267,_xlfn.MAXIFS(tblAnalysis[Cum P&amp;L SOL],tblAnalysis[Date],Q267)))</f>
        <v/>
      </c>
      <c r="Z267" s="6" t="str">
        <f>IF(Q267="","",MIN(X267,_xlfn.MINIFS(tblAnalysis[Cum P&amp;L SOL],tblAnalysis[Date],Q267)))</f>
        <v/>
      </c>
      <c r="AA267" s="6" t="str">
        <f t="shared" si="82"/>
        <v/>
      </c>
      <c r="AB267"/>
      <c r="AC267" s="27" t="str">
        <f t="shared" si="83"/>
        <v/>
      </c>
      <c r="AD267" s="10" t="str">
        <f t="shared" si="84"/>
        <v/>
      </c>
      <c r="AE267" s="10" t="str">
        <f t="shared" si="85"/>
        <v/>
      </c>
      <c r="AF267" s="10" t="str">
        <f t="shared" si="86"/>
        <v/>
      </c>
      <c r="AG267"/>
      <c r="AH267" t="str">
        <f t="shared" si="87"/>
        <v/>
      </c>
      <c r="AI267" t="str">
        <f t="shared" si="88"/>
        <v/>
      </c>
      <c r="AK267" t="str" cm="1">
        <f t="array" ref="AK267">IFERROR(IF(INDEX($A:$A,ROW())="","",INDEX($A:$A,ROW())),"")</f>
        <v/>
      </c>
      <c r="AL267" t="str" cm="1">
        <f t="array" ref="AL267">IFERROR(INDEX(tblTrades[sol_invested],ROW()-1),"")</f>
        <v/>
      </c>
      <c r="AM267" s="6" t="str" cm="1">
        <f t="array" ref="AM267">IFERROR(INDEX(tblAnalysis[P&amp;L SOL],ROW()-1),"")</f>
        <v/>
      </c>
      <c r="AN267" t="str" cm="1">
        <f t="array" ref="AN267">IFERROR(IF(INDEX(tblTrades[sol_invested],ROW()-1)&gt;0.5,INDEX(tblAnalysis[Token],ROW()-1)&amp;" ("&amp;TEXT(INDEX(tblTrades[sol_invested],ROW()-1),"0.0")&amp;" SOL)",""),"")</f>
        <v/>
      </c>
      <c r="AO267" s="7"/>
      <c r="AP267" s="12" t="str" cm="1">
        <f t="array" ref="AP267">IFERROR(INDEX(tblAnalysis[Entry MC ($)],ROW()-1),"")</f>
        <v/>
      </c>
      <c r="AQ267" s="10" t="str" cm="1">
        <f t="array" ref="AQ267">IFERROR(INDEX(tblAnalysis[P&amp;L %],ROW()-1),"")</f>
        <v/>
      </c>
      <c r="AR267" t="str" cm="1">
        <f t="array" ref="AR267">IFERROR(INDEX(tblAnalysis[Hold Time (s)],ROW()-1),"")</f>
        <v/>
      </c>
      <c r="AS267" s="6" t="str" cm="1">
        <f t="array" ref="AS267">IFERROR(INDEX(tblAnalysis[P&amp;L SOL],ROW()-1),"")</f>
        <v/>
      </c>
      <c r="AT267"/>
      <c r="AY267" s="10"/>
      <c r="AZ267" s="10"/>
      <c r="BA267" s="6"/>
      <c r="BB267"/>
      <c r="BF267" t="str">
        <f t="shared" si="89"/>
        <v/>
      </c>
      <c r="BG267" s="27" t="str">
        <f t="shared" si="90"/>
        <v/>
      </c>
      <c r="BH267" t="str">
        <f t="shared" si="91"/>
        <v/>
      </c>
      <c r="BL267" s="29" t="e">
        <f t="shared" si="78"/>
        <v>#N/A</v>
      </c>
      <c r="BM267" s="29" t="e">
        <f t="shared" si="79"/>
        <v>#N/A</v>
      </c>
    </row>
    <row r="268" spans="16:65" x14ac:dyDescent="0.35">
      <c r="P268" s="6"/>
      <c r="Q268" s="27"/>
      <c r="R268" s="6" t="str">
        <f>IF(Q268="","",SUMIFS(tblAnalysis[P&amp;L SOL],tblAnalysis[Date],Q268))</f>
        <v/>
      </c>
      <c r="S268" s="10" t="str">
        <f>IF(Q268="","",SUMIFS(tblAnalysis[P&amp;L %],tblAnalysis[Date],Q268))</f>
        <v/>
      </c>
      <c r="T268" s="6" t="str">
        <f>IF(Q268="","",IFERROR(SUM($R$2:R268),""))</f>
        <v/>
      </c>
      <c r="U268" t="str">
        <f>IF(Q268="","",COUNTIFS(tblAnalysis[Date],Q268))</f>
        <v/>
      </c>
      <c r="W268" s="27" t="str">
        <f t="shared" si="80"/>
        <v/>
      </c>
      <c r="X268" s="6" t="str">
        <f t="shared" si="81"/>
        <v/>
      </c>
      <c r="Y268" s="6" t="str">
        <f>IF(Q268="","",MAX(X268,_xlfn.MAXIFS(tblAnalysis[Cum P&amp;L SOL],tblAnalysis[Date],Q268)))</f>
        <v/>
      </c>
      <c r="Z268" s="6" t="str">
        <f>IF(Q268="","",MIN(X268,_xlfn.MINIFS(tblAnalysis[Cum P&amp;L SOL],tblAnalysis[Date],Q268)))</f>
        <v/>
      </c>
      <c r="AA268" s="6" t="str">
        <f t="shared" si="82"/>
        <v/>
      </c>
      <c r="AB268"/>
      <c r="AC268" s="27" t="str">
        <f t="shared" si="83"/>
        <v/>
      </c>
      <c r="AD268" s="10" t="str">
        <f t="shared" si="84"/>
        <v/>
      </c>
      <c r="AE268" s="10" t="str">
        <f t="shared" si="85"/>
        <v/>
      </c>
      <c r="AF268" s="10" t="str">
        <f t="shared" si="86"/>
        <v/>
      </c>
      <c r="AG268"/>
      <c r="AH268" t="str">
        <f t="shared" si="87"/>
        <v/>
      </c>
      <c r="AI268" t="str">
        <f t="shared" si="88"/>
        <v/>
      </c>
      <c r="AK268" t="str" cm="1">
        <f t="array" ref="AK268">IFERROR(IF(INDEX($A:$A,ROW())="","",INDEX($A:$A,ROW())),"")</f>
        <v/>
      </c>
      <c r="AL268" t="str" cm="1">
        <f t="array" ref="AL268">IFERROR(INDEX(tblTrades[sol_invested],ROW()-1),"")</f>
        <v/>
      </c>
      <c r="AM268" s="6" t="str" cm="1">
        <f t="array" ref="AM268">IFERROR(INDEX(tblAnalysis[P&amp;L SOL],ROW()-1),"")</f>
        <v/>
      </c>
      <c r="AN268" t="str" cm="1">
        <f t="array" ref="AN268">IFERROR(IF(INDEX(tblTrades[sol_invested],ROW()-1)&gt;0.5,INDEX(tblAnalysis[Token],ROW()-1)&amp;" ("&amp;TEXT(INDEX(tblTrades[sol_invested],ROW()-1),"0.0")&amp;" SOL)",""),"")</f>
        <v/>
      </c>
      <c r="AO268" s="7"/>
      <c r="AP268" s="12" t="str" cm="1">
        <f t="array" ref="AP268">IFERROR(INDEX(tblAnalysis[Entry MC ($)],ROW()-1),"")</f>
        <v/>
      </c>
      <c r="AQ268" s="10" t="str" cm="1">
        <f t="array" ref="AQ268">IFERROR(INDEX(tblAnalysis[P&amp;L %],ROW()-1),"")</f>
        <v/>
      </c>
      <c r="AR268" t="str" cm="1">
        <f t="array" ref="AR268">IFERROR(INDEX(tblAnalysis[Hold Time (s)],ROW()-1),"")</f>
        <v/>
      </c>
      <c r="AS268" s="6" t="str" cm="1">
        <f t="array" ref="AS268">IFERROR(INDEX(tblAnalysis[P&amp;L SOL],ROW()-1),"")</f>
        <v/>
      </c>
      <c r="AT268"/>
      <c r="AY268" s="10"/>
      <c r="AZ268" s="10"/>
      <c r="BA268" s="6"/>
      <c r="BB268"/>
      <c r="BF268" t="str">
        <f t="shared" si="89"/>
        <v/>
      </c>
      <c r="BG268" s="27" t="str">
        <f t="shared" si="90"/>
        <v/>
      </c>
      <c r="BH268" t="str">
        <f t="shared" si="91"/>
        <v/>
      </c>
      <c r="BL268" s="29" t="e">
        <f t="shared" si="78"/>
        <v>#N/A</v>
      </c>
      <c r="BM268" s="29" t="e">
        <f t="shared" si="79"/>
        <v>#N/A</v>
      </c>
    </row>
    <row r="269" spans="16:65" x14ac:dyDescent="0.35">
      <c r="P269" s="6"/>
      <c r="Q269" s="27"/>
      <c r="R269" s="6" t="str">
        <f>IF(Q269="","",SUMIFS(tblAnalysis[P&amp;L SOL],tblAnalysis[Date],Q269))</f>
        <v/>
      </c>
      <c r="S269" s="10" t="str">
        <f>IF(Q269="","",SUMIFS(tblAnalysis[P&amp;L %],tblAnalysis[Date],Q269))</f>
        <v/>
      </c>
      <c r="T269" s="6" t="str">
        <f>IF(Q269="","",IFERROR(SUM($R$2:R269),""))</f>
        <v/>
      </c>
      <c r="U269" t="str">
        <f>IF(Q269="","",COUNTIFS(tblAnalysis[Date],Q269))</f>
        <v/>
      </c>
      <c r="W269" s="27" t="str">
        <f t="shared" si="80"/>
        <v/>
      </c>
      <c r="X269" s="6" t="str">
        <f t="shared" si="81"/>
        <v/>
      </c>
      <c r="Y269" s="6" t="str">
        <f>IF(Q269="","",MAX(X269,_xlfn.MAXIFS(tblAnalysis[Cum P&amp;L SOL],tblAnalysis[Date],Q269)))</f>
        <v/>
      </c>
      <c r="Z269" s="6" t="str">
        <f>IF(Q269="","",MIN(X269,_xlfn.MINIFS(tblAnalysis[Cum P&amp;L SOL],tblAnalysis[Date],Q269)))</f>
        <v/>
      </c>
      <c r="AA269" s="6" t="str">
        <f t="shared" si="82"/>
        <v/>
      </c>
      <c r="AB269"/>
      <c r="AC269" s="27" t="str">
        <f t="shared" si="83"/>
        <v/>
      </c>
      <c r="AD269" s="10" t="str">
        <f t="shared" si="84"/>
        <v/>
      </c>
      <c r="AE269" s="10" t="str">
        <f t="shared" si="85"/>
        <v/>
      </c>
      <c r="AF269" s="10" t="str">
        <f t="shared" si="86"/>
        <v/>
      </c>
      <c r="AG269"/>
      <c r="AH269" t="str">
        <f t="shared" si="87"/>
        <v/>
      </c>
      <c r="AI269" t="str">
        <f t="shared" si="88"/>
        <v/>
      </c>
      <c r="AK269" t="str" cm="1">
        <f t="array" ref="AK269">IFERROR(IF(INDEX($A:$A,ROW())="","",INDEX($A:$A,ROW())),"")</f>
        <v/>
      </c>
      <c r="AL269" t="str" cm="1">
        <f t="array" ref="AL269">IFERROR(INDEX(tblTrades[sol_invested],ROW()-1),"")</f>
        <v/>
      </c>
      <c r="AM269" s="6" t="str" cm="1">
        <f t="array" ref="AM269">IFERROR(INDEX(tblAnalysis[P&amp;L SOL],ROW()-1),"")</f>
        <v/>
      </c>
      <c r="AN269" t="str" cm="1">
        <f t="array" ref="AN269">IFERROR(IF(INDEX(tblTrades[sol_invested],ROW()-1)&gt;0.5,INDEX(tblAnalysis[Token],ROW()-1)&amp;" ("&amp;TEXT(INDEX(tblTrades[sol_invested],ROW()-1),"0.0")&amp;" SOL)",""),"")</f>
        <v/>
      </c>
      <c r="AO269" s="7"/>
      <c r="AP269" s="12" t="str" cm="1">
        <f t="array" ref="AP269">IFERROR(INDEX(tblAnalysis[Entry MC ($)],ROW()-1),"")</f>
        <v/>
      </c>
      <c r="AQ269" s="10" t="str" cm="1">
        <f t="array" ref="AQ269">IFERROR(INDEX(tblAnalysis[P&amp;L %],ROW()-1),"")</f>
        <v/>
      </c>
      <c r="AR269" t="str" cm="1">
        <f t="array" ref="AR269">IFERROR(INDEX(tblAnalysis[Hold Time (s)],ROW()-1),"")</f>
        <v/>
      </c>
      <c r="AS269" s="6" t="str" cm="1">
        <f t="array" ref="AS269">IFERROR(INDEX(tblAnalysis[P&amp;L SOL],ROW()-1),"")</f>
        <v/>
      </c>
      <c r="AT269"/>
      <c r="AY269" s="10"/>
      <c r="AZ269" s="10"/>
      <c r="BA269" s="6"/>
      <c r="BB269"/>
      <c r="BF269" t="str">
        <f t="shared" si="89"/>
        <v/>
      </c>
      <c r="BG269" s="27" t="str">
        <f t="shared" si="90"/>
        <v/>
      </c>
      <c r="BH269" t="str">
        <f t="shared" si="91"/>
        <v/>
      </c>
      <c r="BL269" s="29" t="e">
        <f t="shared" si="78"/>
        <v>#N/A</v>
      </c>
      <c r="BM269" s="29" t="e">
        <f t="shared" si="79"/>
        <v>#N/A</v>
      </c>
    </row>
    <row r="270" spans="16:65" x14ac:dyDescent="0.35">
      <c r="P270" s="6"/>
      <c r="Q270" s="27"/>
      <c r="R270" s="6" t="str">
        <f>IF(Q270="","",SUMIFS(tblAnalysis[P&amp;L SOL],tblAnalysis[Date],Q270))</f>
        <v/>
      </c>
      <c r="S270" s="10" t="str">
        <f>IF(Q270="","",SUMIFS(tblAnalysis[P&amp;L %],tblAnalysis[Date],Q270))</f>
        <v/>
      </c>
      <c r="T270" s="6" t="str">
        <f>IF(Q270="","",IFERROR(SUM($R$2:R270),""))</f>
        <v/>
      </c>
      <c r="U270" t="str">
        <f>IF(Q270="","",COUNTIFS(tblAnalysis[Date],Q270))</f>
        <v/>
      </c>
      <c r="W270" s="27" t="str">
        <f t="shared" si="80"/>
        <v/>
      </c>
      <c r="X270" s="6" t="str">
        <f t="shared" si="81"/>
        <v/>
      </c>
      <c r="Y270" s="6" t="str">
        <f>IF(Q270="","",MAX(X270,_xlfn.MAXIFS(tblAnalysis[Cum P&amp;L SOL],tblAnalysis[Date],Q270)))</f>
        <v/>
      </c>
      <c r="Z270" s="6" t="str">
        <f>IF(Q270="","",MIN(X270,_xlfn.MINIFS(tblAnalysis[Cum P&amp;L SOL],tblAnalysis[Date],Q270)))</f>
        <v/>
      </c>
      <c r="AA270" s="6" t="str">
        <f t="shared" si="82"/>
        <v/>
      </c>
      <c r="AB270"/>
      <c r="AC270" s="27" t="str">
        <f t="shared" si="83"/>
        <v/>
      </c>
      <c r="AD270" s="10" t="str">
        <f t="shared" si="84"/>
        <v/>
      </c>
      <c r="AE270" s="10" t="str">
        <f t="shared" si="85"/>
        <v/>
      </c>
      <c r="AF270" s="10" t="str">
        <f t="shared" si="86"/>
        <v/>
      </c>
      <c r="AG270"/>
      <c r="AH270" t="str">
        <f t="shared" si="87"/>
        <v/>
      </c>
      <c r="AI270" t="str">
        <f t="shared" si="88"/>
        <v/>
      </c>
      <c r="AK270" t="str" cm="1">
        <f t="array" ref="AK270">IFERROR(IF(INDEX($A:$A,ROW())="","",INDEX($A:$A,ROW())),"")</f>
        <v/>
      </c>
      <c r="AL270" t="str" cm="1">
        <f t="array" ref="AL270">IFERROR(INDEX(tblTrades[sol_invested],ROW()-1),"")</f>
        <v/>
      </c>
      <c r="AM270" s="6" t="str" cm="1">
        <f t="array" ref="AM270">IFERROR(INDEX(tblAnalysis[P&amp;L SOL],ROW()-1),"")</f>
        <v/>
      </c>
      <c r="AN270" t="str" cm="1">
        <f t="array" ref="AN270">IFERROR(IF(INDEX(tblTrades[sol_invested],ROW()-1)&gt;0.5,INDEX(tblAnalysis[Token],ROW()-1)&amp;" ("&amp;TEXT(INDEX(tblTrades[sol_invested],ROW()-1),"0.0")&amp;" SOL)",""),"")</f>
        <v/>
      </c>
      <c r="AO270" s="7"/>
      <c r="AP270" s="12" t="str" cm="1">
        <f t="array" ref="AP270">IFERROR(INDEX(tblAnalysis[Entry MC ($)],ROW()-1),"")</f>
        <v/>
      </c>
      <c r="AQ270" s="10" t="str" cm="1">
        <f t="array" ref="AQ270">IFERROR(INDEX(tblAnalysis[P&amp;L %],ROW()-1),"")</f>
        <v/>
      </c>
      <c r="AR270" t="str" cm="1">
        <f t="array" ref="AR270">IFERROR(INDEX(tblAnalysis[Hold Time (s)],ROW()-1),"")</f>
        <v/>
      </c>
      <c r="AS270" s="6" t="str" cm="1">
        <f t="array" ref="AS270">IFERROR(INDEX(tblAnalysis[P&amp;L SOL],ROW()-1),"")</f>
        <v/>
      </c>
      <c r="AT270"/>
      <c r="AY270" s="10"/>
      <c r="AZ270" s="10"/>
      <c r="BA270" s="6"/>
      <c r="BB270"/>
      <c r="BF270" t="str">
        <f t="shared" si="89"/>
        <v/>
      </c>
      <c r="BG270" s="27" t="str">
        <f t="shared" si="90"/>
        <v/>
      </c>
      <c r="BH270" t="str">
        <f t="shared" si="91"/>
        <v/>
      </c>
      <c r="BL270" s="29" t="e">
        <f t="shared" si="78"/>
        <v>#N/A</v>
      </c>
      <c r="BM270" s="29" t="e">
        <f t="shared" si="79"/>
        <v>#N/A</v>
      </c>
    </row>
    <row r="271" spans="16:65" x14ac:dyDescent="0.35">
      <c r="P271" s="6"/>
      <c r="Q271" s="27"/>
      <c r="R271" s="6" t="str">
        <f>IF(Q271="","",SUMIFS(tblAnalysis[P&amp;L SOL],tblAnalysis[Date],Q271))</f>
        <v/>
      </c>
      <c r="S271" s="10" t="str">
        <f>IF(Q271="","",SUMIFS(tblAnalysis[P&amp;L %],tblAnalysis[Date],Q271))</f>
        <v/>
      </c>
      <c r="T271" s="6" t="str">
        <f>IF(Q271="","",IFERROR(SUM($R$2:R271),""))</f>
        <v/>
      </c>
      <c r="U271" t="str">
        <f>IF(Q271="","",COUNTIFS(tblAnalysis[Date],Q271))</f>
        <v/>
      </c>
      <c r="W271" s="27" t="str">
        <f t="shared" si="80"/>
        <v/>
      </c>
      <c r="X271" s="6" t="str">
        <f t="shared" si="81"/>
        <v/>
      </c>
      <c r="Y271" s="6" t="str">
        <f>IF(Q271="","",MAX(X271,_xlfn.MAXIFS(tblAnalysis[Cum P&amp;L SOL],tblAnalysis[Date],Q271)))</f>
        <v/>
      </c>
      <c r="Z271" s="6" t="str">
        <f>IF(Q271="","",MIN(X271,_xlfn.MINIFS(tblAnalysis[Cum P&amp;L SOL],tblAnalysis[Date],Q271)))</f>
        <v/>
      </c>
      <c r="AA271" s="6" t="str">
        <f t="shared" si="82"/>
        <v/>
      </c>
      <c r="AB271"/>
      <c r="AC271" s="27" t="str">
        <f t="shared" si="83"/>
        <v/>
      </c>
      <c r="AD271" s="10" t="str">
        <f t="shared" si="84"/>
        <v/>
      </c>
      <c r="AE271" s="10" t="str">
        <f t="shared" si="85"/>
        <v/>
      </c>
      <c r="AF271" s="10" t="str">
        <f t="shared" si="86"/>
        <v/>
      </c>
      <c r="AG271"/>
      <c r="AH271" t="str">
        <f t="shared" si="87"/>
        <v/>
      </c>
      <c r="AI271" t="str">
        <f t="shared" si="88"/>
        <v/>
      </c>
      <c r="AK271" t="str" cm="1">
        <f t="array" ref="AK271">IFERROR(IF(INDEX($A:$A,ROW())="","",INDEX($A:$A,ROW())),"")</f>
        <v/>
      </c>
      <c r="AL271" t="str" cm="1">
        <f t="array" ref="AL271">IFERROR(INDEX(tblTrades[sol_invested],ROW()-1),"")</f>
        <v/>
      </c>
      <c r="AM271" s="6" t="str" cm="1">
        <f t="array" ref="AM271">IFERROR(INDEX(tblAnalysis[P&amp;L SOL],ROW()-1),"")</f>
        <v/>
      </c>
      <c r="AN271" t="str" cm="1">
        <f t="array" ref="AN271">IFERROR(IF(INDEX(tblTrades[sol_invested],ROW()-1)&gt;0.5,INDEX(tblAnalysis[Token],ROW()-1)&amp;" ("&amp;TEXT(INDEX(tblTrades[sol_invested],ROW()-1),"0.0")&amp;" SOL)",""),"")</f>
        <v/>
      </c>
      <c r="AO271" s="7"/>
      <c r="AP271" s="12" t="str" cm="1">
        <f t="array" ref="AP271">IFERROR(INDEX(tblAnalysis[Entry MC ($)],ROW()-1),"")</f>
        <v/>
      </c>
      <c r="AQ271" s="10" t="str" cm="1">
        <f t="array" ref="AQ271">IFERROR(INDEX(tblAnalysis[P&amp;L %],ROW()-1),"")</f>
        <v/>
      </c>
      <c r="AR271" t="str" cm="1">
        <f t="array" ref="AR271">IFERROR(INDEX(tblAnalysis[Hold Time (s)],ROW()-1),"")</f>
        <v/>
      </c>
      <c r="AS271" s="6" t="str" cm="1">
        <f t="array" ref="AS271">IFERROR(INDEX(tblAnalysis[P&amp;L SOL],ROW()-1),"")</f>
        <v/>
      </c>
      <c r="AT271"/>
      <c r="AY271" s="10"/>
      <c r="AZ271" s="10"/>
      <c r="BA271" s="6"/>
      <c r="BB271"/>
      <c r="BF271" t="str">
        <f t="shared" si="89"/>
        <v/>
      </c>
      <c r="BG271" s="27" t="str">
        <f t="shared" si="90"/>
        <v/>
      </c>
      <c r="BH271" t="str">
        <f t="shared" si="91"/>
        <v/>
      </c>
      <c r="BL271" s="29" t="e">
        <f t="shared" si="78"/>
        <v>#N/A</v>
      </c>
      <c r="BM271" s="29" t="e">
        <f t="shared" si="79"/>
        <v>#N/A</v>
      </c>
    </row>
    <row r="272" spans="16:65" x14ac:dyDescent="0.35">
      <c r="P272" s="6"/>
      <c r="Q272" s="27"/>
      <c r="R272" s="6" t="str">
        <f>IF(Q272="","",SUMIFS(tblAnalysis[P&amp;L SOL],tblAnalysis[Date],Q272))</f>
        <v/>
      </c>
      <c r="S272" s="10" t="str">
        <f>IF(Q272="","",SUMIFS(tblAnalysis[P&amp;L %],tblAnalysis[Date],Q272))</f>
        <v/>
      </c>
      <c r="T272" s="6" t="str">
        <f>IF(Q272="","",IFERROR(SUM($R$2:R272),""))</f>
        <v/>
      </c>
      <c r="U272" t="str">
        <f>IF(Q272="","",COUNTIFS(tblAnalysis[Date],Q272))</f>
        <v/>
      </c>
      <c r="W272" s="27" t="str">
        <f t="shared" si="80"/>
        <v/>
      </c>
      <c r="X272" s="6" t="str">
        <f t="shared" si="81"/>
        <v/>
      </c>
      <c r="Y272" s="6" t="str">
        <f>IF(Q272="","",MAX(X272,_xlfn.MAXIFS(tblAnalysis[Cum P&amp;L SOL],tblAnalysis[Date],Q272)))</f>
        <v/>
      </c>
      <c r="Z272" s="6" t="str">
        <f>IF(Q272="","",MIN(X272,_xlfn.MINIFS(tblAnalysis[Cum P&amp;L SOL],tblAnalysis[Date],Q272)))</f>
        <v/>
      </c>
      <c r="AA272" s="6" t="str">
        <f t="shared" si="82"/>
        <v/>
      </c>
      <c r="AB272"/>
      <c r="AC272" s="27" t="str">
        <f t="shared" si="83"/>
        <v/>
      </c>
      <c r="AD272" s="10" t="str">
        <f t="shared" si="84"/>
        <v/>
      </c>
      <c r="AE272" s="10" t="str">
        <f t="shared" si="85"/>
        <v/>
      </c>
      <c r="AF272" s="10" t="str">
        <f t="shared" si="86"/>
        <v/>
      </c>
      <c r="AG272"/>
      <c r="AH272" t="str">
        <f t="shared" si="87"/>
        <v/>
      </c>
      <c r="AI272" t="str">
        <f t="shared" si="88"/>
        <v/>
      </c>
      <c r="AK272" t="str" cm="1">
        <f t="array" ref="AK272">IFERROR(IF(INDEX($A:$A,ROW())="","",INDEX($A:$A,ROW())),"")</f>
        <v/>
      </c>
      <c r="AL272" t="str" cm="1">
        <f t="array" ref="AL272">IFERROR(INDEX(tblTrades[sol_invested],ROW()-1),"")</f>
        <v/>
      </c>
      <c r="AM272" s="6" t="str" cm="1">
        <f t="array" ref="AM272">IFERROR(INDEX(tblAnalysis[P&amp;L SOL],ROW()-1),"")</f>
        <v/>
      </c>
      <c r="AN272" t="str" cm="1">
        <f t="array" ref="AN272">IFERROR(IF(INDEX(tblTrades[sol_invested],ROW()-1)&gt;0.5,INDEX(tblAnalysis[Token],ROW()-1)&amp;" ("&amp;TEXT(INDEX(tblTrades[sol_invested],ROW()-1),"0.0")&amp;" SOL)",""),"")</f>
        <v/>
      </c>
      <c r="AO272" s="7"/>
      <c r="AP272" s="12" t="str" cm="1">
        <f t="array" ref="AP272">IFERROR(INDEX(tblAnalysis[Entry MC ($)],ROW()-1),"")</f>
        <v/>
      </c>
      <c r="AQ272" s="10" t="str" cm="1">
        <f t="array" ref="AQ272">IFERROR(INDEX(tblAnalysis[P&amp;L %],ROW()-1),"")</f>
        <v/>
      </c>
      <c r="AR272" t="str" cm="1">
        <f t="array" ref="AR272">IFERROR(INDEX(tblAnalysis[Hold Time (s)],ROW()-1),"")</f>
        <v/>
      </c>
      <c r="AS272" s="6" t="str" cm="1">
        <f t="array" ref="AS272">IFERROR(INDEX(tblAnalysis[P&amp;L SOL],ROW()-1),"")</f>
        <v/>
      </c>
      <c r="AT272"/>
      <c r="AY272" s="10"/>
      <c r="AZ272" s="10"/>
      <c r="BA272" s="6"/>
      <c r="BB272"/>
      <c r="BF272" t="str">
        <f t="shared" si="89"/>
        <v/>
      </c>
      <c r="BG272" s="27" t="str">
        <f t="shared" si="90"/>
        <v/>
      </c>
      <c r="BH272" t="str">
        <f t="shared" si="91"/>
        <v/>
      </c>
      <c r="BL272" s="29" t="e">
        <f t="shared" si="78"/>
        <v>#N/A</v>
      </c>
      <c r="BM272" s="29" t="e">
        <f t="shared" si="79"/>
        <v>#N/A</v>
      </c>
    </row>
    <row r="273" spans="16:65" x14ac:dyDescent="0.35">
      <c r="P273" s="6"/>
      <c r="Q273" s="27"/>
      <c r="R273" s="6" t="str">
        <f>IF(Q273="","",SUMIFS(tblAnalysis[P&amp;L SOL],tblAnalysis[Date],Q273))</f>
        <v/>
      </c>
      <c r="S273" s="10" t="str">
        <f>IF(Q273="","",SUMIFS(tblAnalysis[P&amp;L %],tblAnalysis[Date],Q273))</f>
        <v/>
      </c>
      <c r="T273" s="6" t="str">
        <f>IF(Q273="","",IFERROR(SUM($R$2:R273),""))</f>
        <v/>
      </c>
      <c r="U273" t="str">
        <f>IF(Q273="","",COUNTIFS(tblAnalysis[Date],Q273))</f>
        <v/>
      </c>
      <c r="W273" s="27" t="str">
        <f t="shared" si="80"/>
        <v/>
      </c>
      <c r="X273" s="6" t="str">
        <f t="shared" si="81"/>
        <v/>
      </c>
      <c r="Y273" s="6" t="str">
        <f>IF(Q273="","",MAX(X273,_xlfn.MAXIFS(tblAnalysis[Cum P&amp;L SOL],tblAnalysis[Date],Q273)))</f>
        <v/>
      </c>
      <c r="Z273" s="6" t="str">
        <f>IF(Q273="","",MIN(X273,_xlfn.MINIFS(tblAnalysis[Cum P&amp;L SOL],tblAnalysis[Date],Q273)))</f>
        <v/>
      </c>
      <c r="AA273" s="6" t="str">
        <f t="shared" si="82"/>
        <v/>
      </c>
      <c r="AB273"/>
      <c r="AC273" s="27" t="str">
        <f t="shared" si="83"/>
        <v/>
      </c>
      <c r="AD273" s="10" t="str">
        <f t="shared" si="84"/>
        <v/>
      </c>
      <c r="AE273" s="10" t="str">
        <f t="shared" si="85"/>
        <v/>
      </c>
      <c r="AF273" s="10" t="str">
        <f t="shared" si="86"/>
        <v/>
      </c>
      <c r="AG273"/>
      <c r="AH273" t="str">
        <f t="shared" si="87"/>
        <v/>
      </c>
      <c r="AI273" t="str">
        <f t="shared" si="88"/>
        <v/>
      </c>
      <c r="AK273" t="str" cm="1">
        <f t="array" ref="AK273">IFERROR(IF(INDEX($A:$A,ROW())="","",INDEX($A:$A,ROW())),"")</f>
        <v/>
      </c>
      <c r="AL273" t="str" cm="1">
        <f t="array" ref="AL273">IFERROR(INDEX(tblTrades[sol_invested],ROW()-1),"")</f>
        <v/>
      </c>
      <c r="AM273" s="6" t="str" cm="1">
        <f t="array" ref="AM273">IFERROR(INDEX(tblAnalysis[P&amp;L SOL],ROW()-1),"")</f>
        <v/>
      </c>
      <c r="AN273" t="str" cm="1">
        <f t="array" ref="AN273">IFERROR(IF(INDEX(tblTrades[sol_invested],ROW()-1)&gt;0.5,INDEX(tblAnalysis[Token],ROW()-1)&amp;" ("&amp;TEXT(INDEX(tblTrades[sol_invested],ROW()-1),"0.0")&amp;" SOL)",""),"")</f>
        <v/>
      </c>
      <c r="AO273" s="7"/>
      <c r="AP273" s="12" t="str" cm="1">
        <f t="array" ref="AP273">IFERROR(INDEX(tblAnalysis[Entry MC ($)],ROW()-1),"")</f>
        <v/>
      </c>
      <c r="AQ273" s="10" t="str" cm="1">
        <f t="array" ref="AQ273">IFERROR(INDEX(tblAnalysis[P&amp;L %],ROW()-1),"")</f>
        <v/>
      </c>
      <c r="AR273" t="str" cm="1">
        <f t="array" ref="AR273">IFERROR(INDEX(tblAnalysis[Hold Time (s)],ROW()-1),"")</f>
        <v/>
      </c>
      <c r="AS273" s="6" t="str" cm="1">
        <f t="array" ref="AS273">IFERROR(INDEX(tblAnalysis[P&amp;L SOL],ROW()-1),"")</f>
        <v/>
      </c>
      <c r="AT273"/>
      <c r="AY273" s="10"/>
      <c r="AZ273" s="10"/>
      <c r="BA273" s="6"/>
      <c r="BB273"/>
      <c r="BF273" t="str">
        <f t="shared" si="89"/>
        <v/>
      </c>
      <c r="BG273" s="27" t="str">
        <f t="shared" si="90"/>
        <v/>
      </c>
      <c r="BH273" t="str">
        <f t="shared" si="91"/>
        <v/>
      </c>
      <c r="BL273" s="29" t="e">
        <f t="shared" si="78"/>
        <v>#N/A</v>
      </c>
      <c r="BM273" s="29" t="e">
        <f t="shared" si="79"/>
        <v>#N/A</v>
      </c>
    </row>
    <row r="274" spans="16:65" x14ac:dyDescent="0.35">
      <c r="P274" s="6"/>
      <c r="Q274" s="27"/>
      <c r="R274" s="6" t="str">
        <f>IF(Q274="","",SUMIFS(tblAnalysis[P&amp;L SOL],tblAnalysis[Date],Q274))</f>
        <v/>
      </c>
      <c r="S274" s="10" t="str">
        <f>IF(Q274="","",SUMIFS(tblAnalysis[P&amp;L %],tblAnalysis[Date],Q274))</f>
        <v/>
      </c>
      <c r="T274" s="6" t="str">
        <f>IF(Q274="","",IFERROR(SUM($R$2:R274),""))</f>
        <v/>
      </c>
      <c r="U274" t="str">
        <f>IF(Q274="","",COUNTIFS(tblAnalysis[Date],Q274))</f>
        <v/>
      </c>
      <c r="W274" s="27" t="str">
        <f t="shared" si="80"/>
        <v/>
      </c>
      <c r="X274" s="6" t="str">
        <f t="shared" si="81"/>
        <v/>
      </c>
      <c r="Y274" s="6" t="str">
        <f>IF(Q274="","",MAX(X274,_xlfn.MAXIFS(tblAnalysis[Cum P&amp;L SOL],tblAnalysis[Date],Q274)))</f>
        <v/>
      </c>
      <c r="Z274" s="6" t="str">
        <f>IF(Q274="","",MIN(X274,_xlfn.MINIFS(tblAnalysis[Cum P&amp;L SOL],tblAnalysis[Date],Q274)))</f>
        <v/>
      </c>
      <c r="AA274" s="6" t="str">
        <f t="shared" si="82"/>
        <v/>
      </c>
      <c r="AB274"/>
      <c r="AC274" s="27" t="str">
        <f t="shared" si="83"/>
        <v/>
      </c>
      <c r="AD274" s="10" t="str">
        <f t="shared" si="84"/>
        <v/>
      </c>
      <c r="AE274" s="10" t="str">
        <f t="shared" si="85"/>
        <v/>
      </c>
      <c r="AF274" s="10" t="str">
        <f t="shared" si="86"/>
        <v/>
      </c>
      <c r="AG274"/>
      <c r="AH274" t="str">
        <f t="shared" si="87"/>
        <v/>
      </c>
      <c r="AI274" t="str">
        <f t="shared" si="88"/>
        <v/>
      </c>
      <c r="AK274" t="str" cm="1">
        <f t="array" ref="AK274">IFERROR(IF(INDEX($A:$A,ROW())="","",INDEX($A:$A,ROW())),"")</f>
        <v/>
      </c>
      <c r="AL274" t="str" cm="1">
        <f t="array" ref="AL274">IFERROR(INDEX(tblTrades[sol_invested],ROW()-1),"")</f>
        <v/>
      </c>
      <c r="AM274" s="6" t="str" cm="1">
        <f t="array" ref="AM274">IFERROR(INDEX(tblAnalysis[P&amp;L SOL],ROW()-1),"")</f>
        <v/>
      </c>
      <c r="AN274" t="str" cm="1">
        <f t="array" ref="AN274">IFERROR(IF(INDEX(tblTrades[sol_invested],ROW()-1)&gt;0.5,INDEX(tblAnalysis[Token],ROW()-1)&amp;" ("&amp;TEXT(INDEX(tblTrades[sol_invested],ROW()-1),"0.0")&amp;" SOL)",""),"")</f>
        <v/>
      </c>
      <c r="AO274" s="7"/>
      <c r="AP274" s="12" t="str" cm="1">
        <f t="array" ref="AP274">IFERROR(INDEX(tblAnalysis[Entry MC ($)],ROW()-1),"")</f>
        <v/>
      </c>
      <c r="AQ274" s="10" t="str" cm="1">
        <f t="array" ref="AQ274">IFERROR(INDEX(tblAnalysis[P&amp;L %],ROW()-1),"")</f>
        <v/>
      </c>
      <c r="AR274" t="str" cm="1">
        <f t="array" ref="AR274">IFERROR(INDEX(tblAnalysis[Hold Time (s)],ROW()-1),"")</f>
        <v/>
      </c>
      <c r="AS274" s="6" t="str" cm="1">
        <f t="array" ref="AS274">IFERROR(INDEX(tblAnalysis[P&amp;L SOL],ROW()-1),"")</f>
        <v/>
      </c>
      <c r="AT274"/>
      <c r="AY274" s="10"/>
      <c r="AZ274" s="10"/>
      <c r="BA274" s="6"/>
      <c r="BB274"/>
      <c r="BF274" t="str">
        <f t="shared" si="89"/>
        <v/>
      </c>
      <c r="BG274" s="27" t="str">
        <f t="shared" si="90"/>
        <v/>
      </c>
      <c r="BH274" t="str">
        <f t="shared" si="91"/>
        <v/>
      </c>
      <c r="BL274" s="29" t="e">
        <f t="shared" si="78"/>
        <v>#N/A</v>
      </c>
      <c r="BM274" s="29" t="e">
        <f t="shared" si="79"/>
        <v>#N/A</v>
      </c>
    </row>
    <row r="275" spans="16:65" x14ac:dyDescent="0.35">
      <c r="P275" s="6"/>
      <c r="Q275" s="27"/>
      <c r="R275" s="6" t="str">
        <f>IF(Q275="","",SUMIFS(tblAnalysis[P&amp;L SOL],tblAnalysis[Date],Q275))</f>
        <v/>
      </c>
      <c r="S275" s="10" t="str">
        <f>IF(Q275="","",SUMIFS(tblAnalysis[P&amp;L %],tblAnalysis[Date],Q275))</f>
        <v/>
      </c>
      <c r="T275" s="6" t="str">
        <f>IF(Q275="","",IFERROR(SUM($R$2:R275),""))</f>
        <v/>
      </c>
      <c r="U275" t="str">
        <f>IF(Q275="","",COUNTIFS(tblAnalysis[Date],Q275))</f>
        <v/>
      </c>
      <c r="W275" s="27" t="str">
        <f t="shared" si="80"/>
        <v/>
      </c>
      <c r="X275" s="6" t="str">
        <f t="shared" si="81"/>
        <v/>
      </c>
      <c r="Y275" s="6" t="str">
        <f>IF(Q275="","",MAX(X275,_xlfn.MAXIFS(tblAnalysis[Cum P&amp;L SOL],tblAnalysis[Date],Q275)))</f>
        <v/>
      </c>
      <c r="Z275" s="6" t="str">
        <f>IF(Q275="","",MIN(X275,_xlfn.MINIFS(tblAnalysis[Cum P&amp;L SOL],tblAnalysis[Date],Q275)))</f>
        <v/>
      </c>
      <c r="AA275" s="6" t="str">
        <f t="shared" si="82"/>
        <v/>
      </c>
      <c r="AB275"/>
      <c r="AC275" s="27" t="str">
        <f t="shared" si="83"/>
        <v/>
      </c>
      <c r="AD275" s="10" t="str">
        <f t="shared" si="84"/>
        <v/>
      </c>
      <c r="AE275" s="10" t="str">
        <f t="shared" si="85"/>
        <v/>
      </c>
      <c r="AF275" s="10" t="str">
        <f t="shared" si="86"/>
        <v/>
      </c>
      <c r="AG275"/>
      <c r="AH275" t="str">
        <f t="shared" si="87"/>
        <v/>
      </c>
      <c r="AI275" t="str">
        <f t="shared" si="88"/>
        <v/>
      </c>
      <c r="AK275" t="str" cm="1">
        <f t="array" ref="AK275">IFERROR(IF(INDEX($A:$A,ROW())="","",INDEX($A:$A,ROW())),"")</f>
        <v/>
      </c>
      <c r="AL275" t="str" cm="1">
        <f t="array" ref="AL275">IFERROR(INDEX(tblTrades[sol_invested],ROW()-1),"")</f>
        <v/>
      </c>
      <c r="AM275" s="6" t="str" cm="1">
        <f t="array" ref="AM275">IFERROR(INDEX(tblAnalysis[P&amp;L SOL],ROW()-1),"")</f>
        <v/>
      </c>
      <c r="AN275" t="str" cm="1">
        <f t="array" ref="AN275">IFERROR(IF(INDEX(tblTrades[sol_invested],ROW()-1)&gt;0.5,INDEX(tblAnalysis[Token],ROW()-1)&amp;" ("&amp;TEXT(INDEX(tblTrades[sol_invested],ROW()-1),"0.0")&amp;" SOL)",""),"")</f>
        <v/>
      </c>
      <c r="AO275" s="7"/>
      <c r="AP275" s="12" t="str" cm="1">
        <f t="array" ref="AP275">IFERROR(INDEX(tblAnalysis[Entry MC ($)],ROW()-1),"")</f>
        <v/>
      </c>
      <c r="AQ275" s="10" t="str" cm="1">
        <f t="array" ref="AQ275">IFERROR(INDEX(tblAnalysis[P&amp;L %],ROW()-1),"")</f>
        <v/>
      </c>
      <c r="AR275" t="str" cm="1">
        <f t="array" ref="AR275">IFERROR(INDEX(tblAnalysis[Hold Time (s)],ROW()-1),"")</f>
        <v/>
      </c>
      <c r="AS275" s="6" t="str" cm="1">
        <f t="array" ref="AS275">IFERROR(INDEX(tblAnalysis[P&amp;L SOL],ROW()-1),"")</f>
        <v/>
      </c>
      <c r="AT275"/>
      <c r="AY275" s="10"/>
      <c r="AZ275" s="10"/>
      <c r="BA275" s="6"/>
      <c r="BB275"/>
      <c r="BF275" t="str">
        <f t="shared" si="89"/>
        <v/>
      </c>
      <c r="BG275" s="27" t="str">
        <f t="shared" si="90"/>
        <v/>
      </c>
      <c r="BH275" t="str">
        <f t="shared" si="91"/>
        <v/>
      </c>
      <c r="BL275" s="29" t="e">
        <f t="shared" si="78"/>
        <v>#N/A</v>
      </c>
      <c r="BM275" s="29" t="e">
        <f t="shared" si="79"/>
        <v>#N/A</v>
      </c>
    </row>
    <row r="276" spans="16:65" x14ac:dyDescent="0.35">
      <c r="P276" s="6"/>
      <c r="Q276" s="27"/>
      <c r="R276" s="6" t="str">
        <f>IF(Q276="","",SUMIFS(tblAnalysis[P&amp;L SOL],tblAnalysis[Date],Q276))</f>
        <v/>
      </c>
      <c r="S276" s="10" t="str">
        <f>IF(Q276="","",SUMIFS(tblAnalysis[P&amp;L %],tblAnalysis[Date],Q276))</f>
        <v/>
      </c>
      <c r="T276" s="6" t="str">
        <f>IF(Q276="","",IFERROR(SUM($R$2:R276),""))</f>
        <v/>
      </c>
      <c r="U276" t="str">
        <f>IF(Q276="","",COUNTIFS(tblAnalysis[Date],Q276))</f>
        <v/>
      </c>
      <c r="W276" s="27" t="str">
        <f t="shared" si="80"/>
        <v/>
      </c>
      <c r="X276" s="6" t="str">
        <f t="shared" si="81"/>
        <v/>
      </c>
      <c r="Y276" s="6" t="str">
        <f>IF(Q276="","",MAX(X276,_xlfn.MAXIFS(tblAnalysis[Cum P&amp;L SOL],tblAnalysis[Date],Q276)))</f>
        <v/>
      </c>
      <c r="Z276" s="6" t="str">
        <f>IF(Q276="","",MIN(X276,_xlfn.MINIFS(tblAnalysis[Cum P&amp;L SOL],tblAnalysis[Date],Q276)))</f>
        <v/>
      </c>
      <c r="AA276" s="6" t="str">
        <f t="shared" si="82"/>
        <v/>
      </c>
      <c r="AB276"/>
      <c r="AC276" s="27" t="str">
        <f t="shared" si="83"/>
        <v/>
      </c>
      <c r="AD276" s="10" t="str">
        <f t="shared" si="84"/>
        <v/>
      </c>
      <c r="AE276" s="10" t="str">
        <f t="shared" si="85"/>
        <v/>
      </c>
      <c r="AF276" s="10" t="str">
        <f t="shared" si="86"/>
        <v/>
      </c>
      <c r="AG276"/>
      <c r="AH276" t="str">
        <f t="shared" si="87"/>
        <v/>
      </c>
      <c r="AI276" t="str">
        <f t="shared" si="88"/>
        <v/>
      </c>
      <c r="AK276" t="str" cm="1">
        <f t="array" ref="AK276">IFERROR(IF(INDEX($A:$A,ROW())="","",INDEX($A:$A,ROW())),"")</f>
        <v/>
      </c>
      <c r="AL276" t="str" cm="1">
        <f t="array" ref="AL276">IFERROR(INDEX(tblTrades[sol_invested],ROW()-1),"")</f>
        <v/>
      </c>
      <c r="AM276" s="6" t="str" cm="1">
        <f t="array" ref="AM276">IFERROR(INDEX(tblAnalysis[P&amp;L SOL],ROW()-1),"")</f>
        <v/>
      </c>
      <c r="AN276" t="str" cm="1">
        <f t="array" ref="AN276">IFERROR(IF(INDEX(tblTrades[sol_invested],ROW()-1)&gt;0.5,INDEX(tblAnalysis[Token],ROW()-1)&amp;" ("&amp;TEXT(INDEX(tblTrades[sol_invested],ROW()-1),"0.0")&amp;" SOL)",""),"")</f>
        <v/>
      </c>
      <c r="AO276" s="7"/>
      <c r="AP276" s="12" t="str" cm="1">
        <f t="array" ref="AP276">IFERROR(INDEX(tblAnalysis[Entry MC ($)],ROW()-1),"")</f>
        <v/>
      </c>
      <c r="AQ276" s="10" t="str" cm="1">
        <f t="array" ref="AQ276">IFERROR(INDEX(tblAnalysis[P&amp;L %],ROW()-1),"")</f>
        <v/>
      </c>
      <c r="AR276" t="str" cm="1">
        <f t="array" ref="AR276">IFERROR(INDEX(tblAnalysis[Hold Time (s)],ROW()-1),"")</f>
        <v/>
      </c>
      <c r="AS276" s="6" t="str" cm="1">
        <f t="array" ref="AS276">IFERROR(INDEX(tblAnalysis[P&amp;L SOL],ROW()-1),"")</f>
        <v/>
      </c>
      <c r="AT276"/>
      <c r="AY276" s="10"/>
      <c r="AZ276" s="10"/>
      <c r="BA276" s="6"/>
      <c r="BB276"/>
      <c r="BF276" t="str">
        <f t="shared" si="89"/>
        <v/>
      </c>
      <c r="BG276" s="27" t="str">
        <f t="shared" si="90"/>
        <v/>
      </c>
      <c r="BH276" t="str">
        <f t="shared" si="91"/>
        <v/>
      </c>
      <c r="BL276" s="29" t="e">
        <f t="shared" si="78"/>
        <v>#N/A</v>
      </c>
      <c r="BM276" s="29" t="e">
        <f t="shared" si="79"/>
        <v>#N/A</v>
      </c>
    </row>
    <row r="277" spans="16:65" x14ac:dyDescent="0.35">
      <c r="P277" s="6"/>
      <c r="Q277" s="27"/>
      <c r="R277" s="6" t="str">
        <f>IF(Q277="","",SUMIFS(tblAnalysis[P&amp;L SOL],tblAnalysis[Date],Q277))</f>
        <v/>
      </c>
      <c r="S277" s="10" t="str">
        <f>IF(Q277="","",SUMIFS(tblAnalysis[P&amp;L %],tblAnalysis[Date],Q277))</f>
        <v/>
      </c>
      <c r="T277" s="6" t="str">
        <f>IF(Q277="","",IFERROR(SUM($R$2:R277),""))</f>
        <v/>
      </c>
      <c r="U277" t="str">
        <f>IF(Q277="","",COUNTIFS(tblAnalysis[Date],Q277))</f>
        <v/>
      </c>
      <c r="W277" s="27" t="str">
        <f t="shared" si="80"/>
        <v/>
      </c>
      <c r="X277" s="6" t="str">
        <f t="shared" si="81"/>
        <v/>
      </c>
      <c r="Y277" s="6" t="str">
        <f>IF(Q277="","",MAX(X277,_xlfn.MAXIFS(tblAnalysis[Cum P&amp;L SOL],tblAnalysis[Date],Q277)))</f>
        <v/>
      </c>
      <c r="Z277" s="6" t="str">
        <f>IF(Q277="","",MIN(X277,_xlfn.MINIFS(tblAnalysis[Cum P&amp;L SOL],tblAnalysis[Date],Q277)))</f>
        <v/>
      </c>
      <c r="AA277" s="6" t="str">
        <f t="shared" si="82"/>
        <v/>
      </c>
      <c r="AB277"/>
      <c r="AC277" s="27" t="str">
        <f t="shared" si="83"/>
        <v/>
      </c>
      <c r="AD277" s="10" t="str">
        <f t="shared" si="84"/>
        <v/>
      </c>
      <c r="AE277" s="10" t="str">
        <f t="shared" si="85"/>
        <v/>
      </c>
      <c r="AF277" s="10" t="str">
        <f t="shared" si="86"/>
        <v/>
      </c>
      <c r="AG277"/>
      <c r="AH277" t="str">
        <f t="shared" si="87"/>
        <v/>
      </c>
      <c r="AI277" t="str">
        <f t="shared" si="88"/>
        <v/>
      </c>
      <c r="AK277" t="str" cm="1">
        <f t="array" ref="AK277">IFERROR(IF(INDEX($A:$A,ROW())="","",INDEX($A:$A,ROW())),"")</f>
        <v/>
      </c>
      <c r="AL277" t="str" cm="1">
        <f t="array" ref="AL277">IFERROR(INDEX(tblTrades[sol_invested],ROW()-1),"")</f>
        <v/>
      </c>
      <c r="AM277" s="6" t="str" cm="1">
        <f t="array" ref="AM277">IFERROR(INDEX(tblAnalysis[P&amp;L SOL],ROW()-1),"")</f>
        <v/>
      </c>
      <c r="AN277" t="str" cm="1">
        <f t="array" ref="AN277">IFERROR(IF(INDEX(tblTrades[sol_invested],ROW()-1)&gt;0.5,INDEX(tblAnalysis[Token],ROW()-1)&amp;" ("&amp;TEXT(INDEX(tblTrades[sol_invested],ROW()-1),"0.0")&amp;" SOL)",""),"")</f>
        <v/>
      </c>
      <c r="AO277" s="7"/>
      <c r="AP277" s="12" t="str" cm="1">
        <f t="array" ref="AP277">IFERROR(INDEX(tblAnalysis[Entry MC ($)],ROW()-1),"")</f>
        <v/>
      </c>
      <c r="AQ277" s="10" t="str" cm="1">
        <f t="array" ref="AQ277">IFERROR(INDEX(tblAnalysis[P&amp;L %],ROW()-1),"")</f>
        <v/>
      </c>
      <c r="AR277" t="str" cm="1">
        <f t="array" ref="AR277">IFERROR(INDEX(tblAnalysis[Hold Time (s)],ROW()-1),"")</f>
        <v/>
      </c>
      <c r="AS277" s="6" t="str" cm="1">
        <f t="array" ref="AS277">IFERROR(INDEX(tblAnalysis[P&amp;L SOL],ROW()-1),"")</f>
        <v/>
      </c>
      <c r="AT277"/>
      <c r="AY277" s="10"/>
      <c r="AZ277" s="10"/>
      <c r="BA277" s="6"/>
      <c r="BB277"/>
      <c r="BF277" t="str">
        <f t="shared" si="89"/>
        <v/>
      </c>
      <c r="BG277" s="27" t="str">
        <f t="shared" si="90"/>
        <v/>
      </c>
      <c r="BH277" t="str">
        <f t="shared" si="91"/>
        <v/>
      </c>
      <c r="BL277" s="29" t="e">
        <f t="shared" si="78"/>
        <v>#N/A</v>
      </c>
      <c r="BM277" s="29" t="e">
        <f t="shared" si="79"/>
        <v>#N/A</v>
      </c>
    </row>
    <row r="278" spans="16:65" x14ac:dyDescent="0.35">
      <c r="P278" s="6"/>
      <c r="Q278" s="27"/>
      <c r="R278" s="6" t="str">
        <f>IF(Q278="","",SUMIFS(tblAnalysis[P&amp;L SOL],tblAnalysis[Date],Q278))</f>
        <v/>
      </c>
      <c r="S278" s="10" t="str">
        <f>IF(Q278="","",SUMIFS(tblAnalysis[P&amp;L %],tblAnalysis[Date],Q278))</f>
        <v/>
      </c>
      <c r="T278" s="6" t="str">
        <f>IF(Q278="","",IFERROR(SUM($R$2:R278),""))</f>
        <v/>
      </c>
      <c r="U278" t="str">
        <f>IF(Q278="","",COUNTIFS(tblAnalysis[Date],Q278))</f>
        <v/>
      </c>
      <c r="W278" s="27" t="str">
        <f t="shared" si="80"/>
        <v/>
      </c>
      <c r="X278" s="6" t="str">
        <f t="shared" si="81"/>
        <v/>
      </c>
      <c r="Y278" s="6" t="str">
        <f>IF(Q278="","",MAX(X278,_xlfn.MAXIFS(tblAnalysis[Cum P&amp;L SOL],tblAnalysis[Date],Q278)))</f>
        <v/>
      </c>
      <c r="Z278" s="6" t="str">
        <f>IF(Q278="","",MIN(X278,_xlfn.MINIFS(tblAnalysis[Cum P&amp;L SOL],tblAnalysis[Date],Q278)))</f>
        <v/>
      </c>
      <c r="AA278" s="6" t="str">
        <f t="shared" si="82"/>
        <v/>
      </c>
      <c r="AB278"/>
      <c r="AC278" s="27" t="str">
        <f t="shared" si="83"/>
        <v/>
      </c>
      <c r="AD278" s="10" t="str">
        <f t="shared" si="84"/>
        <v/>
      </c>
      <c r="AE278" s="10" t="str">
        <f t="shared" si="85"/>
        <v/>
      </c>
      <c r="AF278" s="10" t="str">
        <f t="shared" si="86"/>
        <v/>
      </c>
      <c r="AG278"/>
      <c r="AH278" t="str">
        <f t="shared" si="87"/>
        <v/>
      </c>
      <c r="AI278" t="str">
        <f t="shared" si="88"/>
        <v/>
      </c>
      <c r="AK278" t="str" cm="1">
        <f t="array" ref="AK278">IFERROR(IF(INDEX($A:$A,ROW())="","",INDEX($A:$A,ROW())),"")</f>
        <v/>
      </c>
      <c r="AL278" t="str" cm="1">
        <f t="array" ref="AL278">IFERROR(INDEX(tblTrades[sol_invested],ROW()-1),"")</f>
        <v/>
      </c>
      <c r="AM278" s="6" t="str" cm="1">
        <f t="array" ref="AM278">IFERROR(INDEX(tblAnalysis[P&amp;L SOL],ROW()-1),"")</f>
        <v/>
      </c>
      <c r="AN278" t="str" cm="1">
        <f t="array" ref="AN278">IFERROR(IF(INDEX(tblTrades[sol_invested],ROW()-1)&gt;0.5,INDEX(tblAnalysis[Token],ROW()-1)&amp;" ("&amp;TEXT(INDEX(tblTrades[sol_invested],ROW()-1),"0.0")&amp;" SOL)",""),"")</f>
        <v/>
      </c>
      <c r="AO278" s="7"/>
      <c r="AP278" s="12" t="str" cm="1">
        <f t="array" ref="AP278">IFERROR(INDEX(tblAnalysis[Entry MC ($)],ROW()-1),"")</f>
        <v/>
      </c>
      <c r="AQ278" s="10" t="str" cm="1">
        <f t="array" ref="AQ278">IFERROR(INDEX(tblAnalysis[P&amp;L %],ROW()-1),"")</f>
        <v/>
      </c>
      <c r="AR278" t="str" cm="1">
        <f t="array" ref="AR278">IFERROR(INDEX(tblAnalysis[Hold Time (s)],ROW()-1),"")</f>
        <v/>
      </c>
      <c r="AS278" s="6" t="str" cm="1">
        <f t="array" ref="AS278">IFERROR(INDEX(tblAnalysis[P&amp;L SOL],ROW()-1),"")</f>
        <v/>
      </c>
      <c r="AT278"/>
      <c r="AY278" s="10"/>
      <c r="AZ278" s="10"/>
      <c r="BA278" s="6"/>
      <c r="BB278"/>
      <c r="BF278" t="str">
        <f t="shared" si="89"/>
        <v/>
      </c>
      <c r="BG278" s="27" t="str">
        <f t="shared" si="90"/>
        <v/>
      </c>
      <c r="BH278" t="str">
        <f t="shared" si="91"/>
        <v/>
      </c>
      <c r="BL278" s="29" t="e">
        <f t="shared" si="78"/>
        <v>#N/A</v>
      </c>
      <c r="BM278" s="29" t="e">
        <f t="shared" si="79"/>
        <v>#N/A</v>
      </c>
    </row>
    <row r="279" spans="16:65" x14ac:dyDescent="0.35">
      <c r="P279" s="6"/>
      <c r="Q279" s="27"/>
      <c r="R279" s="6" t="str">
        <f>IF(Q279="","",SUMIFS(tblAnalysis[P&amp;L SOL],tblAnalysis[Date],Q279))</f>
        <v/>
      </c>
      <c r="S279" s="10" t="str">
        <f>IF(Q279="","",SUMIFS(tblAnalysis[P&amp;L %],tblAnalysis[Date],Q279))</f>
        <v/>
      </c>
      <c r="T279" s="6" t="str">
        <f>IF(Q279="","",IFERROR(SUM($R$2:R279),""))</f>
        <v/>
      </c>
      <c r="U279" t="str">
        <f>IF(Q279="","",COUNTIFS(tblAnalysis[Date],Q279))</f>
        <v/>
      </c>
      <c r="W279" s="27" t="str">
        <f t="shared" si="80"/>
        <v/>
      </c>
      <c r="X279" s="6" t="str">
        <f t="shared" si="81"/>
        <v/>
      </c>
      <c r="Y279" s="6" t="str">
        <f>IF(Q279="","",MAX(X279,_xlfn.MAXIFS(tblAnalysis[Cum P&amp;L SOL],tblAnalysis[Date],Q279)))</f>
        <v/>
      </c>
      <c r="Z279" s="6" t="str">
        <f>IF(Q279="","",MIN(X279,_xlfn.MINIFS(tblAnalysis[Cum P&amp;L SOL],tblAnalysis[Date],Q279)))</f>
        <v/>
      </c>
      <c r="AA279" s="6" t="str">
        <f t="shared" si="82"/>
        <v/>
      </c>
      <c r="AB279"/>
      <c r="AC279" s="27" t="str">
        <f t="shared" si="83"/>
        <v/>
      </c>
      <c r="AD279" s="10" t="str">
        <f t="shared" si="84"/>
        <v/>
      </c>
      <c r="AE279" s="10" t="str">
        <f t="shared" si="85"/>
        <v/>
      </c>
      <c r="AF279" s="10" t="str">
        <f t="shared" si="86"/>
        <v/>
      </c>
      <c r="AG279"/>
      <c r="AH279" t="str">
        <f t="shared" si="87"/>
        <v/>
      </c>
      <c r="AI279" t="str">
        <f t="shared" si="88"/>
        <v/>
      </c>
      <c r="AK279" t="str" cm="1">
        <f t="array" ref="AK279">IFERROR(IF(INDEX($A:$A,ROW())="","",INDEX($A:$A,ROW())),"")</f>
        <v/>
      </c>
      <c r="AL279" t="str" cm="1">
        <f t="array" ref="AL279">IFERROR(INDEX(tblTrades[sol_invested],ROW()-1),"")</f>
        <v/>
      </c>
      <c r="AM279" s="6" t="str" cm="1">
        <f t="array" ref="AM279">IFERROR(INDEX(tblAnalysis[P&amp;L SOL],ROW()-1),"")</f>
        <v/>
      </c>
      <c r="AN279" t="str" cm="1">
        <f t="array" ref="AN279">IFERROR(IF(INDEX(tblTrades[sol_invested],ROW()-1)&gt;0.5,INDEX(tblAnalysis[Token],ROW()-1)&amp;" ("&amp;TEXT(INDEX(tblTrades[sol_invested],ROW()-1),"0.0")&amp;" SOL)",""),"")</f>
        <v/>
      </c>
      <c r="AO279" s="7"/>
      <c r="AP279" s="12" t="str" cm="1">
        <f t="array" ref="AP279">IFERROR(INDEX(tblAnalysis[Entry MC ($)],ROW()-1),"")</f>
        <v/>
      </c>
      <c r="AQ279" s="10" t="str" cm="1">
        <f t="array" ref="AQ279">IFERROR(INDEX(tblAnalysis[P&amp;L %],ROW()-1),"")</f>
        <v/>
      </c>
      <c r="AR279" t="str" cm="1">
        <f t="array" ref="AR279">IFERROR(INDEX(tblAnalysis[Hold Time (s)],ROW()-1),"")</f>
        <v/>
      </c>
      <c r="AS279" s="6" t="str" cm="1">
        <f t="array" ref="AS279">IFERROR(INDEX(tblAnalysis[P&amp;L SOL],ROW()-1),"")</f>
        <v/>
      </c>
      <c r="AT279"/>
      <c r="AY279" s="10"/>
      <c r="AZ279" s="10"/>
      <c r="BA279" s="6"/>
      <c r="BB279"/>
      <c r="BF279" t="str">
        <f t="shared" si="89"/>
        <v/>
      </c>
      <c r="BG279" s="27" t="str">
        <f t="shared" si="90"/>
        <v/>
      </c>
      <c r="BH279" t="str">
        <f t="shared" si="91"/>
        <v/>
      </c>
      <c r="BL279" s="29" t="e">
        <f t="shared" si="78"/>
        <v>#N/A</v>
      </c>
      <c r="BM279" s="29" t="e">
        <f t="shared" si="79"/>
        <v>#N/A</v>
      </c>
    </row>
    <row r="280" spans="16:65" x14ac:dyDescent="0.35">
      <c r="P280" s="6"/>
      <c r="Q280" s="27"/>
      <c r="R280" s="6" t="str">
        <f>IF(Q280="","",SUMIFS(tblAnalysis[P&amp;L SOL],tblAnalysis[Date],Q280))</f>
        <v/>
      </c>
      <c r="S280" s="10" t="str">
        <f>IF(Q280="","",SUMIFS(tblAnalysis[P&amp;L %],tblAnalysis[Date],Q280))</f>
        <v/>
      </c>
      <c r="T280" s="6" t="str">
        <f>IF(Q280="","",IFERROR(SUM($R$2:R280),""))</f>
        <v/>
      </c>
      <c r="U280" t="str">
        <f>IF(Q280="","",COUNTIFS(tblAnalysis[Date],Q280))</f>
        <v/>
      </c>
      <c r="W280" s="27" t="str">
        <f t="shared" si="80"/>
        <v/>
      </c>
      <c r="X280" s="6" t="str">
        <f t="shared" si="81"/>
        <v/>
      </c>
      <c r="Y280" s="6" t="str">
        <f>IF(Q280="","",MAX(X280,_xlfn.MAXIFS(tblAnalysis[Cum P&amp;L SOL],tblAnalysis[Date],Q280)))</f>
        <v/>
      </c>
      <c r="Z280" s="6" t="str">
        <f>IF(Q280="","",MIN(X280,_xlfn.MINIFS(tblAnalysis[Cum P&amp;L SOL],tblAnalysis[Date],Q280)))</f>
        <v/>
      </c>
      <c r="AA280" s="6" t="str">
        <f t="shared" si="82"/>
        <v/>
      </c>
      <c r="AB280"/>
      <c r="AC280" s="27" t="str">
        <f t="shared" si="83"/>
        <v/>
      </c>
      <c r="AD280" s="10" t="str">
        <f t="shared" si="84"/>
        <v/>
      </c>
      <c r="AE280" s="10" t="str">
        <f t="shared" si="85"/>
        <v/>
      </c>
      <c r="AF280" s="10" t="str">
        <f t="shared" si="86"/>
        <v/>
      </c>
      <c r="AG280"/>
      <c r="AH280" t="str">
        <f t="shared" si="87"/>
        <v/>
      </c>
      <c r="AI280" t="str">
        <f t="shared" si="88"/>
        <v/>
      </c>
      <c r="AK280" t="str" cm="1">
        <f t="array" ref="AK280">IFERROR(IF(INDEX($A:$A,ROW())="","",INDEX($A:$A,ROW())),"")</f>
        <v/>
      </c>
      <c r="AL280" t="str" cm="1">
        <f t="array" ref="AL280">IFERROR(INDEX(tblTrades[sol_invested],ROW()-1),"")</f>
        <v/>
      </c>
      <c r="AM280" s="6" t="str" cm="1">
        <f t="array" ref="AM280">IFERROR(INDEX(tblAnalysis[P&amp;L SOL],ROW()-1),"")</f>
        <v/>
      </c>
      <c r="AN280" t="str" cm="1">
        <f t="array" ref="AN280">IFERROR(IF(INDEX(tblTrades[sol_invested],ROW()-1)&gt;0.5,INDEX(tblAnalysis[Token],ROW()-1)&amp;" ("&amp;TEXT(INDEX(tblTrades[sol_invested],ROW()-1),"0.0")&amp;" SOL)",""),"")</f>
        <v/>
      </c>
      <c r="AO280" s="7"/>
      <c r="AP280" s="12" t="str" cm="1">
        <f t="array" ref="AP280">IFERROR(INDEX(tblAnalysis[Entry MC ($)],ROW()-1),"")</f>
        <v/>
      </c>
      <c r="AQ280" s="10" t="str" cm="1">
        <f t="array" ref="AQ280">IFERROR(INDEX(tblAnalysis[P&amp;L %],ROW()-1),"")</f>
        <v/>
      </c>
      <c r="AR280" t="str" cm="1">
        <f t="array" ref="AR280">IFERROR(INDEX(tblAnalysis[Hold Time (s)],ROW()-1),"")</f>
        <v/>
      </c>
      <c r="AS280" s="6" t="str" cm="1">
        <f t="array" ref="AS280">IFERROR(INDEX(tblAnalysis[P&amp;L SOL],ROW()-1),"")</f>
        <v/>
      </c>
      <c r="AT280"/>
      <c r="AY280" s="10"/>
      <c r="AZ280" s="10"/>
      <c r="BA280" s="6"/>
      <c r="BB280"/>
      <c r="BF280" t="str">
        <f t="shared" si="89"/>
        <v/>
      </c>
      <c r="BG280" s="27" t="str">
        <f t="shared" si="90"/>
        <v/>
      </c>
      <c r="BH280" t="str">
        <f t="shared" si="91"/>
        <v/>
      </c>
      <c r="BL280" s="29" t="e">
        <f t="shared" si="78"/>
        <v>#N/A</v>
      </c>
      <c r="BM280" s="29" t="e">
        <f t="shared" si="79"/>
        <v>#N/A</v>
      </c>
    </row>
    <row r="281" spans="16:65" x14ac:dyDescent="0.35">
      <c r="P281" s="6"/>
      <c r="Q281" s="27"/>
      <c r="R281" s="6" t="str">
        <f>IF(Q281="","",SUMIFS(tblAnalysis[P&amp;L SOL],tblAnalysis[Date],Q281))</f>
        <v/>
      </c>
      <c r="S281" s="10" t="str">
        <f>IF(Q281="","",SUMIFS(tblAnalysis[P&amp;L %],tblAnalysis[Date],Q281))</f>
        <v/>
      </c>
      <c r="T281" s="6" t="str">
        <f>IF(Q281="","",IFERROR(SUM($R$2:R281),""))</f>
        <v/>
      </c>
      <c r="U281" t="str">
        <f>IF(Q281="","",COUNTIFS(tblAnalysis[Date],Q281))</f>
        <v/>
      </c>
      <c r="W281" s="27" t="str">
        <f t="shared" si="80"/>
        <v/>
      </c>
      <c r="X281" s="6" t="str">
        <f t="shared" si="81"/>
        <v/>
      </c>
      <c r="Y281" s="6" t="str">
        <f>IF(Q281="","",MAX(X281,_xlfn.MAXIFS(tblAnalysis[Cum P&amp;L SOL],tblAnalysis[Date],Q281)))</f>
        <v/>
      </c>
      <c r="Z281" s="6" t="str">
        <f>IF(Q281="","",MIN(X281,_xlfn.MINIFS(tblAnalysis[Cum P&amp;L SOL],tblAnalysis[Date],Q281)))</f>
        <v/>
      </c>
      <c r="AA281" s="6" t="str">
        <f t="shared" si="82"/>
        <v/>
      </c>
      <c r="AB281"/>
      <c r="AC281" s="27" t="str">
        <f t="shared" si="83"/>
        <v/>
      </c>
      <c r="AD281" s="10" t="str">
        <f t="shared" si="84"/>
        <v/>
      </c>
      <c r="AE281" s="10" t="str">
        <f t="shared" si="85"/>
        <v/>
      </c>
      <c r="AF281" s="10" t="str">
        <f t="shared" si="86"/>
        <v/>
      </c>
      <c r="AG281"/>
      <c r="AH281" t="str">
        <f t="shared" si="87"/>
        <v/>
      </c>
      <c r="AI281" t="str">
        <f t="shared" si="88"/>
        <v/>
      </c>
      <c r="AK281" t="str" cm="1">
        <f t="array" ref="AK281">IFERROR(IF(INDEX($A:$A,ROW())="","",INDEX($A:$A,ROW())),"")</f>
        <v/>
      </c>
      <c r="AL281" t="str" cm="1">
        <f t="array" ref="AL281">IFERROR(INDEX(tblTrades[sol_invested],ROW()-1),"")</f>
        <v/>
      </c>
      <c r="AM281" s="6" t="str" cm="1">
        <f t="array" ref="AM281">IFERROR(INDEX(tblAnalysis[P&amp;L SOL],ROW()-1),"")</f>
        <v/>
      </c>
      <c r="AN281" t="str" cm="1">
        <f t="array" ref="AN281">IFERROR(IF(INDEX(tblTrades[sol_invested],ROW()-1)&gt;0.5,INDEX(tblAnalysis[Token],ROW()-1)&amp;" ("&amp;TEXT(INDEX(tblTrades[sol_invested],ROW()-1),"0.0")&amp;" SOL)",""),"")</f>
        <v/>
      </c>
      <c r="AO281" s="7"/>
      <c r="AP281" s="12" t="str" cm="1">
        <f t="array" ref="AP281">IFERROR(INDEX(tblAnalysis[Entry MC ($)],ROW()-1),"")</f>
        <v/>
      </c>
      <c r="AQ281" s="10" t="str" cm="1">
        <f t="array" ref="AQ281">IFERROR(INDEX(tblAnalysis[P&amp;L %],ROW()-1),"")</f>
        <v/>
      </c>
      <c r="AR281" t="str" cm="1">
        <f t="array" ref="AR281">IFERROR(INDEX(tblAnalysis[Hold Time (s)],ROW()-1),"")</f>
        <v/>
      </c>
      <c r="AS281" s="6" t="str" cm="1">
        <f t="array" ref="AS281">IFERROR(INDEX(tblAnalysis[P&amp;L SOL],ROW()-1),"")</f>
        <v/>
      </c>
      <c r="AT281"/>
      <c r="AY281" s="10"/>
      <c r="AZ281" s="10"/>
      <c r="BA281" s="6"/>
      <c r="BB281"/>
      <c r="BF281" t="str">
        <f t="shared" si="89"/>
        <v/>
      </c>
      <c r="BG281" s="27" t="str">
        <f t="shared" si="90"/>
        <v/>
      </c>
      <c r="BH281" t="str">
        <f t="shared" si="91"/>
        <v/>
      </c>
      <c r="BL281" s="29" t="e">
        <f t="shared" si="78"/>
        <v>#N/A</v>
      </c>
      <c r="BM281" s="29" t="e">
        <f t="shared" si="79"/>
        <v>#N/A</v>
      </c>
    </row>
    <row r="282" spans="16:65" x14ac:dyDescent="0.35">
      <c r="P282" s="6"/>
      <c r="Q282" s="27"/>
      <c r="R282" s="6" t="str">
        <f>IF(Q282="","",SUMIFS(tblAnalysis[P&amp;L SOL],tblAnalysis[Date],Q282))</f>
        <v/>
      </c>
      <c r="S282" s="10" t="str">
        <f>IF(Q282="","",SUMIFS(tblAnalysis[P&amp;L %],tblAnalysis[Date],Q282))</f>
        <v/>
      </c>
      <c r="T282" s="6" t="str">
        <f>IF(Q282="","",IFERROR(SUM($R$2:R282),""))</f>
        <v/>
      </c>
      <c r="U282" t="str">
        <f>IF(Q282="","",COUNTIFS(tblAnalysis[Date],Q282))</f>
        <v/>
      </c>
      <c r="W282" s="27" t="str">
        <f t="shared" si="80"/>
        <v/>
      </c>
      <c r="X282" s="6" t="str">
        <f t="shared" si="81"/>
        <v/>
      </c>
      <c r="Y282" s="6" t="str">
        <f>IF(Q282="","",MAX(X282,_xlfn.MAXIFS(tblAnalysis[Cum P&amp;L SOL],tblAnalysis[Date],Q282)))</f>
        <v/>
      </c>
      <c r="Z282" s="6" t="str">
        <f>IF(Q282="","",MIN(X282,_xlfn.MINIFS(tblAnalysis[Cum P&amp;L SOL],tblAnalysis[Date],Q282)))</f>
        <v/>
      </c>
      <c r="AA282" s="6" t="str">
        <f t="shared" si="82"/>
        <v/>
      </c>
      <c r="AB282"/>
      <c r="AC282" s="27" t="str">
        <f t="shared" si="83"/>
        <v/>
      </c>
      <c r="AD282" s="10" t="str">
        <f t="shared" si="84"/>
        <v/>
      </c>
      <c r="AE282" s="10" t="str">
        <f t="shared" si="85"/>
        <v/>
      </c>
      <c r="AF282" s="10" t="str">
        <f t="shared" si="86"/>
        <v/>
      </c>
      <c r="AG282"/>
      <c r="AH282" t="str">
        <f t="shared" si="87"/>
        <v/>
      </c>
      <c r="AI282" t="str">
        <f t="shared" si="88"/>
        <v/>
      </c>
      <c r="AK282" t="str" cm="1">
        <f t="array" ref="AK282">IFERROR(IF(INDEX($A:$A,ROW())="","",INDEX($A:$A,ROW())),"")</f>
        <v/>
      </c>
      <c r="AL282" t="str" cm="1">
        <f t="array" ref="AL282">IFERROR(INDEX(tblTrades[sol_invested],ROW()-1),"")</f>
        <v/>
      </c>
      <c r="AM282" s="6" t="str" cm="1">
        <f t="array" ref="AM282">IFERROR(INDEX(tblAnalysis[P&amp;L SOL],ROW()-1),"")</f>
        <v/>
      </c>
      <c r="AN282" t="str" cm="1">
        <f t="array" ref="AN282">IFERROR(IF(INDEX(tblTrades[sol_invested],ROW()-1)&gt;0.5,INDEX(tblAnalysis[Token],ROW()-1)&amp;" ("&amp;TEXT(INDEX(tblTrades[sol_invested],ROW()-1),"0.0")&amp;" SOL)",""),"")</f>
        <v/>
      </c>
      <c r="AO282" s="7"/>
      <c r="AP282" s="12" t="str" cm="1">
        <f t="array" ref="AP282">IFERROR(INDEX(tblAnalysis[Entry MC ($)],ROW()-1),"")</f>
        <v/>
      </c>
      <c r="AQ282" s="10" t="str" cm="1">
        <f t="array" ref="AQ282">IFERROR(INDEX(tblAnalysis[P&amp;L %],ROW()-1),"")</f>
        <v/>
      </c>
      <c r="AR282" t="str" cm="1">
        <f t="array" ref="AR282">IFERROR(INDEX(tblAnalysis[Hold Time (s)],ROW()-1),"")</f>
        <v/>
      </c>
      <c r="AS282" s="6" t="str" cm="1">
        <f t="array" ref="AS282">IFERROR(INDEX(tblAnalysis[P&amp;L SOL],ROW()-1),"")</f>
        <v/>
      </c>
      <c r="AT282"/>
      <c r="AY282" s="10"/>
      <c r="AZ282" s="10"/>
      <c r="BA282" s="6"/>
      <c r="BB282"/>
      <c r="BF282" t="str">
        <f t="shared" si="89"/>
        <v/>
      </c>
      <c r="BG282" s="27" t="str">
        <f t="shared" si="90"/>
        <v/>
      </c>
      <c r="BH282" t="str">
        <f t="shared" si="91"/>
        <v/>
      </c>
      <c r="BL282" s="29" t="e">
        <f t="shared" si="78"/>
        <v>#N/A</v>
      </c>
      <c r="BM282" s="29" t="e">
        <f t="shared" si="79"/>
        <v>#N/A</v>
      </c>
    </row>
    <row r="283" spans="16:65" x14ac:dyDescent="0.35">
      <c r="P283" s="6"/>
      <c r="Q283" s="27"/>
      <c r="R283" s="6" t="str">
        <f>IF(Q283="","",SUMIFS(tblAnalysis[P&amp;L SOL],tblAnalysis[Date],Q283))</f>
        <v/>
      </c>
      <c r="S283" s="10" t="str">
        <f>IF(Q283="","",SUMIFS(tblAnalysis[P&amp;L %],tblAnalysis[Date],Q283))</f>
        <v/>
      </c>
      <c r="T283" s="6" t="str">
        <f>IF(Q283="","",IFERROR(SUM($R$2:R283),""))</f>
        <v/>
      </c>
      <c r="U283" t="str">
        <f>IF(Q283="","",COUNTIFS(tblAnalysis[Date],Q283))</f>
        <v/>
      </c>
      <c r="W283" s="27" t="str">
        <f t="shared" si="80"/>
        <v/>
      </c>
      <c r="X283" s="6" t="str">
        <f t="shared" si="81"/>
        <v/>
      </c>
      <c r="Y283" s="6" t="str">
        <f>IF(Q283="","",MAX(X283,_xlfn.MAXIFS(tblAnalysis[Cum P&amp;L SOL],tblAnalysis[Date],Q283)))</f>
        <v/>
      </c>
      <c r="Z283" s="6" t="str">
        <f>IF(Q283="","",MIN(X283,_xlfn.MINIFS(tblAnalysis[Cum P&amp;L SOL],tblAnalysis[Date],Q283)))</f>
        <v/>
      </c>
      <c r="AA283" s="6" t="str">
        <f t="shared" si="82"/>
        <v/>
      </c>
      <c r="AB283"/>
      <c r="AC283" s="27" t="str">
        <f t="shared" si="83"/>
        <v/>
      </c>
      <c r="AD283" s="10" t="str">
        <f t="shared" si="84"/>
        <v/>
      </c>
      <c r="AE283" s="10" t="str">
        <f t="shared" si="85"/>
        <v/>
      </c>
      <c r="AF283" s="10" t="str">
        <f t="shared" si="86"/>
        <v/>
      </c>
      <c r="AG283"/>
      <c r="AH283" t="str">
        <f t="shared" si="87"/>
        <v/>
      </c>
      <c r="AI283" t="str">
        <f t="shared" si="88"/>
        <v/>
      </c>
      <c r="AK283" t="str" cm="1">
        <f t="array" ref="AK283">IFERROR(IF(INDEX($A:$A,ROW())="","",INDEX($A:$A,ROW())),"")</f>
        <v/>
      </c>
      <c r="AL283" t="str" cm="1">
        <f t="array" ref="AL283">IFERROR(INDEX(tblTrades[sol_invested],ROW()-1),"")</f>
        <v/>
      </c>
      <c r="AM283" s="6" t="str" cm="1">
        <f t="array" ref="AM283">IFERROR(INDEX(tblAnalysis[P&amp;L SOL],ROW()-1),"")</f>
        <v/>
      </c>
      <c r="AN283" t="str" cm="1">
        <f t="array" ref="AN283">IFERROR(IF(INDEX(tblTrades[sol_invested],ROW()-1)&gt;0.5,INDEX(tblAnalysis[Token],ROW()-1)&amp;" ("&amp;TEXT(INDEX(tblTrades[sol_invested],ROW()-1),"0.0")&amp;" SOL)",""),"")</f>
        <v/>
      </c>
      <c r="AO283" s="7"/>
      <c r="AP283" s="12" t="str" cm="1">
        <f t="array" ref="AP283">IFERROR(INDEX(tblAnalysis[Entry MC ($)],ROW()-1),"")</f>
        <v/>
      </c>
      <c r="AQ283" s="10" t="str" cm="1">
        <f t="array" ref="AQ283">IFERROR(INDEX(tblAnalysis[P&amp;L %],ROW()-1),"")</f>
        <v/>
      </c>
      <c r="AR283" t="str" cm="1">
        <f t="array" ref="AR283">IFERROR(INDEX(tblAnalysis[Hold Time (s)],ROW()-1),"")</f>
        <v/>
      </c>
      <c r="AS283" s="6" t="str" cm="1">
        <f t="array" ref="AS283">IFERROR(INDEX(tblAnalysis[P&amp;L SOL],ROW()-1),"")</f>
        <v/>
      </c>
      <c r="AT283"/>
      <c r="AY283" s="10"/>
      <c r="AZ283" s="10"/>
      <c r="BA283" s="6"/>
      <c r="BB283"/>
      <c r="BF283" t="str">
        <f t="shared" si="89"/>
        <v/>
      </c>
      <c r="BG283" s="27" t="str">
        <f t="shared" si="90"/>
        <v/>
      </c>
      <c r="BH283" t="str">
        <f t="shared" si="91"/>
        <v/>
      </c>
      <c r="BL283" s="29" t="e">
        <f t="shared" si="78"/>
        <v>#N/A</v>
      </c>
      <c r="BM283" s="29" t="e">
        <f t="shared" si="79"/>
        <v>#N/A</v>
      </c>
    </row>
    <row r="284" spans="16:65" x14ac:dyDescent="0.35">
      <c r="P284" s="6"/>
      <c r="Q284" s="27"/>
      <c r="R284" s="6" t="str">
        <f>IF(Q284="","",SUMIFS(tblAnalysis[P&amp;L SOL],tblAnalysis[Date],Q284))</f>
        <v/>
      </c>
      <c r="S284" s="10" t="str">
        <f>IF(Q284="","",SUMIFS(tblAnalysis[P&amp;L %],tblAnalysis[Date],Q284))</f>
        <v/>
      </c>
      <c r="T284" s="6" t="str">
        <f>IF(Q284="","",IFERROR(SUM($R$2:R284),""))</f>
        <v/>
      </c>
      <c r="U284" t="str">
        <f>IF(Q284="","",COUNTIFS(tblAnalysis[Date],Q284))</f>
        <v/>
      </c>
      <c r="W284" s="27" t="str">
        <f t="shared" si="80"/>
        <v/>
      </c>
      <c r="X284" s="6" t="str">
        <f t="shared" si="81"/>
        <v/>
      </c>
      <c r="Y284" s="6" t="str">
        <f>IF(Q284="","",MAX(X284,_xlfn.MAXIFS(tblAnalysis[Cum P&amp;L SOL],tblAnalysis[Date],Q284)))</f>
        <v/>
      </c>
      <c r="Z284" s="6" t="str">
        <f>IF(Q284="","",MIN(X284,_xlfn.MINIFS(tblAnalysis[Cum P&amp;L SOL],tblAnalysis[Date],Q284)))</f>
        <v/>
      </c>
      <c r="AA284" s="6" t="str">
        <f t="shared" si="82"/>
        <v/>
      </c>
      <c r="AB284"/>
      <c r="AC284" s="27" t="str">
        <f t="shared" si="83"/>
        <v/>
      </c>
      <c r="AD284" s="10" t="str">
        <f t="shared" si="84"/>
        <v/>
      </c>
      <c r="AE284" s="10" t="str">
        <f t="shared" si="85"/>
        <v/>
      </c>
      <c r="AF284" s="10" t="str">
        <f t="shared" si="86"/>
        <v/>
      </c>
      <c r="AG284"/>
      <c r="AH284" t="str">
        <f t="shared" si="87"/>
        <v/>
      </c>
      <c r="AI284" t="str">
        <f t="shared" si="88"/>
        <v/>
      </c>
      <c r="AK284" t="str" cm="1">
        <f t="array" ref="AK284">IFERROR(IF(INDEX($A:$A,ROW())="","",INDEX($A:$A,ROW())),"")</f>
        <v/>
      </c>
      <c r="AL284" t="str" cm="1">
        <f t="array" ref="AL284">IFERROR(INDEX(tblTrades[sol_invested],ROW()-1),"")</f>
        <v/>
      </c>
      <c r="AM284" s="6" t="str" cm="1">
        <f t="array" ref="AM284">IFERROR(INDEX(tblAnalysis[P&amp;L SOL],ROW()-1),"")</f>
        <v/>
      </c>
      <c r="AN284" t="str" cm="1">
        <f t="array" ref="AN284">IFERROR(IF(INDEX(tblTrades[sol_invested],ROW()-1)&gt;0.5,INDEX(tblAnalysis[Token],ROW()-1)&amp;" ("&amp;TEXT(INDEX(tblTrades[sol_invested],ROW()-1),"0.0")&amp;" SOL)",""),"")</f>
        <v/>
      </c>
      <c r="AO284" s="7"/>
      <c r="AP284" s="12" t="str" cm="1">
        <f t="array" ref="AP284">IFERROR(INDEX(tblAnalysis[Entry MC ($)],ROW()-1),"")</f>
        <v/>
      </c>
      <c r="AQ284" s="10" t="str" cm="1">
        <f t="array" ref="AQ284">IFERROR(INDEX(tblAnalysis[P&amp;L %],ROW()-1),"")</f>
        <v/>
      </c>
      <c r="AR284" t="str" cm="1">
        <f t="array" ref="AR284">IFERROR(INDEX(tblAnalysis[Hold Time (s)],ROW()-1),"")</f>
        <v/>
      </c>
      <c r="AS284" s="6" t="str" cm="1">
        <f t="array" ref="AS284">IFERROR(INDEX(tblAnalysis[P&amp;L SOL],ROW()-1),"")</f>
        <v/>
      </c>
      <c r="AT284"/>
      <c r="AY284" s="10"/>
      <c r="AZ284" s="10"/>
      <c r="BA284" s="6"/>
      <c r="BB284"/>
      <c r="BF284" t="str">
        <f t="shared" si="89"/>
        <v/>
      </c>
      <c r="BG284" s="27" t="str">
        <f t="shared" si="90"/>
        <v/>
      </c>
      <c r="BH284" t="str">
        <f t="shared" si="91"/>
        <v/>
      </c>
      <c r="BL284" s="29" t="e">
        <f t="shared" si="78"/>
        <v>#N/A</v>
      </c>
      <c r="BM284" s="29" t="e">
        <f t="shared" si="79"/>
        <v>#N/A</v>
      </c>
    </row>
    <row r="285" spans="16:65" x14ac:dyDescent="0.35">
      <c r="P285" s="6"/>
      <c r="Q285" s="27"/>
      <c r="R285" s="6" t="str">
        <f>IF(Q285="","",SUMIFS(tblAnalysis[P&amp;L SOL],tblAnalysis[Date],Q285))</f>
        <v/>
      </c>
      <c r="S285" s="10" t="str">
        <f>IF(Q285="","",SUMIFS(tblAnalysis[P&amp;L %],tblAnalysis[Date],Q285))</f>
        <v/>
      </c>
      <c r="T285" s="6" t="str">
        <f>IF(Q285="","",IFERROR(SUM($R$2:R285),""))</f>
        <v/>
      </c>
      <c r="U285" t="str">
        <f>IF(Q285="","",COUNTIFS(tblAnalysis[Date],Q285))</f>
        <v/>
      </c>
      <c r="W285" s="27" t="str">
        <f t="shared" si="80"/>
        <v/>
      </c>
      <c r="X285" s="6" t="str">
        <f t="shared" si="81"/>
        <v/>
      </c>
      <c r="Y285" s="6" t="str">
        <f>IF(Q285="","",MAX(X285,_xlfn.MAXIFS(tblAnalysis[Cum P&amp;L SOL],tblAnalysis[Date],Q285)))</f>
        <v/>
      </c>
      <c r="Z285" s="6" t="str">
        <f>IF(Q285="","",MIN(X285,_xlfn.MINIFS(tblAnalysis[Cum P&amp;L SOL],tblAnalysis[Date],Q285)))</f>
        <v/>
      </c>
      <c r="AA285" s="6" t="str">
        <f t="shared" si="82"/>
        <v/>
      </c>
      <c r="AB285"/>
      <c r="AC285" s="27" t="str">
        <f t="shared" si="83"/>
        <v/>
      </c>
      <c r="AD285" s="10" t="str">
        <f t="shared" si="84"/>
        <v/>
      </c>
      <c r="AE285" s="10" t="str">
        <f t="shared" si="85"/>
        <v/>
      </c>
      <c r="AF285" s="10" t="str">
        <f t="shared" si="86"/>
        <v/>
      </c>
      <c r="AG285"/>
      <c r="AH285" t="str">
        <f t="shared" si="87"/>
        <v/>
      </c>
      <c r="AI285" t="str">
        <f t="shared" si="88"/>
        <v/>
      </c>
      <c r="AK285" t="str" cm="1">
        <f t="array" ref="AK285">IFERROR(IF(INDEX($A:$A,ROW())="","",INDEX($A:$A,ROW())),"")</f>
        <v/>
      </c>
      <c r="AL285" t="str" cm="1">
        <f t="array" ref="AL285">IFERROR(INDEX(tblTrades[sol_invested],ROW()-1),"")</f>
        <v/>
      </c>
      <c r="AM285" s="6" t="str" cm="1">
        <f t="array" ref="AM285">IFERROR(INDEX(tblAnalysis[P&amp;L SOL],ROW()-1),"")</f>
        <v/>
      </c>
      <c r="AN285" t="str" cm="1">
        <f t="array" ref="AN285">IFERROR(IF(INDEX(tblTrades[sol_invested],ROW()-1)&gt;0.5,INDEX(tblAnalysis[Token],ROW()-1)&amp;" ("&amp;TEXT(INDEX(tblTrades[sol_invested],ROW()-1),"0.0")&amp;" SOL)",""),"")</f>
        <v/>
      </c>
      <c r="AO285" s="7"/>
      <c r="AP285" s="12" t="str" cm="1">
        <f t="array" ref="AP285">IFERROR(INDEX(tblAnalysis[Entry MC ($)],ROW()-1),"")</f>
        <v/>
      </c>
      <c r="AQ285" s="10" t="str" cm="1">
        <f t="array" ref="AQ285">IFERROR(INDEX(tblAnalysis[P&amp;L %],ROW()-1),"")</f>
        <v/>
      </c>
      <c r="AR285" t="str" cm="1">
        <f t="array" ref="AR285">IFERROR(INDEX(tblAnalysis[Hold Time (s)],ROW()-1),"")</f>
        <v/>
      </c>
      <c r="AS285" s="6" t="str" cm="1">
        <f t="array" ref="AS285">IFERROR(INDEX(tblAnalysis[P&amp;L SOL],ROW()-1),"")</f>
        <v/>
      </c>
      <c r="AT285"/>
      <c r="AY285" s="10"/>
      <c r="AZ285" s="10"/>
      <c r="BA285" s="6"/>
      <c r="BB285"/>
      <c r="BF285" t="str">
        <f t="shared" si="89"/>
        <v/>
      </c>
      <c r="BG285" s="27" t="str">
        <f t="shared" si="90"/>
        <v/>
      </c>
      <c r="BH285" t="str">
        <f t="shared" si="91"/>
        <v/>
      </c>
      <c r="BL285" s="29" t="e">
        <f t="shared" si="78"/>
        <v>#N/A</v>
      </c>
      <c r="BM285" s="29" t="e">
        <f t="shared" si="79"/>
        <v>#N/A</v>
      </c>
    </row>
    <row r="286" spans="16:65" x14ac:dyDescent="0.35">
      <c r="P286" s="6"/>
      <c r="Q286" s="27"/>
      <c r="R286" s="6" t="str">
        <f>IF(Q286="","",SUMIFS(tblAnalysis[P&amp;L SOL],tblAnalysis[Date],Q286))</f>
        <v/>
      </c>
      <c r="S286" s="10" t="str">
        <f>IF(Q286="","",SUMIFS(tblAnalysis[P&amp;L %],tblAnalysis[Date],Q286))</f>
        <v/>
      </c>
      <c r="T286" s="6" t="str">
        <f>IF(Q286="","",IFERROR(SUM($R$2:R286),""))</f>
        <v/>
      </c>
      <c r="U286" t="str">
        <f>IF(Q286="","",COUNTIFS(tblAnalysis[Date],Q286))</f>
        <v/>
      </c>
      <c r="W286" s="27" t="str">
        <f t="shared" si="80"/>
        <v/>
      </c>
      <c r="X286" s="6" t="str">
        <f t="shared" si="81"/>
        <v/>
      </c>
      <c r="Y286" s="6" t="str">
        <f>IF(Q286="","",MAX(X286,_xlfn.MAXIFS(tblAnalysis[Cum P&amp;L SOL],tblAnalysis[Date],Q286)))</f>
        <v/>
      </c>
      <c r="Z286" s="6" t="str">
        <f>IF(Q286="","",MIN(X286,_xlfn.MINIFS(tblAnalysis[Cum P&amp;L SOL],tblAnalysis[Date],Q286)))</f>
        <v/>
      </c>
      <c r="AA286" s="6" t="str">
        <f t="shared" si="82"/>
        <v/>
      </c>
      <c r="AB286"/>
      <c r="AC286" s="27" t="str">
        <f t="shared" si="83"/>
        <v/>
      </c>
      <c r="AD286" s="10" t="str">
        <f t="shared" si="84"/>
        <v/>
      </c>
      <c r="AE286" s="10" t="str">
        <f t="shared" si="85"/>
        <v/>
      </c>
      <c r="AF286" s="10" t="str">
        <f t="shared" si="86"/>
        <v/>
      </c>
      <c r="AG286"/>
      <c r="AH286" t="str">
        <f t="shared" si="87"/>
        <v/>
      </c>
      <c r="AI286" t="str">
        <f t="shared" si="88"/>
        <v/>
      </c>
      <c r="AK286" t="str" cm="1">
        <f t="array" ref="AK286">IFERROR(IF(INDEX($A:$A,ROW())="","",INDEX($A:$A,ROW())),"")</f>
        <v/>
      </c>
      <c r="AL286" t="str" cm="1">
        <f t="array" ref="AL286">IFERROR(INDEX(tblTrades[sol_invested],ROW()-1),"")</f>
        <v/>
      </c>
      <c r="AM286" s="6" t="str" cm="1">
        <f t="array" ref="AM286">IFERROR(INDEX(tblAnalysis[P&amp;L SOL],ROW()-1),"")</f>
        <v/>
      </c>
      <c r="AN286" t="str" cm="1">
        <f t="array" ref="AN286">IFERROR(IF(INDEX(tblTrades[sol_invested],ROW()-1)&gt;0.5,INDEX(tblAnalysis[Token],ROW()-1)&amp;" ("&amp;TEXT(INDEX(tblTrades[sol_invested],ROW()-1),"0.0")&amp;" SOL)",""),"")</f>
        <v/>
      </c>
      <c r="AO286" s="7"/>
      <c r="AP286" s="12" t="str" cm="1">
        <f t="array" ref="AP286">IFERROR(INDEX(tblAnalysis[Entry MC ($)],ROW()-1),"")</f>
        <v/>
      </c>
      <c r="AQ286" s="10" t="str" cm="1">
        <f t="array" ref="AQ286">IFERROR(INDEX(tblAnalysis[P&amp;L %],ROW()-1),"")</f>
        <v/>
      </c>
      <c r="AR286" t="str" cm="1">
        <f t="array" ref="AR286">IFERROR(INDEX(tblAnalysis[Hold Time (s)],ROW()-1),"")</f>
        <v/>
      </c>
      <c r="AS286" s="6" t="str" cm="1">
        <f t="array" ref="AS286">IFERROR(INDEX(tblAnalysis[P&amp;L SOL],ROW()-1),"")</f>
        <v/>
      </c>
      <c r="AT286"/>
      <c r="AY286" s="10"/>
      <c r="AZ286" s="10"/>
      <c r="BA286" s="6"/>
      <c r="BB286"/>
      <c r="BF286" t="str">
        <f t="shared" si="89"/>
        <v/>
      </c>
      <c r="BG286" s="27" t="str">
        <f t="shared" si="90"/>
        <v/>
      </c>
      <c r="BH286" t="str">
        <f t="shared" si="91"/>
        <v/>
      </c>
      <c r="BL286" s="29" t="e">
        <f t="shared" si="78"/>
        <v>#N/A</v>
      </c>
      <c r="BM286" s="29" t="e">
        <f t="shared" si="79"/>
        <v>#N/A</v>
      </c>
    </row>
    <row r="287" spans="16:65" x14ac:dyDescent="0.35">
      <c r="P287" s="6"/>
      <c r="Q287" s="27"/>
      <c r="R287" s="6" t="str">
        <f>IF(Q287="","",SUMIFS(tblAnalysis[P&amp;L SOL],tblAnalysis[Date],Q287))</f>
        <v/>
      </c>
      <c r="S287" s="10" t="str">
        <f>IF(Q287="","",SUMIFS(tblAnalysis[P&amp;L %],tblAnalysis[Date],Q287))</f>
        <v/>
      </c>
      <c r="T287" s="6" t="str">
        <f>IF(Q287="","",IFERROR(SUM($R$2:R287),""))</f>
        <v/>
      </c>
      <c r="U287" t="str">
        <f>IF(Q287="","",COUNTIFS(tblAnalysis[Date],Q287))</f>
        <v/>
      </c>
      <c r="W287" s="27" t="str">
        <f t="shared" si="80"/>
        <v/>
      </c>
      <c r="X287" s="6" t="str">
        <f t="shared" si="81"/>
        <v/>
      </c>
      <c r="Y287" s="6" t="str">
        <f>IF(Q287="","",MAX(X287,_xlfn.MAXIFS(tblAnalysis[Cum P&amp;L SOL],tblAnalysis[Date],Q287)))</f>
        <v/>
      </c>
      <c r="Z287" s="6" t="str">
        <f>IF(Q287="","",MIN(X287,_xlfn.MINIFS(tblAnalysis[Cum P&amp;L SOL],tblAnalysis[Date],Q287)))</f>
        <v/>
      </c>
      <c r="AA287" s="6" t="str">
        <f t="shared" si="82"/>
        <v/>
      </c>
      <c r="AB287"/>
      <c r="AC287" s="27" t="str">
        <f t="shared" si="83"/>
        <v/>
      </c>
      <c r="AD287" s="10" t="str">
        <f t="shared" si="84"/>
        <v/>
      </c>
      <c r="AE287" s="10" t="str">
        <f t="shared" si="85"/>
        <v/>
      </c>
      <c r="AF287" s="10" t="str">
        <f t="shared" si="86"/>
        <v/>
      </c>
      <c r="AG287"/>
      <c r="AH287" t="str">
        <f t="shared" si="87"/>
        <v/>
      </c>
      <c r="AI287" t="str">
        <f t="shared" si="88"/>
        <v/>
      </c>
      <c r="AK287" t="str" cm="1">
        <f t="array" ref="AK287">IFERROR(IF(INDEX($A:$A,ROW())="","",INDEX($A:$A,ROW())),"")</f>
        <v/>
      </c>
      <c r="AL287" t="str" cm="1">
        <f t="array" ref="AL287">IFERROR(INDEX(tblTrades[sol_invested],ROW()-1),"")</f>
        <v/>
      </c>
      <c r="AM287" s="6" t="str" cm="1">
        <f t="array" ref="AM287">IFERROR(INDEX(tblAnalysis[P&amp;L SOL],ROW()-1),"")</f>
        <v/>
      </c>
      <c r="AN287" t="str" cm="1">
        <f t="array" ref="AN287">IFERROR(IF(INDEX(tblTrades[sol_invested],ROW()-1)&gt;0.5,INDEX(tblAnalysis[Token],ROW()-1)&amp;" ("&amp;TEXT(INDEX(tblTrades[sol_invested],ROW()-1),"0.0")&amp;" SOL)",""),"")</f>
        <v/>
      </c>
      <c r="AO287" s="7"/>
      <c r="AP287" s="12" t="str" cm="1">
        <f t="array" ref="AP287">IFERROR(INDEX(tblAnalysis[Entry MC ($)],ROW()-1),"")</f>
        <v/>
      </c>
      <c r="AQ287" s="10" t="str" cm="1">
        <f t="array" ref="AQ287">IFERROR(INDEX(tblAnalysis[P&amp;L %],ROW()-1),"")</f>
        <v/>
      </c>
      <c r="AR287" t="str" cm="1">
        <f t="array" ref="AR287">IFERROR(INDEX(tblAnalysis[Hold Time (s)],ROW()-1),"")</f>
        <v/>
      </c>
      <c r="AS287" s="6" t="str" cm="1">
        <f t="array" ref="AS287">IFERROR(INDEX(tblAnalysis[P&amp;L SOL],ROW()-1),"")</f>
        <v/>
      </c>
      <c r="AT287"/>
      <c r="AY287" s="10"/>
      <c r="AZ287" s="10"/>
      <c r="BA287" s="6"/>
      <c r="BB287"/>
      <c r="BF287" t="str">
        <f t="shared" si="89"/>
        <v/>
      </c>
      <c r="BG287" s="27" t="str">
        <f t="shared" si="90"/>
        <v/>
      </c>
      <c r="BH287" t="str">
        <f t="shared" si="91"/>
        <v/>
      </c>
      <c r="BL287" s="29" t="e">
        <f t="shared" si="78"/>
        <v>#N/A</v>
      </c>
      <c r="BM287" s="29" t="e">
        <f t="shared" si="79"/>
        <v>#N/A</v>
      </c>
    </row>
    <row r="288" spans="16:65" x14ac:dyDescent="0.35">
      <c r="P288" s="6"/>
      <c r="Q288" s="27"/>
      <c r="R288" s="6" t="str">
        <f>IF(Q288="","",SUMIFS(tblAnalysis[P&amp;L SOL],tblAnalysis[Date],Q288))</f>
        <v/>
      </c>
      <c r="S288" s="10" t="str">
        <f>IF(Q288="","",SUMIFS(tblAnalysis[P&amp;L %],tblAnalysis[Date],Q288))</f>
        <v/>
      </c>
      <c r="T288" s="6" t="str">
        <f>IF(Q288="","",IFERROR(SUM($R$2:R288),""))</f>
        <v/>
      </c>
      <c r="U288" t="str">
        <f>IF(Q288="","",COUNTIFS(tblAnalysis[Date],Q288))</f>
        <v/>
      </c>
      <c r="W288" s="27" t="str">
        <f t="shared" si="80"/>
        <v/>
      </c>
      <c r="X288" s="6" t="str">
        <f t="shared" si="81"/>
        <v/>
      </c>
      <c r="Y288" s="6" t="str">
        <f>IF(Q288="","",MAX(X288,_xlfn.MAXIFS(tblAnalysis[Cum P&amp;L SOL],tblAnalysis[Date],Q288)))</f>
        <v/>
      </c>
      <c r="Z288" s="6" t="str">
        <f>IF(Q288="","",MIN(X288,_xlfn.MINIFS(tblAnalysis[Cum P&amp;L SOL],tblAnalysis[Date],Q288)))</f>
        <v/>
      </c>
      <c r="AA288" s="6" t="str">
        <f t="shared" si="82"/>
        <v/>
      </c>
      <c r="AB288"/>
      <c r="AC288" s="27" t="str">
        <f t="shared" si="83"/>
        <v/>
      </c>
      <c r="AD288" s="10" t="str">
        <f t="shared" si="84"/>
        <v/>
      </c>
      <c r="AE288" s="10" t="str">
        <f t="shared" si="85"/>
        <v/>
      </c>
      <c r="AF288" s="10" t="str">
        <f t="shared" si="86"/>
        <v/>
      </c>
      <c r="AG288"/>
      <c r="AH288" t="str">
        <f t="shared" si="87"/>
        <v/>
      </c>
      <c r="AI288" t="str">
        <f t="shared" si="88"/>
        <v/>
      </c>
      <c r="AK288" t="str" cm="1">
        <f t="array" ref="AK288">IFERROR(IF(INDEX($A:$A,ROW())="","",INDEX($A:$A,ROW())),"")</f>
        <v/>
      </c>
      <c r="AL288" t="str" cm="1">
        <f t="array" ref="AL288">IFERROR(INDEX(tblTrades[sol_invested],ROW()-1),"")</f>
        <v/>
      </c>
      <c r="AM288" s="6" t="str" cm="1">
        <f t="array" ref="AM288">IFERROR(INDEX(tblAnalysis[P&amp;L SOL],ROW()-1),"")</f>
        <v/>
      </c>
      <c r="AN288" t="str" cm="1">
        <f t="array" ref="AN288">IFERROR(IF(INDEX(tblTrades[sol_invested],ROW()-1)&gt;0.5,INDEX(tblAnalysis[Token],ROW()-1)&amp;" ("&amp;TEXT(INDEX(tblTrades[sol_invested],ROW()-1),"0.0")&amp;" SOL)",""),"")</f>
        <v/>
      </c>
      <c r="AO288" s="7"/>
      <c r="AP288" s="12" t="str" cm="1">
        <f t="array" ref="AP288">IFERROR(INDEX(tblAnalysis[Entry MC ($)],ROW()-1),"")</f>
        <v/>
      </c>
      <c r="AQ288" s="10" t="str" cm="1">
        <f t="array" ref="AQ288">IFERROR(INDEX(tblAnalysis[P&amp;L %],ROW()-1),"")</f>
        <v/>
      </c>
      <c r="AR288" t="str" cm="1">
        <f t="array" ref="AR288">IFERROR(INDEX(tblAnalysis[Hold Time (s)],ROW()-1),"")</f>
        <v/>
      </c>
      <c r="AS288" s="6" t="str" cm="1">
        <f t="array" ref="AS288">IFERROR(INDEX(tblAnalysis[P&amp;L SOL],ROW()-1),"")</f>
        <v/>
      </c>
      <c r="AT288"/>
      <c r="AY288" s="10"/>
      <c r="AZ288" s="10"/>
      <c r="BA288" s="6"/>
      <c r="BB288"/>
      <c r="BF288" t="str">
        <f t="shared" si="89"/>
        <v/>
      </c>
      <c r="BG288" s="27" t="str">
        <f t="shared" si="90"/>
        <v/>
      </c>
      <c r="BH288" t="str">
        <f t="shared" si="91"/>
        <v/>
      </c>
      <c r="BL288" s="29" t="e">
        <f t="shared" si="78"/>
        <v>#N/A</v>
      </c>
      <c r="BM288" s="29" t="e">
        <f t="shared" si="79"/>
        <v>#N/A</v>
      </c>
    </row>
    <row r="289" spans="16:65" x14ac:dyDescent="0.35">
      <c r="P289" s="6"/>
      <c r="Q289" s="27"/>
      <c r="R289" s="6" t="str">
        <f>IF(Q289="","",SUMIFS(tblAnalysis[P&amp;L SOL],tblAnalysis[Date],Q289))</f>
        <v/>
      </c>
      <c r="S289" s="10" t="str">
        <f>IF(Q289="","",SUMIFS(tblAnalysis[P&amp;L %],tblAnalysis[Date],Q289))</f>
        <v/>
      </c>
      <c r="T289" s="6" t="str">
        <f>IF(Q289="","",IFERROR(SUM($R$2:R289),""))</f>
        <v/>
      </c>
      <c r="U289" t="str">
        <f>IF(Q289="","",COUNTIFS(tblAnalysis[Date],Q289))</f>
        <v/>
      </c>
      <c r="W289" s="27" t="str">
        <f t="shared" si="80"/>
        <v/>
      </c>
      <c r="X289" s="6" t="str">
        <f t="shared" si="81"/>
        <v/>
      </c>
      <c r="Y289" s="6" t="str">
        <f>IF(Q289="","",MAX(X289,_xlfn.MAXIFS(tblAnalysis[Cum P&amp;L SOL],tblAnalysis[Date],Q289)))</f>
        <v/>
      </c>
      <c r="Z289" s="6" t="str">
        <f>IF(Q289="","",MIN(X289,_xlfn.MINIFS(tblAnalysis[Cum P&amp;L SOL],tblAnalysis[Date],Q289)))</f>
        <v/>
      </c>
      <c r="AA289" s="6" t="str">
        <f t="shared" si="82"/>
        <v/>
      </c>
      <c r="AB289"/>
      <c r="AC289" s="27" t="str">
        <f t="shared" si="83"/>
        <v/>
      </c>
      <c r="AD289" s="10" t="str">
        <f t="shared" si="84"/>
        <v/>
      </c>
      <c r="AE289" s="10" t="str">
        <f t="shared" si="85"/>
        <v/>
      </c>
      <c r="AF289" s="10" t="str">
        <f t="shared" si="86"/>
        <v/>
      </c>
      <c r="AG289"/>
      <c r="AH289" t="str">
        <f t="shared" si="87"/>
        <v/>
      </c>
      <c r="AI289" t="str">
        <f t="shared" si="88"/>
        <v/>
      </c>
      <c r="AK289" t="str" cm="1">
        <f t="array" ref="AK289">IFERROR(IF(INDEX($A:$A,ROW())="","",INDEX($A:$A,ROW())),"")</f>
        <v/>
      </c>
      <c r="AL289" t="str" cm="1">
        <f t="array" ref="AL289">IFERROR(INDEX(tblTrades[sol_invested],ROW()-1),"")</f>
        <v/>
      </c>
      <c r="AM289" s="6" t="str" cm="1">
        <f t="array" ref="AM289">IFERROR(INDEX(tblAnalysis[P&amp;L SOL],ROW()-1),"")</f>
        <v/>
      </c>
      <c r="AN289" t="str" cm="1">
        <f t="array" ref="AN289">IFERROR(IF(INDEX(tblTrades[sol_invested],ROW()-1)&gt;0.5,INDEX(tblAnalysis[Token],ROW()-1)&amp;" ("&amp;TEXT(INDEX(tblTrades[sol_invested],ROW()-1),"0.0")&amp;" SOL)",""),"")</f>
        <v/>
      </c>
      <c r="AO289" s="7"/>
      <c r="AP289" s="12" t="str" cm="1">
        <f t="array" ref="AP289">IFERROR(INDEX(tblAnalysis[Entry MC ($)],ROW()-1),"")</f>
        <v/>
      </c>
      <c r="AQ289" s="10" t="str" cm="1">
        <f t="array" ref="AQ289">IFERROR(INDEX(tblAnalysis[P&amp;L %],ROW()-1),"")</f>
        <v/>
      </c>
      <c r="AR289" t="str" cm="1">
        <f t="array" ref="AR289">IFERROR(INDEX(tblAnalysis[Hold Time (s)],ROW()-1),"")</f>
        <v/>
      </c>
      <c r="AS289" s="6" t="str" cm="1">
        <f t="array" ref="AS289">IFERROR(INDEX(tblAnalysis[P&amp;L SOL],ROW()-1),"")</f>
        <v/>
      </c>
      <c r="AT289"/>
      <c r="AY289" s="10"/>
      <c r="AZ289" s="10"/>
      <c r="BA289" s="6"/>
      <c r="BB289"/>
      <c r="BF289" t="str">
        <f t="shared" si="89"/>
        <v/>
      </c>
      <c r="BG289" s="27" t="str">
        <f t="shared" si="90"/>
        <v/>
      </c>
      <c r="BH289" t="str">
        <f t="shared" si="91"/>
        <v/>
      </c>
      <c r="BL289" s="29" t="e">
        <f t="shared" si="78"/>
        <v>#N/A</v>
      </c>
      <c r="BM289" s="29" t="e">
        <f t="shared" si="79"/>
        <v>#N/A</v>
      </c>
    </row>
    <row r="290" spans="16:65" x14ac:dyDescent="0.35">
      <c r="P290" s="6"/>
      <c r="Q290" s="27"/>
      <c r="R290" s="6" t="str">
        <f>IF(Q290="","",SUMIFS(tblAnalysis[P&amp;L SOL],tblAnalysis[Date],Q290))</f>
        <v/>
      </c>
      <c r="S290" s="10" t="str">
        <f>IF(Q290="","",SUMIFS(tblAnalysis[P&amp;L %],tblAnalysis[Date],Q290))</f>
        <v/>
      </c>
      <c r="T290" s="6" t="str">
        <f>IF(Q290="","",IFERROR(SUM($R$2:R290),""))</f>
        <v/>
      </c>
      <c r="U290" t="str">
        <f>IF(Q290="","",COUNTIFS(tblAnalysis[Date],Q290))</f>
        <v/>
      </c>
      <c r="W290" s="27" t="str">
        <f t="shared" si="80"/>
        <v/>
      </c>
      <c r="X290" s="6" t="str">
        <f t="shared" si="81"/>
        <v/>
      </c>
      <c r="Y290" s="6" t="str">
        <f>IF(Q290="","",MAX(X290,_xlfn.MAXIFS(tblAnalysis[Cum P&amp;L SOL],tblAnalysis[Date],Q290)))</f>
        <v/>
      </c>
      <c r="Z290" s="6" t="str">
        <f>IF(Q290="","",MIN(X290,_xlfn.MINIFS(tblAnalysis[Cum P&amp;L SOL],tblAnalysis[Date],Q290)))</f>
        <v/>
      </c>
      <c r="AA290" s="6" t="str">
        <f t="shared" si="82"/>
        <v/>
      </c>
      <c r="AB290"/>
      <c r="AC290" s="27" t="str">
        <f t="shared" si="83"/>
        <v/>
      </c>
      <c r="AD290" s="10" t="str">
        <f t="shared" si="84"/>
        <v/>
      </c>
      <c r="AE290" s="10" t="str">
        <f t="shared" si="85"/>
        <v/>
      </c>
      <c r="AF290" s="10" t="str">
        <f t="shared" si="86"/>
        <v/>
      </c>
      <c r="AG290"/>
      <c r="AH290" t="str">
        <f t="shared" si="87"/>
        <v/>
      </c>
      <c r="AI290" t="str">
        <f t="shared" si="88"/>
        <v/>
      </c>
      <c r="AK290" t="str" cm="1">
        <f t="array" ref="AK290">IFERROR(IF(INDEX($A:$A,ROW())="","",INDEX($A:$A,ROW())),"")</f>
        <v/>
      </c>
      <c r="AL290" t="str" cm="1">
        <f t="array" ref="AL290">IFERROR(INDEX(tblTrades[sol_invested],ROW()-1),"")</f>
        <v/>
      </c>
      <c r="AM290" s="6" t="str" cm="1">
        <f t="array" ref="AM290">IFERROR(INDEX(tblAnalysis[P&amp;L SOL],ROW()-1),"")</f>
        <v/>
      </c>
      <c r="AN290" t="str" cm="1">
        <f t="array" ref="AN290">IFERROR(IF(INDEX(tblTrades[sol_invested],ROW()-1)&gt;0.5,INDEX(tblAnalysis[Token],ROW()-1)&amp;" ("&amp;TEXT(INDEX(tblTrades[sol_invested],ROW()-1),"0.0")&amp;" SOL)",""),"")</f>
        <v/>
      </c>
      <c r="AO290" s="7"/>
      <c r="AP290" s="12" t="str" cm="1">
        <f t="array" ref="AP290">IFERROR(INDEX(tblAnalysis[Entry MC ($)],ROW()-1),"")</f>
        <v/>
      </c>
      <c r="AQ290" s="10" t="str" cm="1">
        <f t="array" ref="AQ290">IFERROR(INDEX(tblAnalysis[P&amp;L %],ROW()-1),"")</f>
        <v/>
      </c>
      <c r="AR290" t="str" cm="1">
        <f t="array" ref="AR290">IFERROR(INDEX(tblAnalysis[Hold Time (s)],ROW()-1),"")</f>
        <v/>
      </c>
      <c r="AS290" s="6" t="str" cm="1">
        <f t="array" ref="AS290">IFERROR(INDEX(tblAnalysis[P&amp;L SOL],ROW()-1),"")</f>
        <v/>
      </c>
      <c r="AT290"/>
      <c r="AY290" s="10"/>
      <c r="AZ290" s="10"/>
      <c r="BA290" s="6"/>
      <c r="BB290"/>
      <c r="BF290" t="str">
        <f t="shared" si="89"/>
        <v/>
      </c>
      <c r="BG290" s="27" t="str">
        <f t="shared" si="90"/>
        <v/>
      </c>
      <c r="BH290" t="str">
        <f t="shared" si="91"/>
        <v/>
      </c>
      <c r="BL290" s="29" t="e">
        <f t="shared" si="78"/>
        <v>#N/A</v>
      </c>
      <c r="BM290" s="29" t="e">
        <f t="shared" si="79"/>
        <v>#N/A</v>
      </c>
    </row>
    <row r="291" spans="16:65" x14ac:dyDescent="0.35">
      <c r="P291" s="6"/>
      <c r="Q291" s="27"/>
      <c r="R291" s="6" t="str">
        <f>IF(Q291="","",SUMIFS(tblAnalysis[P&amp;L SOL],tblAnalysis[Date],Q291))</f>
        <v/>
      </c>
      <c r="S291" s="10" t="str">
        <f>IF(Q291="","",SUMIFS(tblAnalysis[P&amp;L %],tblAnalysis[Date],Q291))</f>
        <v/>
      </c>
      <c r="T291" s="6" t="str">
        <f>IF(Q291="","",IFERROR(SUM($R$2:R291),""))</f>
        <v/>
      </c>
      <c r="U291" t="str">
        <f>IF(Q291="","",COUNTIFS(tblAnalysis[Date],Q291))</f>
        <v/>
      </c>
      <c r="W291" s="27" t="str">
        <f t="shared" si="80"/>
        <v/>
      </c>
      <c r="X291" s="6" t="str">
        <f t="shared" si="81"/>
        <v/>
      </c>
      <c r="Y291" s="6" t="str">
        <f>IF(Q291="","",MAX(X291,_xlfn.MAXIFS(tblAnalysis[Cum P&amp;L SOL],tblAnalysis[Date],Q291)))</f>
        <v/>
      </c>
      <c r="Z291" s="6" t="str">
        <f>IF(Q291="","",MIN(X291,_xlfn.MINIFS(tblAnalysis[Cum P&amp;L SOL],tblAnalysis[Date],Q291)))</f>
        <v/>
      </c>
      <c r="AA291" s="6" t="str">
        <f t="shared" si="82"/>
        <v/>
      </c>
      <c r="AB291"/>
      <c r="AC291" s="27" t="str">
        <f t="shared" si="83"/>
        <v/>
      </c>
      <c r="AD291" s="10" t="str">
        <f t="shared" si="84"/>
        <v/>
      </c>
      <c r="AE291" s="10" t="str">
        <f t="shared" si="85"/>
        <v/>
      </c>
      <c r="AF291" s="10" t="str">
        <f t="shared" si="86"/>
        <v/>
      </c>
      <c r="AG291"/>
      <c r="AH291" t="str">
        <f t="shared" si="87"/>
        <v/>
      </c>
      <c r="AI291" t="str">
        <f t="shared" si="88"/>
        <v/>
      </c>
      <c r="AK291" t="str" cm="1">
        <f t="array" ref="AK291">IFERROR(IF(INDEX($A:$A,ROW())="","",INDEX($A:$A,ROW())),"")</f>
        <v/>
      </c>
      <c r="AL291" t="str" cm="1">
        <f t="array" ref="AL291">IFERROR(INDEX(tblTrades[sol_invested],ROW()-1),"")</f>
        <v/>
      </c>
      <c r="AM291" s="6" t="str" cm="1">
        <f t="array" ref="AM291">IFERROR(INDEX(tblAnalysis[P&amp;L SOL],ROW()-1),"")</f>
        <v/>
      </c>
      <c r="AN291" t="str" cm="1">
        <f t="array" ref="AN291">IFERROR(IF(INDEX(tblTrades[sol_invested],ROW()-1)&gt;0.5,INDEX(tblAnalysis[Token],ROW()-1)&amp;" ("&amp;TEXT(INDEX(tblTrades[sol_invested],ROW()-1),"0.0")&amp;" SOL)",""),"")</f>
        <v/>
      </c>
      <c r="AO291" s="7"/>
      <c r="AP291" s="12" t="str" cm="1">
        <f t="array" ref="AP291">IFERROR(INDEX(tblAnalysis[Entry MC ($)],ROW()-1),"")</f>
        <v/>
      </c>
      <c r="AQ291" s="10" t="str" cm="1">
        <f t="array" ref="AQ291">IFERROR(INDEX(tblAnalysis[P&amp;L %],ROW()-1),"")</f>
        <v/>
      </c>
      <c r="AR291" t="str" cm="1">
        <f t="array" ref="AR291">IFERROR(INDEX(tblAnalysis[Hold Time (s)],ROW()-1),"")</f>
        <v/>
      </c>
      <c r="AS291" s="6" t="str" cm="1">
        <f t="array" ref="AS291">IFERROR(INDEX(tblAnalysis[P&amp;L SOL],ROW()-1),"")</f>
        <v/>
      </c>
      <c r="AT291"/>
      <c r="AY291" s="10"/>
      <c r="AZ291" s="10"/>
      <c r="BA291" s="6"/>
      <c r="BB291"/>
      <c r="BF291" t="str">
        <f t="shared" si="89"/>
        <v/>
      </c>
      <c r="BG291" s="27" t="str">
        <f t="shared" si="90"/>
        <v/>
      </c>
      <c r="BH291" t="str">
        <f t="shared" si="91"/>
        <v/>
      </c>
      <c r="BL291" s="29" t="e">
        <f t="shared" si="78"/>
        <v>#N/A</v>
      </c>
      <c r="BM291" s="29" t="e">
        <f t="shared" si="79"/>
        <v>#N/A</v>
      </c>
    </row>
    <row r="292" spans="16:65" x14ac:dyDescent="0.35">
      <c r="P292" s="6"/>
      <c r="Q292" s="27"/>
      <c r="R292" s="6" t="str">
        <f>IF(Q292="","",SUMIFS(tblAnalysis[P&amp;L SOL],tblAnalysis[Date],Q292))</f>
        <v/>
      </c>
      <c r="S292" s="10" t="str">
        <f>IF(Q292="","",SUMIFS(tblAnalysis[P&amp;L %],tblAnalysis[Date],Q292))</f>
        <v/>
      </c>
      <c r="T292" s="6" t="str">
        <f>IF(Q292="","",IFERROR(SUM($R$2:R292),""))</f>
        <v/>
      </c>
      <c r="U292" t="str">
        <f>IF(Q292="","",COUNTIFS(tblAnalysis[Date],Q292))</f>
        <v/>
      </c>
      <c r="W292" s="27" t="str">
        <f t="shared" si="80"/>
        <v/>
      </c>
      <c r="X292" s="6" t="str">
        <f t="shared" si="81"/>
        <v/>
      </c>
      <c r="Y292" s="6" t="str">
        <f>IF(Q292="","",MAX(X292,_xlfn.MAXIFS(tblAnalysis[Cum P&amp;L SOL],tblAnalysis[Date],Q292)))</f>
        <v/>
      </c>
      <c r="Z292" s="6" t="str">
        <f>IF(Q292="","",MIN(X292,_xlfn.MINIFS(tblAnalysis[Cum P&amp;L SOL],tblAnalysis[Date],Q292)))</f>
        <v/>
      </c>
      <c r="AA292" s="6" t="str">
        <f t="shared" si="82"/>
        <v/>
      </c>
      <c r="AB292"/>
      <c r="AC292" s="27" t="str">
        <f t="shared" si="83"/>
        <v/>
      </c>
      <c r="AD292" s="10" t="str">
        <f t="shared" si="84"/>
        <v/>
      </c>
      <c r="AE292" s="10" t="str">
        <f t="shared" si="85"/>
        <v/>
      </c>
      <c r="AF292" s="10" t="str">
        <f t="shared" si="86"/>
        <v/>
      </c>
      <c r="AG292"/>
      <c r="AH292" t="str">
        <f t="shared" si="87"/>
        <v/>
      </c>
      <c r="AI292" t="str">
        <f t="shared" si="88"/>
        <v/>
      </c>
      <c r="AK292" t="str" cm="1">
        <f t="array" ref="AK292">IFERROR(IF(INDEX($A:$A,ROW())="","",INDEX($A:$A,ROW())),"")</f>
        <v/>
      </c>
      <c r="AL292" t="str" cm="1">
        <f t="array" ref="AL292">IFERROR(INDEX(tblTrades[sol_invested],ROW()-1),"")</f>
        <v/>
      </c>
      <c r="AM292" s="6" t="str" cm="1">
        <f t="array" ref="AM292">IFERROR(INDEX(tblAnalysis[P&amp;L SOL],ROW()-1),"")</f>
        <v/>
      </c>
      <c r="AN292" t="str" cm="1">
        <f t="array" ref="AN292">IFERROR(IF(INDEX(tblTrades[sol_invested],ROW()-1)&gt;0.5,INDEX(tblAnalysis[Token],ROW()-1)&amp;" ("&amp;TEXT(INDEX(tblTrades[sol_invested],ROW()-1),"0.0")&amp;" SOL)",""),"")</f>
        <v/>
      </c>
      <c r="AO292" s="7"/>
      <c r="AP292" s="12" t="str" cm="1">
        <f t="array" ref="AP292">IFERROR(INDEX(tblAnalysis[Entry MC ($)],ROW()-1),"")</f>
        <v/>
      </c>
      <c r="AQ292" s="10" t="str" cm="1">
        <f t="array" ref="AQ292">IFERROR(INDEX(tblAnalysis[P&amp;L %],ROW()-1),"")</f>
        <v/>
      </c>
      <c r="AR292" t="str" cm="1">
        <f t="array" ref="AR292">IFERROR(INDEX(tblAnalysis[Hold Time (s)],ROW()-1),"")</f>
        <v/>
      </c>
      <c r="AS292" s="6" t="str" cm="1">
        <f t="array" ref="AS292">IFERROR(INDEX(tblAnalysis[P&amp;L SOL],ROW()-1),"")</f>
        <v/>
      </c>
      <c r="AT292"/>
      <c r="AY292" s="10"/>
      <c r="AZ292" s="10"/>
      <c r="BA292" s="6"/>
      <c r="BB292"/>
      <c r="BF292" t="str">
        <f t="shared" si="89"/>
        <v/>
      </c>
      <c r="BG292" s="27" t="str">
        <f t="shared" si="90"/>
        <v/>
      </c>
      <c r="BH292" t="str">
        <f t="shared" si="91"/>
        <v/>
      </c>
      <c r="BL292" s="29" t="e">
        <f t="shared" si="78"/>
        <v>#N/A</v>
      </c>
      <c r="BM292" s="29" t="e">
        <f t="shared" si="79"/>
        <v>#N/A</v>
      </c>
    </row>
    <row r="293" spans="16:65" x14ac:dyDescent="0.35">
      <c r="P293" s="6"/>
      <c r="Q293" s="27"/>
      <c r="R293" s="6" t="str">
        <f>IF(Q293="","",SUMIFS(tblAnalysis[P&amp;L SOL],tblAnalysis[Date],Q293))</f>
        <v/>
      </c>
      <c r="S293" s="10" t="str">
        <f>IF(Q293="","",SUMIFS(tblAnalysis[P&amp;L %],tblAnalysis[Date],Q293))</f>
        <v/>
      </c>
      <c r="T293" s="6" t="str">
        <f>IF(Q293="","",IFERROR(SUM($R$2:R293),""))</f>
        <v/>
      </c>
      <c r="U293" t="str">
        <f>IF(Q293="","",COUNTIFS(tblAnalysis[Date],Q293))</f>
        <v/>
      </c>
      <c r="W293" s="27" t="str">
        <f t="shared" si="80"/>
        <v/>
      </c>
      <c r="X293" s="6" t="str">
        <f t="shared" si="81"/>
        <v/>
      </c>
      <c r="Y293" s="6" t="str">
        <f>IF(Q293="","",MAX(X293,_xlfn.MAXIFS(tblAnalysis[Cum P&amp;L SOL],tblAnalysis[Date],Q293)))</f>
        <v/>
      </c>
      <c r="Z293" s="6" t="str">
        <f>IF(Q293="","",MIN(X293,_xlfn.MINIFS(tblAnalysis[Cum P&amp;L SOL],tblAnalysis[Date],Q293)))</f>
        <v/>
      </c>
      <c r="AA293" s="6" t="str">
        <f t="shared" si="82"/>
        <v/>
      </c>
      <c r="AB293"/>
      <c r="AC293" s="27" t="str">
        <f t="shared" si="83"/>
        <v/>
      </c>
      <c r="AD293" s="10" t="str">
        <f t="shared" si="84"/>
        <v/>
      </c>
      <c r="AE293" s="10" t="str">
        <f t="shared" si="85"/>
        <v/>
      </c>
      <c r="AF293" s="10" t="str">
        <f t="shared" si="86"/>
        <v/>
      </c>
      <c r="AG293"/>
      <c r="AH293" t="str">
        <f t="shared" si="87"/>
        <v/>
      </c>
      <c r="AI293" t="str">
        <f t="shared" si="88"/>
        <v/>
      </c>
      <c r="AK293" t="str" cm="1">
        <f t="array" ref="AK293">IFERROR(IF(INDEX($A:$A,ROW())="","",INDEX($A:$A,ROW())),"")</f>
        <v/>
      </c>
      <c r="AL293" t="str" cm="1">
        <f t="array" ref="AL293">IFERROR(INDEX(tblTrades[sol_invested],ROW()-1),"")</f>
        <v/>
      </c>
      <c r="AM293" s="6" t="str" cm="1">
        <f t="array" ref="AM293">IFERROR(INDEX(tblAnalysis[P&amp;L SOL],ROW()-1),"")</f>
        <v/>
      </c>
      <c r="AN293" t="str" cm="1">
        <f t="array" ref="AN293">IFERROR(IF(INDEX(tblTrades[sol_invested],ROW()-1)&gt;0.5,INDEX(tblAnalysis[Token],ROW()-1)&amp;" ("&amp;TEXT(INDEX(tblTrades[sol_invested],ROW()-1),"0.0")&amp;" SOL)",""),"")</f>
        <v/>
      </c>
      <c r="AO293" s="7"/>
      <c r="AP293" s="12" t="str" cm="1">
        <f t="array" ref="AP293">IFERROR(INDEX(tblAnalysis[Entry MC ($)],ROW()-1),"")</f>
        <v/>
      </c>
      <c r="AQ293" s="10" t="str" cm="1">
        <f t="array" ref="AQ293">IFERROR(INDEX(tblAnalysis[P&amp;L %],ROW()-1),"")</f>
        <v/>
      </c>
      <c r="AR293" t="str" cm="1">
        <f t="array" ref="AR293">IFERROR(INDEX(tblAnalysis[Hold Time (s)],ROW()-1),"")</f>
        <v/>
      </c>
      <c r="AS293" s="6" t="str" cm="1">
        <f t="array" ref="AS293">IFERROR(INDEX(tblAnalysis[P&amp;L SOL],ROW()-1),"")</f>
        <v/>
      </c>
      <c r="AT293"/>
      <c r="AY293" s="10"/>
      <c r="AZ293" s="10"/>
      <c r="BA293" s="6"/>
      <c r="BB293"/>
      <c r="BF293" t="str">
        <f t="shared" si="89"/>
        <v/>
      </c>
      <c r="BG293" s="27" t="str">
        <f t="shared" si="90"/>
        <v/>
      </c>
      <c r="BH293" t="str">
        <f t="shared" si="91"/>
        <v/>
      </c>
      <c r="BL293" s="29" t="e">
        <f t="shared" si="78"/>
        <v>#N/A</v>
      </c>
      <c r="BM293" s="29" t="e">
        <f t="shared" si="79"/>
        <v>#N/A</v>
      </c>
    </row>
    <row r="294" spans="16:65" x14ac:dyDescent="0.35">
      <c r="P294" s="6"/>
      <c r="Q294" s="27"/>
      <c r="R294" s="6" t="str">
        <f>IF(Q294="","",SUMIFS(tblAnalysis[P&amp;L SOL],tblAnalysis[Date],Q294))</f>
        <v/>
      </c>
      <c r="S294" s="10" t="str">
        <f>IF(Q294="","",SUMIFS(tblAnalysis[P&amp;L %],tblAnalysis[Date],Q294))</f>
        <v/>
      </c>
      <c r="T294" s="6" t="str">
        <f>IF(Q294="","",IFERROR(SUM($R$2:R294),""))</f>
        <v/>
      </c>
      <c r="U294" t="str">
        <f>IF(Q294="","",COUNTIFS(tblAnalysis[Date],Q294))</f>
        <v/>
      </c>
      <c r="W294" s="27" t="str">
        <f t="shared" si="80"/>
        <v/>
      </c>
      <c r="X294" s="6" t="str">
        <f t="shared" si="81"/>
        <v/>
      </c>
      <c r="Y294" s="6" t="str">
        <f>IF(Q294="","",MAX(X294,_xlfn.MAXIFS(tblAnalysis[Cum P&amp;L SOL],tblAnalysis[Date],Q294)))</f>
        <v/>
      </c>
      <c r="Z294" s="6" t="str">
        <f>IF(Q294="","",MIN(X294,_xlfn.MINIFS(tblAnalysis[Cum P&amp;L SOL],tblAnalysis[Date],Q294)))</f>
        <v/>
      </c>
      <c r="AA294" s="6" t="str">
        <f t="shared" si="82"/>
        <v/>
      </c>
      <c r="AB294"/>
      <c r="AC294" s="27" t="str">
        <f t="shared" si="83"/>
        <v/>
      </c>
      <c r="AD294" s="10" t="str">
        <f t="shared" si="84"/>
        <v/>
      </c>
      <c r="AE294" s="10" t="str">
        <f t="shared" si="85"/>
        <v/>
      </c>
      <c r="AF294" s="10" t="str">
        <f t="shared" si="86"/>
        <v/>
      </c>
      <c r="AG294"/>
      <c r="AH294" t="str">
        <f t="shared" si="87"/>
        <v/>
      </c>
      <c r="AI294" t="str">
        <f t="shared" si="88"/>
        <v/>
      </c>
      <c r="AK294" t="str" cm="1">
        <f t="array" ref="AK294">IFERROR(IF(INDEX($A:$A,ROW())="","",INDEX($A:$A,ROW())),"")</f>
        <v/>
      </c>
      <c r="AL294" t="str" cm="1">
        <f t="array" ref="AL294">IFERROR(INDEX(tblTrades[sol_invested],ROW()-1),"")</f>
        <v/>
      </c>
      <c r="AM294" s="6" t="str" cm="1">
        <f t="array" ref="AM294">IFERROR(INDEX(tblAnalysis[P&amp;L SOL],ROW()-1),"")</f>
        <v/>
      </c>
      <c r="AN294" t="str" cm="1">
        <f t="array" ref="AN294">IFERROR(IF(INDEX(tblTrades[sol_invested],ROW()-1)&gt;0.5,INDEX(tblAnalysis[Token],ROW()-1)&amp;" ("&amp;TEXT(INDEX(tblTrades[sol_invested],ROW()-1),"0.0")&amp;" SOL)",""),"")</f>
        <v/>
      </c>
      <c r="AO294" s="7"/>
      <c r="AP294" s="12" t="str" cm="1">
        <f t="array" ref="AP294">IFERROR(INDEX(tblAnalysis[Entry MC ($)],ROW()-1),"")</f>
        <v/>
      </c>
      <c r="AQ294" s="10" t="str" cm="1">
        <f t="array" ref="AQ294">IFERROR(INDEX(tblAnalysis[P&amp;L %],ROW()-1),"")</f>
        <v/>
      </c>
      <c r="AR294" t="str" cm="1">
        <f t="array" ref="AR294">IFERROR(INDEX(tblAnalysis[Hold Time (s)],ROW()-1),"")</f>
        <v/>
      </c>
      <c r="AS294" s="6" t="str" cm="1">
        <f t="array" ref="AS294">IFERROR(INDEX(tblAnalysis[P&amp;L SOL],ROW()-1),"")</f>
        <v/>
      </c>
      <c r="AT294"/>
      <c r="AY294" s="10"/>
      <c r="AZ294" s="10"/>
      <c r="BA294" s="6"/>
      <c r="BB294"/>
      <c r="BF294" t="str">
        <f t="shared" si="89"/>
        <v/>
      </c>
      <c r="BG294" s="27" t="str">
        <f t="shared" si="90"/>
        <v/>
      </c>
      <c r="BH294" t="str">
        <f t="shared" si="91"/>
        <v/>
      </c>
      <c r="BL294" s="29" t="e">
        <f t="shared" si="78"/>
        <v>#N/A</v>
      </c>
      <c r="BM294" s="29" t="e">
        <f t="shared" si="79"/>
        <v>#N/A</v>
      </c>
    </row>
    <row r="295" spans="16:65" x14ac:dyDescent="0.35">
      <c r="P295" s="6"/>
      <c r="Q295" s="27"/>
      <c r="R295" s="6" t="str">
        <f>IF(Q295="","",SUMIFS(tblAnalysis[P&amp;L SOL],tblAnalysis[Date],Q295))</f>
        <v/>
      </c>
      <c r="S295" s="10" t="str">
        <f>IF(Q295="","",SUMIFS(tblAnalysis[P&amp;L %],tblAnalysis[Date],Q295))</f>
        <v/>
      </c>
      <c r="T295" s="6" t="str">
        <f>IF(Q295="","",IFERROR(SUM($R$2:R295),""))</f>
        <v/>
      </c>
      <c r="U295" t="str">
        <f>IF(Q295="","",COUNTIFS(tblAnalysis[Date],Q295))</f>
        <v/>
      </c>
      <c r="W295" s="27" t="str">
        <f t="shared" si="80"/>
        <v/>
      </c>
      <c r="X295" s="6" t="str">
        <f t="shared" si="81"/>
        <v/>
      </c>
      <c r="Y295" s="6" t="str">
        <f>IF(Q295="","",MAX(X295,_xlfn.MAXIFS(tblAnalysis[Cum P&amp;L SOL],tblAnalysis[Date],Q295)))</f>
        <v/>
      </c>
      <c r="Z295" s="6" t="str">
        <f>IF(Q295="","",MIN(X295,_xlfn.MINIFS(tblAnalysis[Cum P&amp;L SOL],tblAnalysis[Date],Q295)))</f>
        <v/>
      </c>
      <c r="AA295" s="6" t="str">
        <f t="shared" si="82"/>
        <v/>
      </c>
      <c r="AB295"/>
      <c r="AC295" s="27" t="str">
        <f t="shared" si="83"/>
        <v/>
      </c>
      <c r="AD295" s="10" t="str">
        <f t="shared" si="84"/>
        <v/>
      </c>
      <c r="AE295" s="10" t="str">
        <f t="shared" si="85"/>
        <v/>
      </c>
      <c r="AF295" s="10" t="str">
        <f t="shared" si="86"/>
        <v/>
      </c>
      <c r="AG295"/>
      <c r="AH295" t="str">
        <f t="shared" si="87"/>
        <v/>
      </c>
      <c r="AI295" t="str">
        <f t="shared" si="88"/>
        <v/>
      </c>
      <c r="AK295" t="str" cm="1">
        <f t="array" ref="AK295">IFERROR(IF(INDEX($A:$A,ROW())="","",INDEX($A:$A,ROW())),"")</f>
        <v/>
      </c>
      <c r="AL295" t="str" cm="1">
        <f t="array" ref="AL295">IFERROR(INDEX(tblTrades[sol_invested],ROW()-1),"")</f>
        <v/>
      </c>
      <c r="AM295" s="6" t="str" cm="1">
        <f t="array" ref="AM295">IFERROR(INDEX(tblAnalysis[P&amp;L SOL],ROW()-1),"")</f>
        <v/>
      </c>
      <c r="AN295" t="str" cm="1">
        <f t="array" ref="AN295">IFERROR(IF(INDEX(tblTrades[sol_invested],ROW()-1)&gt;0.5,INDEX(tblAnalysis[Token],ROW()-1)&amp;" ("&amp;TEXT(INDEX(tblTrades[sol_invested],ROW()-1),"0.0")&amp;" SOL)",""),"")</f>
        <v/>
      </c>
      <c r="AO295" s="7"/>
      <c r="AP295" s="12" t="str" cm="1">
        <f t="array" ref="AP295">IFERROR(INDEX(tblAnalysis[Entry MC ($)],ROW()-1),"")</f>
        <v/>
      </c>
      <c r="AQ295" s="10" t="str" cm="1">
        <f t="array" ref="AQ295">IFERROR(INDEX(tblAnalysis[P&amp;L %],ROW()-1),"")</f>
        <v/>
      </c>
      <c r="AR295" t="str" cm="1">
        <f t="array" ref="AR295">IFERROR(INDEX(tblAnalysis[Hold Time (s)],ROW()-1),"")</f>
        <v/>
      </c>
      <c r="AS295" s="6" t="str" cm="1">
        <f t="array" ref="AS295">IFERROR(INDEX(tblAnalysis[P&amp;L SOL],ROW()-1),"")</f>
        <v/>
      </c>
      <c r="AT295"/>
      <c r="AY295" s="10"/>
      <c r="AZ295" s="10"/>
      <c r="BA295" s="6"/>
      <c r="BB295"/>
      <c r="BF295" t="str">
        <f t="shared" si="89"/>
        <v/>
      </c>
      <c r="BG295" s="27" t="str">
        <f t="shared" si="90"/>
        <v/>
      </c>
      <c r="BH295" t="str">
        <f t="shared" si="91"/>
        <v/>
      </c>
      <c r="BL295" s="29" t="e">
        <f t="shared" si="78"/>
        <v>#N/A</v>
      </c>
      <c r="BM295" s="29" t="e">
        <f t="shared" si="79"/>
        <v>#N/A</v>
      </c>
    </row>
    <row r="296" spans="16:65" x14ac:dyDescent="0.35">
      <c r="P296" s="6"/>
      <c r="Q296" s="27"/>
      <c r="R296" s="6" t="str">
        <f>IF(Q296="","",SUMIFS(tblAnalysis[P&amp;L SOL],tblAnalysis[Date],Q296))</f>
        <v/>
      </c>
      <c r="S296" s="10" t="str">
        <f>IF(Q296="","",SUMIFS(tblAnalysis[P&amp;L %],tblAnalysis[Date],Q296))</f>
        <v/>
      </c>
      <c r="T296" s="6" t="str">
        <f>IF(Q296="","",IFERROR(SUM($R$2:R296),""))</f>
        <v/>
      </c>
      <c r="U296" t="str">
        <f>IF(Q296="","",COUNTIFS(tblAnalysis[Date],Q296))</f>
        <v/>
      </c>
      <c r="W296" s="27" t="str">
        <f t="shared" si="80"/>
        <v/>
      </c>
      <c r="X296" s="6" t="str">
        <f t="shared" si="81"/>
        <v/>
      </c>
      <c r="Y296" s="6" t="str">
        <f>IF(Q296="","",MAX(X296,_xlfn.MAXIFS(tblAnalysis[Cum P&amp;L SOL],tblAnalysis[Date],Q296)))</f>
        <v/>
      </c>
      <c r="Z296" s="6" t="str">
        <f>IF(Q296="","",MIN(X296,_xlfn.MINIFS(tblAnalysis[Cum P&amp;L SOL],tblAnalysis[Date],Q296)))</f>
        <v/>
      </c>
      <c r="AA296" s="6" t="str">
        <f t="shared" si="82"/>
        <v/>
      </c>
      <c r="AB296"/>
      <c r="AC296" s="27" t="str">
        <f t="shared" si="83"/>
        <v/>
      </c>
      <c r="AD296" s="10" t="str">
        <f t="shared" si="84"/>
        <v/>
      </c>
      <c r="AE296" s="10" t="str">
        <f t="shared" si="85"/>
        <v/>
      </c>
      <c r="AF296" s="10" t="str">
        <f t="shared" si="86"/>
        <v/>
      </c>
      <c r="AG296"/>
      <c r="AH296" t="str">
        <f t="shared" si="87"/>
        <v/>
      </c>
      <c r="AI296" t="str">
        <f t="shared" si="88"/>
        <v/>
      </c>
      <c r="AK296" t="str" cm="1">
        <f t="array" ref="AK296">IFERROR(IF(INDEX($A:$A,ROW())="","",INDEX($A:$A,ROW())),"")</f>
        <v/>
      </c>
      <c r="AL296" t="str" cm="1">
        <f t="array" ref="AL296">IFERROR(INDEX(tblTrades[sol_invested],ROW()-1),"")</f>
        <v/>
      </c>
      <c r="AM296" s="6" t="str" cm="1">
        <f t="array" ref="AM296">IFERROR(INDEX(tblAnalysis[P&amp;L SOL],ROW()-1),"")</f>
        <v/>
      </c>
      <c r="AN296" t="str" cm="1">
        <f t="array" ref="AN296">IFERROR(IF(INDEX(tblTrades[sol_invested],ROW()-1)&gt;0.5,INDEX(tblAnalysis[Token],ROW()-1)&amp;" ("&amp;TEXT(INDEX(tblTrades[sol_invested],ROW()-1),"0.0")&amp;" SOL)",""),"")</f>
        <v/>
      </c>
      <c r="AO296" s="7"/>
      <c r="AP296" s="12" t="str" cm="1">
        <f t="array" ref="AP296">IFERROR(INDEX(tblAnalysis[Entry MC ($)],ROW()-1),"")</f>
        <v/>
      </c>
      <c r="AQ296" s="10" t="str" cm="1">
        <f t="array" ref="AQ296">IFERROR(INDEX(tblAnalysis[P&amp;L %],ROW()-1),"")</f>
        <v/>
      </c>
      <c r="AR296" t="str" cm="1">
        <f t="array" ref="AR296">IFERROR(INDEX(tblAnalysis[Hold Time (s)],ROW()-1),"")</f>
        <v/>
      </c>
      <c r="AS296" s="6" t="str" cm="1">
        <f t="array" ref="AS296">IFERROR(INDEX(tblAnalysis[P&amp;L SOL],ROW()-1),"")</f>
        <v/>
      </c>
      <c r="AT296"/>
      <c r="AY296" s="10"/>
      <c r="AZ296" s="10"/>
      <c r="BA296" s="6"/>
      <c r="BB296"/>
      <c r="BF296" t="str">
        <f t="shared" si="89"/>
        <v/>
      </c>
      <c r="BG296" s="27" t="str">
        <f t="shared" si="90"/>
        <v/>
      </c>
      <c r="BH296" t="str">
        <f t="shared" si="91"/>
        <v/>
      </c>
      <c r="BL296" s="29" t="e">
        <f t="shared" ref="BL296:BL359" si="92">IF(ISNUMBER(G286),IF(G286&gt;0,G286,NA()),NA())</f>
        <v>#N/A</v>
      </c>
      <c r="BM296" s="29" t="e">
        <f t="shared" ref="BM296:BM359" si="93">IF(ISNUMBER(G286),IF(G286&lt;=0,G286,NA()),NA())</f>
        <v>#N/A</v>
      </c>
    </row>
    <row r="297" spans="16:65" x14ac:dyDescent="0.35">
      <c r="P297" s="6"/>
      <c r="Q297" s="27"/>
      <c r="R297" s="6" t="str">
        <f>IF(Q297="","",SUMIFS(tblAnalysis[P&amp;L SOL],tblAnalysis[Date],Q297))</f>
        <v/>
      </c>
      <c r="S297" s="10" t="str">
        <f>IF(Q297="","",SUMIFS(tblAnalysis[P&amp;L %],tblAnalysis[Date],Q297))</f>
        <v/>
      </c>
      <c r="T297" s="6" t="str">
        <f>IF(Q297="","",IFERROR(SUM($R$2:R297),""))</f>
        <v/>
      </c>
      <c r="U297" t="str">
        <f>IF(Q297="","",COUNTIFS(tblAnalysis[Date],Q297))</f>
        <v/>
      </c>
      <c r="W297" s="27" t="str">
        <f t="shared" si="80"/>
        <v/>
      </c>
      <c r="X297" s="6" t="str">
        <f t="shared" si="81"/>
        <v/>
      </c>
      <c r="Y297" s="6" t="str">
        <f>IF(Q297="","",MAX(X297,_xlfn.MAXIFS(tblAnalysis[Cum P&amp;L SOL],tblAnalysis[Date],Q297)))</f>
        <v/>
      </c>
      <c r="Z297" s="6" t="str">
        <f>IF(Q297="","",MIN(X297,_xlfn.MINIFS(tblAnalysis[Cum P&amp;L SOL],tblAnalysis[Date],Q297)))</f>
        <v/>
      </c>
      <c r="AA297" s="6" t="str">
        <f t="shared" si="82"/>
        <v/>
      </c>
      <c r="AB297"/>
      <c r="AC297" s="27" t="str">
        <f t="shared" si="83"/>
        <v/>
      </c>
      <c r="AD297" s="10" t="str">
        <f t="shared" si="84"/>
        <v/>
      </c>
      <c r="AE297" s="10" t="str">
        <f t="shared" si="85"/>
        <v/>
      </c>
      <c r="AF297" s="10" t="str">
        <f t="shared" si="86"/>
        <v/>
      </c>
      <c r="AG297"/>
      <c r="AH297" t="str">
        <f t="shared" si="87"/>
        <v/>
      </c>
      <c r="AI297" t="str">
        <f t="shared" si="88"/>
        <v/>
      </c>
      <c r="AK297" t="str" cm="1">
        <f t="array" ref="AK297">IFERROR(IF(INDEX($A:$A,ROW())="","",INDEX($A:$A,ROW())),"")</f>
        <v/>
      </c>
      <c r="AL297" t="str" cm="1">
        <f t="array" ref="AL297">IFERROR(INDEX(tblTrades[sol_invested],ROW()-1),"")</f>
        <v/>
      </c>
      <c r="AM297" s="6" t="str" cm="1">
        <f t="array" ref="AM297">IFERROR(INDEX(tblAnalysis[P&amp;L SOL],ROW()-1),"")</f>
        <v/>
      </c>
      <c r="AN297" t="str" cm="1">
        <f t="array" ref="AN297">IFERROR(IF(INDEX(tblTrades[sol_invested],ROW()-1)&gt;0.5,INDEX(tblAnalysis[Token],ROW()-1)&amp;" ("&amp;TEXT(INDEX(tblTrades[sol_invested],ROW()-1),"0.0")&amp;" SOL)",""),"")</f>
        <v/>
      </c>
      <c r="AO297" s="7"/>
      <c r="AP297" s="12" t="str" cm="1">
        <f t="array" ref="AP297">IFERROR(INDEX(tblAnalysis[Entry MC ($)],ROW()-1),"")</f>
        <v/>
      </c>
      <c r="AQ297" s="10" t="str" cm="1">
        <f t="array" ref="AQ297">IFERROR(INDEX(tblAnalysis[P&amp;L %],ROW()-1),"")</f>
        <v/>
      </c>
      <c r="AR297" t="str" cm="1">
        <f t="array" ref="AR297">IFERROR(INDEX(tblAnalysis[Hold Time (s)],ROW()-1),"")</f>
        <v/>
      </c>
      <c r="AS297" s="6" t="str" cm="1">
        <f t="array" ref="AS297">IFERROR(INDEX(tblAnalysis[P&amp;L SOL],ROW()-1),"")</f>
        <v/>
      </c>
      <c r="AT297"/>
      <c r="AY297" s="10"/>
      <c r="AZ297" s="10"/>
      <c r="BA297" s="6"/>
      <c r="BB297"/>
      <c r="BF297" t="str">
        <f t="shared" si="89"/>
        <v/>
      </c>
      <c r="BG297" s="27" t="str">
        <f t="shared" si="90"/>
        <v/>
      </c>
      <c r="BH297" t="str">
        <f t="shared" si="91"/>
        <v/>
      </c>
      <c r="BL297" s="29" t="e">
        <f t="shared" si="92"/>
        <v>#N/A</v>
      </c>
      <c r="BM297" s="29" t="e">
        <f t="shared" si="93"/>
        <v>#N/A</v>
      </c>
    </row>
    <row r="298" spans="16:65" x14ac:dyDescent="0.35">
      <c r="P298" s="6"/>
      <c r="Q298" s="27"/>
      <c r="R298" s="6" t="str">
        <f>IF(Q298="","",SUMIFS(tblAnalysis[P&amp;L SOL],tblAnalysis[Date],Q298))</f>
        <v/>
      </c>
      <c r="S298" s="10" t="str">
        <f>IF(Q298="","",SUMIFS(tblAnalysis[P&amp;L %],tblAnalysis[Date],Q298))</f>
        <v/>
      </c>
      <c r="T298" s="6" t="str">
        <f>IF(Q298="","",IFERROR(SUM($R$2:R298),""))</f>
        <v/>
      </c>
      <c r="U298" t="str">
        <f>IF(Q298="","",COUNTIFS(tblAnalysis[Date],Q298))</f>
        <v/>
      </c>
      <c r="W298" s="27" t="str">
        <f t="shared" si="80"/>
        <v/>
      </c>
      <c r="X298" s="6" t="str">
        <f t="shared" si="81"/>
        <v/>
      </c>
      <c r="Y298" s="6" t="str">
        <f>IF(Q298="","",MAX(X298,_xlfn.MAXIFS(tblAnalysis[Cum P&amp;L SOL],tblAnalysis[Date],Q298)))</f>
        <v/>
      </c>
      <c r="Z298" s="6" t="str">
        <f>IF(Q298="","",MIN(X298,_xlfn.MINIFS(tblAnalysis[Cum P&amp;L SOL],tblAnalysis[Date],Q298)))</f>
        <v/>
      </c>
      <c r="AA298" s="6" t="str">
        <f t="shared" si="82"/>
        <v/>
      </c>
      <c r="AB298"/>
      <c r="AC298" s="27" t="str">
        <f t="shared" si="83"/>
        <v/>
      </c>
      <c r="AD298" s="10" t="str">
        <f t="shared" si="84"/>
        <v/>
      </c>
      <c r="AE298" s="10" t="str">
        <f t="shared" si="85"/>
        <v/>
      </c>
      <c r="AF298" s="10" t="str">
        <f t="shared" si="86"/>
        <v/>
      </c>
      <c r="AG298"/>
      <c r="AH298" t="str">
        <f t="shared" si="87"/>
        <v/>
      </c>
      <c r="AI298" t="str">
        <f t="shared" si="88"/>
        <v/>
      </c>
      <c r="AK298" t="str" cm="1">
        <f t="array" ref="AK298">IFERROR(IF(INDEX($A:$A,ROW())="","",INDEX($A:$A,ROW())),"")</f>
        <v/>
      </c>
      <c r="AL298" t="str" cm="1">
        <f t="array" ref="AL298">IFERROR(INDEX(tblTrades[sol_invested],ROW()-1),"")</f>
        <v/>
      </c>
      <c r="AM298" s="6" t="str" cm="1">
        <f t="array" ref="AM298">IFERROR(INDEX(tblAnalysis[P&amp;L SOL],ROW()-1),"")</f>
        <v/>
      </c>
      <c r="AN298" t="str" cm="1">
        <f t="array" ref="AN298">IFERROR(IF(INDEX(tblTrades[sol_invested],ROW()-1)&gt;0.5,INDEX(tblAnalysis[Token],ROW()-1)&amp;" ("&amp;TEXT(INDEX(tblTrades[sol_invested],ROW()-1),"0.0")&amp;" SOL)",""),"")</f>
        <v/>
      </c>
      <c r="AO298" s="7"/>
      <c r="AP298" s="12" t="str" cm="1">
        <f t="array" ref="AP298">IFERROR(INDEX(tblAnalysis[Entry MC ($)],ROW()-1),"")</f>
        <v/>
      </c>
      <c r="AQ298" s="10" t="str" cm="1">
        <f t="array" ref="AQ298">IFERROR(INDEX(tblAnalysis[P&amp;L %],ROW()-1),"")</f>
        <v/>
      </c>
      <c r="AR298" t="str" cm="1">
        <f t="array" ref="AR298">IFERROR(INDEX(tblAnalysis[Hold Time (s)],ROW()-1),"")</f>
        <v/>
      </c>
      <c r="AS298" s="6" t="str" cm="1">
        <f t="array" ref="AS298">IFERROR(INDEX(tblAnalysis[P&amp;L SOL],ROW()-1),"")</f>
        <v/>
      </c>
      <c r="AT298"/>
      <c r="AY298" s="10"/>
      <c r="AZ298" s="10"/>
      <c r="BA298" s="6"/>
      <c r="BB298"/>
      <c r="BF298" t="str">
        <f t="shared" si="89"/>
        <v/>
      </c>
      <c r="BG298" s="27" t="str">
        <f t="shared" si="90"/>
        <v/>
      </c>
      <c r="BH298" t="str">
        <f t="shared" si="91"/>
        <v/>
      </c>
      <c r="BL298" s="29" t="e">
        <f t="shared" si="92"/>
        <v>#N/A</v>
      </c>
      <c r="BM298" s="29" t="e">
        <f t="shared" si="93"/>
        <v>#N/A</v>
      </c>
    </row>
    <row r="299" spans="16:65" x14ac:dyDescent="0.35">
      <c r="P299" s="6"/>
      <c r="Q299" s="27"/>
      <c r="R299" s="6" t="str">
        <f>IF(Q299="","",SUMIFS(tblAnalysis[P&amp;L SOL],tblAnalysis[Date],Q299))</f>
        <v/>
      </c>
      <c r="S299" s="10" t="str">
        <f>IF(Q299="","",SUMIFS(tblAnalysis[P&amp;L %],tblAnalysis[Date],Q299))</f>
        <v/>
      </c>
      <c r="T299" s="6" t="str">
        <f>IF(Q299="","",IFERROR(SUM($R$2:R299),""))</f>
        <v/>
      </c>
      <c r="U299" t="str">
        <f>IF(Q299="","",COUNTIFS(tblAnalysis[Date],Q299))</f>
        <v/>
      </c>
      <c r="W299" s="27" t="str">
        <f t="shared" si="80"/>
        <v/>
      </c>
      <c r="X299" s="6" t="str">
        <f t="shared" si="81"/>
        <v/>
      </c>
      <c r="Y299" s="6" t="str">
        <f>IF(Q299="","",MAX(X299,_xlfn.MAXIFS(tblAnalysis[Cum P&amp;L SOL],tblAnalysis[Date],Q299)))</f>
        <v/>
      </c>
      <c r="Z299" s="6" t="str">
        <f>IF(Q299="","",MIN(X299,_xlfn.MINIFS(tblAnalysis[Cum P&amp;L SOL],tblAnalysis[Date],Q299)))</f>
        <v/>
      </c>
      <c r="AA299" s="6" t="str">
        <f t="shared" si="82"/>
        <v/>
      </c>
      <c r="AB299"/>
      <c r="AC299" s="27" t="str">
        <f t="shared" si="83"/>
        <v/>
      </c>
      <c r="AD299" s="10" t="str">
        <f t="shared" si="84"/>
        <v/>
      </c>
      <c r="AE299" s="10" t="str">
        <f t="shared" si="85"/>
        <v/>
      </c>
      <c r="AF299" s="10" t="str">
        <f t="shared" si="86"/>
        <v/>
      </c>
      <c r="AG299"/>
      <c r="AH299" t="str">
        <f t="shared" si="87"/>
        <v/>
      </c>
      <c r="AI299" t="str">
        <f t="shared" si="88"/>
        <v/>
      </c>
      <c r="AK299" t="str" cm="1">
        <f t="array" ref="AK299">IFERROR(IF(INDEX($A:$A,ROW())="","",INDEX($A:$A,ROW())),"")</f>
        <v/>
      </c>
      <c r="AL299" t="str" cm="1">
        <f t="array" ref="AL299">IFERROR(INDEX(tblTrades[sol_invested],ROW()-1),"")</f>
        <v/>
      </c>
      <c r="AM299" s="6" t="str" cm="1">
        <f t="array" ref="AM299">IFERROR(INDEX(tblAnalysis[P&amp;L SOL],ROW()-1),"")</f>
        <v/>
      </c>
      <c r="AN299" t="str" cm="1">
        <f t="array" ref="AN299">IFERROR(IF(INDEX(tblTrades[sol_invested],ROW()-1)&gt;0.5,INDEX(tblAnalysis[Token],ROW()-1)&amp;" ("&amp;TEXT(INDEX(tblTrades[sol_invested],ROW()-1),"0.0")&amp;" SOL)",""),"")</f>
        <v/>
      </c>
      <c r="AO299" s="7"/>
      <c r="AP299" s="12" t="str" cm="1">
        <f t="array" ref="AP299">IFERROR(INDEX(tblAnalysis[Entry MC ($)],ROW()-1),"")</f>
        <v/>
      </c>
      <c r="AQ299" s="10" t="str" cm="1">
        <f t="array" ref="AQ299">IFERROR(INDEX(tblAnalysis[P&amp;L %],ROW()-1),"")</f>
        <v/>
      </c>
      <c r="AR299" t="str" cm="1">
        <f t="array" ref="AR299">IFERROR(INDEX(tblAnalysis[Hold Time (s)],ROW()-1),"")</f>
        <v/>
      </c>
      <c r="AS299" s="6" t="str" cm="1">
        <f t="array" ref="AS299">IFERROR(INDEX(tblAnalysis[P&amp;L SOL],ROW()-1),"")</f>
        <v/>
      </c>
      <c r="AT299"/>
      <c r="AY299" s="10"/>
      <c r="AZ299" s="10"/>
      <c r="BA299" s="6"/>
      <c r="BB299"/>
      <c r="BF299" t="str">
        <f t="shared" si="89"/>
        <v/>
      </c>
      <c r="BG299" s="27" t="str">
        <f t="shared" si="90"/>
        <v/>
      </c>
      <c r="BH299" t="str">
        <f t="shared" si="91"/>
        <v/>
      </c>
      <c r="BL299" s="29" t="e">
        <f t="shared" si="92"/>
        <v>#N/A</v>
      </c>
      <c r="BM299" s="29" t="e">
        <f t="shared" si="93"/>
        <v>#N/A</v>
      </c>
    </row>
    <row r="300" spans="16:65" x14ac:dyDescent="0.35">
      <c r="P300" s="6"/>
      <c r="Q300" s="27"/>
      <c r="R300" s="6" t="str">
        <f>IF(Q300="","",SUMIFS(tblAnalysis[P&amp;L SOL],tblAnalysis[Date],Q300))</f>
        <v/>
      </c>
      <c r="S300" s="10" t="str">
        <f>IF(Q300="","",SUMIFS(tblAnalysis[P&amp;L %],tblAnalysis[Date],Q300))</f>
        <v/>
      </c>
      <c r="T300" s="6" t="str">
        <f>IF(Q300="","",IFERROR(SUM($R$2:R300),""))</f>
        <v/>
      </c>
      <c r="U300" t="str">
        <f>IF(Q300="","",COUNTIFS(tblAnalysis[Date],Q300))</f>
        <v/>
      </c>
      <c r="W300" s="27" t="str">
        <f t="shared" si="80"/>
        <v/>
      </c>
      <c r="X300" s="6" t="str">
        <f t="shared" si="81"/>
        <v/>
      </c>
      <c r="Y300" s="6" t="str">
        <f>IF(Q300="","",MAX(X300,_xlfn.MAXIFS(tblAnalysis[Cum P&amp;L SOL],tblAnalysis[Date],Q300)))</f>
        <v/>
      </c>
      <c r="Z300" s="6" t="str">
        <f>IF(Q300="","",MIN(X300,_xlfn.MINIFS(tblAnalysis[Cum P&amp;L SOL],tblAnalysis[Date],Q300)))</f>
        <v/>
      </c>
      <c r="AA300" s="6" t="str">
        <f t="shared" si="82"/>
        <v/>
      </c>
      <c r="AB300"/>
      <c r="AC300" s="27" t="str">
        <f t="shared" si="83"/>
        <v/>
      </c>
      <c r="AD300" s="10" t="str">
        <f t="shared" si="84"/>
        <v/>
      </c>
      <c r="AE300" s="10" t="str">
        <f t="shared" si="85"/>
        <v/>
      </c>
      <c r="AF300" s="10" t="str">
        <f t="shared" si="86"/>
        <v/>
      </c>
      <c r="AG300"/>
      <c r="AH300" t="str">
        <f t="shared" si="87"/>
        <v/>
      </c>
      <c r="AI300" t="str">
        <f t="shared" si="88"/>
        <v/>
      </c>
      <c r="AK300" t="str" cm="1">
        <f t="array" ref="AK300">IFERROR(IF(INDEX($A:$A,ROW())="","",INDEX($A:$A,ROW())),"")</f>
        <v/>
      </c>
      <c r="AL300" t="str" cm="1">
        <f t="array" ref="AL300">IFERROR(INDEX(tblTrades[sol_invested],ROW()-1),"")</f>
        <v/>
      </c>
      <c r="AM300" s="6" t="str" cm="1">
        <f t="array" ref="AM300">IFERROR(INDEX(tblAnalysis[P&amp;L SOL],ROW()-1),"")</f>
        <v/>
      </c>
      <c r="AN300" t="str" cm="1">
        <f t="array" ref="AN300">IFERROR(IF(INDEX(tblTrades[sol_invested],ROW()-1)&gt;0.5,INDEX(tblAnalysis[Token],ROW()-1)&amp;" ("&amp;TEXT(INDEX(tblTrades[sol_invested],ROW()-1),"0.0")&amp;" SOL)",""),"")</f>
        <v/>
      </c>
      <c r="AO300" s="7"/>
      <c r="AP300" s="12" t="str" cm="1">
        <f t="array" ref="AP300">IFERROR(INDEX(tblAnalysis[Entry MC ($)],ROW()-1),"")</f>
        <v/>
      </c>
      <c r="AQ300" s="10" t="str" cm="1">
        <f t="array" ref="AQ300">IFERROR(INDEX(tblAnalysis[P&amp;L %],ROW()-1),"")</f>
        <v/>
      </c>
      <c r="AR300" t="str" cm="1">
        <f t="array" ref="AR300">IFERROR(INDEX(tblAnalysis[Hold Time (s)],ROW()-1),"")</f>
        <v/>
      </c>
      <c r="AS300" s="6" t="str" cm="1">
        <f t="array" ref="AS300">IFERROR(INDEX(tblAnalysis[P&amp;L SOL],ROW()-1),"")</f>
        <v/>
      </c>
      <c r="AT300"/>
      <c r="AY300" s="10"/>
      <c r="AZ300" s="10"/>
      <c r="BA300" s="6"/>
      <c r="BB300"/>
      <c r="BF300" t="str">
        <f t="shared" si="89"/>
        <v/>
      </c>
      <c r="BG300" s="27" t="str">
        <f t="shared" si="90"/>
        <v/>
      </c>
      <c r="BH300" t="str">
        <f t="shared" si="91"/>
        <v/>
      </c>
      <c r="BL300" s="29" t="e">
        <f t="shared" si="92"/>
        <v>#N/A</v>
      </c>
      <c r="BM300" s="29" t="e">
        <f t="shared" si="93"/>
        <v>#N/A</v>
      </c>
    </row>
    <row r="301" spans="16:65" x14ac:dyDescent="0.35">
      <c r="P301" s="6"/>
      <c r="Q301" s="27"/>
      <c r="R301" s="6" t="str">
        <f>IF(Q301="","",SUMIFS(tblAnalysis[P&amp;L SOL],tblAnalysis[Date],Q301))</f>
        <v/>
      </c>
      <c r="S301" s="10" t="str">
        <f>IF(Q301="","",SUMIFS(tblAnalysis[P&amp;L %],tblAnalysis[Date],Q301))</f>
        <v/>
      </c>
      <c r="T301" s="6" t="str">
        <f>IF(Q301="","",IFERROR(SUM($R$2:R301),""))</f>
        <v/>
      </c>
      <c r="U301" t="str">
        <f>IF(Q301="","",COUNTIFS(tblAnalysis[Date],Q301))</f>
        <v/>
      </c>
      <c r="W301" s="27" t="str">
        <f t="shared" si="80"/>
        <v/>
      </c>
      <c r="X301" s="6" t="str">
        <f t="shared" si="81"/>
        <v/>
      </c>
      <c r="Y301" s="6" t="str">
        <f>IF(Q301="","",MAX(X301,_xlfn.MAXIFS(tblAnalysis[Cum P&amp;L SOL],tblAnalysis[Date],Q301)))</f>
        <v/>
      </c>
      <c r="Z301" s="6" t="str">
        <f>IF(Q301="","",MIN(X301,_xlfn.MINIFS(tblAnalysis[Cum P&amp;L SOL],tblAnalysis[Date],Q301)))</f>
        <v/>
      </c>
      <c r="AA301" s="6" t="str">
        <f t="shared" si="82"/>
        <v/>
      </c>
      <c r="AB301"/>
      <c r="AC301" s="27" t="str">
        <f t="shared" si="83"/>
        <v/>
      </c>
      <c r="AD301" s="10" t="str">
        <f t="shared" si="84"/>
        <v/>
      </c>
      <c r="AE301" s="10" t="str">
        <f t="shared" si="85"/>
        <v/>
      </c>
      <c r="AF301" s="10" t="str">
        <f t="shared" si="86"/>
        <v/>
      </c>
      <c r="AG301"/>
      <c r="AH301" t="str">
        <f t="shared" si="87"/>
        <v/>
      </c>
      <c r="AI301" t="str">
        <f t="shared" si="88"/>
        <v/>
      </c>
      <c r="AK301" t="str" cm="1">
        <f t="array" ref="AK301">IFERROR(IF(INDEX($A:$A,ROW())="","",INDEX($A:$A,ROW())),"")</f>
        <v/>
      </c>
      <c r="AL301" t="str" cm="1">
        <f t="array" ref="AL301">IFERROR(INDEX(tblTrades[sol_invested],ROW()-1),"")</f>
        <v/>
      </c>
      <c r="AM301" s="6" t="str" cm="1">
        <f t="array" ref="AM301">IFERROR(INDEX(tblAnalysis[P&amp;L SOL],ROW()-1),"")</f>
        <v/>
      </c>
      <c r="AN301" t="str" cm="1">
        <f t="array" ref="AN301">IFERROR(IF(INDEX(tblTrades[sol_invested],ROW()-1)&gt;0.5,INDEX(tblAnalysis[Token],ROW()-1)&amp;" ("&amp;TEXT(INDEX(tblTrades[sol_invested],ROW()-1),"0.0")&amp;" SOL)",""),"")</f>
        <v/>
      </c>
      <c r="AO301" s="7"/>
      <c r="AP301" s="12" t="str" cm="1">
        <f t="array" ref="AP301">IFERROR(INDEX(tblAnalysis[Entry MC ($)],ROW()-1),"")</f>
        <v/>
      </c>
      <c r="AQ301" s="10" t="str" cm="1">
        <f t="array" ref="AQ301">IFERROR(INDEX(tblAnalysis[P&amp;L %],ROW()-1),"")</f>
        <v/>
      </c>
      <c r="AR301" t="str" cm="1">
        <f t="array" ref="AR301">IFERROR(INDEX(tblAnalysis[Hold Time (s)],ROW()-1),"")</f>
        <v/>
      </c>
      <c r="AS301" s="6" t="str" cm="1">
        <f t="array" ref="AS301">IFERROR(INDEX(tblAnalysis[P&amp;L SOL],ROW()-1),"")</f>
        <v/>
      </c>
      <c r="AT301"/>
      <c r="AY301" s="10"/>
      <c r="AZ301" s="10"/>
      <c r="BA301" s="6"/>
      <c r="BB301"/>
      <c r="BF301" t="str">
        <f t="shared" si="89"/>
        <v/>
      </c>
      <c r="BG301" s="27" t="str">
        <f t="shared" si="90"/>
        <v/>
      </c>
      <c r="BH301" t="str">
        <f t="shared" si="91"/>
        <v/>
      </c>
      <c r="BL301" s="29" t="e">
        <f t="shared" si="92"/>
        <v>#N/A</v>
      </c>
      <c r="BM301" s="29" t="e">
        <f t="shared" si="93"/>
        <v>#N/A</v>
      </c>
    </row>
    <row r="302" spans="16:65" x14ac:dyDescent="0.35">
      <c r="P302" s="6"/>
      <c r="Q302" s="27"/>
      <c r="R302" s="6" t="str">
        <f>IF(Q302="","",SUMIFS(tblAnalysis[P&amp;L SOL],tblAnalysis[Date],Q302))</f>
        <v/>
      </c>
      <c r="S302" s="10" t="str">
        <f>IF(Q302="","",SUMIFS(tblAnalysis[P&amp;L %],tblAnalysis[Date],Q302))</f>
        <v/>
      </c>
      <c r="T302" s="6" t="str">
        <f>IF(Q302="","",IFERROR(SUM($R$2:R302),""))</f>
        <v/>
      </c>
      <c r="U302" t="str">
        <f>IF(Q302="","",COUNTIFS(tblAnalysis[Date],Q302))</f>
        <v/>
      </c>
      <c r="W302" s="27" t="str">
        <f t="shared" si="80"/>
        <v/>
      </c>
      <c r="X302" s="6" t="str">
        <f t="shared" si="81"/>
        <v/>
      </c>
      <c r="Y302" s="6" t="str">
        <f>IF(Q302="","",MAX(X302,_xlfn.MAXIFS(tblAnalysis[Cum P&amp;L SOL],tblAnalysis[Date],Q302)))</f>
        <v/>
      </c>
      <c r="Z302" s="6" t="str">
        <f>IF(Q302="","",MIN(X302,_xlfn.MINIFS(tblAnalysis[Cum P&amp;L SOL],tblAnalysis[Date],Q302)))</f>
        <v/>
      </c>
      <c r="AA302" s="6" t="str">
        <f t="shared" si="82"/>
        <v/>
      </c>
      <c r="AB302"/>
      <c r="AC302" s="27" t="str">
        <f t="shared" si="83"/>
        <v/>
      </c>
      <c r="AD302" s="10" t="str">
        <f t="shared" si="84"/>
        <v/>
      </c>
      <c r="AE302" s="10" t="str">
        <f t="shared" si="85"/>
        <v/>
      </c>
      <c r="AF302" s="10" t="str">
        <f t="shared" si="86"/>
        <v/>
      </c>
      <c r="AG302"/>
      <c r="AH302" t="str">
        <f t="shared" si="87"/>
        <v/>
      </c>
      <c r="AI302" t="str">
        <f t="shared" si="88"/>
        <v/>
      </c>
      <c r="AK302" t="str" cm="1">
        <f t="array" ref="AK302">IFERROR(IF(INDEX($A:$A,ROW())="","",INDEX($A:$A,ROW())),"")</f>
        <v/>
      </c>
      <c r="AL302" t="str" cm="1">
        <f t="array" ref="AL302">IFERROR(INDEX(tblTrades[sol_invested],ROW()-1),"")</f>
        <v/>
      </c>
      <c r="AM302" s="6" t="str" cm="1">
        <f t="array" ref="AM302">IFERROR(INDEX(tblAnalysis[P&amp;L SOL],ROW()-1),"")</f>
        <v/>
      </c>
      <c r="AN302" t="str" cm="1">
        <f t="array" ref="AN302">IFERROR(IF(INDEX(tblTrades[sol_invested],ROW()-1)&gt;0.5,INDEX(tblAnalysis[Token],ROW()-1)&amp;" ("&amp;TEXT(INDEX(tblTrades[sol_invested],ROW()-1),"0.0")&amp;" SOL)",""),"")</f>
        <v/>
      </c>
      <c r="AO302" s="7"/>
      <c r="AP302" s="12" t="str" cm="1">
        <f t="array" ref="AP302">IFERROR(INDEX(tblAnalysis[Entry MC ($)],ROW()-1),"")</f>
        <v/>
      </c>
      <c r="AQ302" s="10" t="str" cm="1">
        <f t="array" ref="AQ302">IFERROR(INDEX(tblAnalysis[P&amp;L %],ROW()-1),"")</f>
        <v/>
      </c>
      <c r="AR302" t="str" cm="1">
        <f t="array" ref="AR302">IFERROR(INDEX(tblAnalysis[Hold Time (s)],ROW()-1),"")</f>
        <v/>
      </c>
      <c r="AS302" s="6" t="str" cm="1">
        <f t="array" ref="AS302">IFERROR(INDEX(tblAnalysis[P&amp;L SOL],ROW()-1),"")</f>
        <v/>
      </c>
      <c r="AT302"/>
      <c r="AY302" s="10"/>
      <c r="AZ302" s="10"/>
      <c r="BA302" s="6"/>
      <c r="BB302"/>
      <c r="BF302" t="str">
        <f t="shared" si="89"/>
        <v/>
      </c>
      <c r="BG302" s="27" t="str">
        <f t="shared" si="90"/>
        <v/>
      </c>
      <c r="BH302" t="str">
        <f t="shared" si="91"/>
        <v/>
      </c>
      <c r="BL302" s="29" t="e">
        <f t="shared" si="92"/>
        <v>#N/A</v>
      </c>
      <c r="BM302" s="29" t="e">
        <f t="shared" si="93"/>
        <v>#N/A</v>
      </c>
    </row>
    <row r="303" spans="16:65" x14ac:dyDescent="0.35">
      <c r="P303" s="6"/>
      <c r="Q303" s="27"/>
      <c r="R303" s="6" t="str">
        <f>IF(Q303="","",SUMIFS(tblAnalysis[P&amp;L SOL],tblAnalysis[Date],Q303))</f>
        <v/>
      </c>
      <c r="S303" s="10" t="str">
        <f>IF(Q303="","",SUMIFS(tblAnalysis[P&amp;L %],tblAnalysis[Date],Q303))</f>
        <v/>
      </c>
      <c r="T303" s="6" t="str">
        <f>IF(Q303="","",IFERROR(SUM($R$2:R303),""))</f>
        <v/>
      </c>
      <c r="U303" t="str">
        <f>IF(Q303="","",COUNTIFS(tblAnalysis[Date],Q303))</f>
        <v/>
      </c>
      <c r="W303" s="27" t="str">
        <f t="shared" si="80"/>
        <v/>
      </c>
      <c r="X303" s="6" t="str">
        <f t="shared" si="81"/>
        <v/>
      </c>
      <c r="Y303" s="6" t="str">
        <f>IF(Q303="","",MAX(X303,_xlfn.MAXIFS(tblAnalysis[Cum P&amp;L SOL],tblAnalysis[Date],Q303)))</f>
        <v/>
      </c>
      <c r="Z303" s="6" t="str">
        <f>IF(Q303="","",MIN(X303,_xlfn.MINIFS(tblAnalysis[Cum P&amp;L SOL],tblAnalysis[Date],Q303)))</f>
        <v/>
      </c>
      <c r="AA303" s="6" t="str">
        <f t="shared" si="82"/>
        <v/>
      </c>
      <c r="AB303"/>
      <c r="AC303" s="27" t="str">
        <f t="shared" si="83"/>
        <v/>
      </c>
      <c r="AD303" s="10" t="str">
        <f t="shared" si="84"/>
        <v/>
      </c>
      <c r="AE303" s="10" t="str">
        <f t="shared" si="85"/>
        <v/>
      </c>
      <c r="AF303" s="10" t="str">
        <f t="shared" si="86"/>
        <v/>
      </c>
      <c r="AG303"/>
      <c r="AH303" t="str">
        <f t="shared" si="87"/>
        <v/>
      </c>
      <c r="AI303" t="str">
        <f t="shared" si="88"/>
        <v/>
      </c>
      <c r="AK303" t="str" cm="1">
        <f t="array" ref="AK303">IFERROR(IF(INDEX($A:$A,ROW())="","",INDEX($A:$A,ROW())),"")</f>
        <v/>
      </c>
      <c r="AL303" t="str" cm="1">
        <f t="array" ref="AL303">IFERROR(INDEX(tblTrades[sol_invested],ROW()-1),"")</f>
        <v/>
      </c>
      <c r="AM303" s="6" t="str" cm="1">
        <f t="array" ref="AM303">IFERROR(INDEX(tblAnalysis[P&amp;L SOL],ROW()-1),"")</f>
        <v/>
      </c>
      <c r="AN303" t="str" cm="1">
        <f t="array" ref="AN303">IFERROR(IF(INDEX(tblTrades[sol_invested],ROW()-1)&gt;0.5,INDEX(tblAnalysis[Token],ROW()-1)&amp;" ("&amp;TEXT(INDEX(tblTrades[sol_invested],ROW()-1),"0.0")&amp;" SOL)",""),"")</f>
        <v/>
      </c>
      <c r="AO303" s="7"/>
      <c r="AP303" s="12" t="str" cm="1">
        <f t="array" ref="AP303">IFERROR(INDEX(tblAnalysis[Entry MC ($)],ROW()-1),"")</f>
        <v/>
      </c>
      <c r="AQ303" s="10" t="str" cm="1">
        <f t="array" ref="AQ303">IFERROR(INDEX(tblAnalysis[P&amp;L %],ROW()-1),"")</f>
        <v/>
      </c>
      <c r="AR303" t="str" cm="1">
        <f t="array" ref="AR303">IFERROR(INDEX(tblAnalysis[Hold Time (s)],ROW()-1),"")</f>
        <v/>
      </c>
      <c r="AS303" s="6" t="str" cm="1">
        <f t="array" ref="AS303">IFERROR(INDEX(tblAnalysis[P&amp;L SOL],ROW()-1),"")</f>
        <v/>
      </c>
      <c r="AT303"/>
      <c r="AY303" s="10"/>
      <c r="AZ303" s="10"/>
      <c r="BA303" s="6"/>
      <c r="BB303"/>
      <c r="BF303" t="str">
        <f t="shared" si="89"/>
        <v/>
      </c>
      <c r="BG303" s="27" t="str">
        <f t="shared" si="90"/>
        <v/>
      </c>
      <c r="BH303" t="str">
        <f t="shared" si="91"/>
        <v/>
      </c>
      <c r="BL303" s="29" t="e">
        <f t="shared" si="92"/>
        <v>#N/A</v>
      </c>
      <c r="BM303" s="29" t="e">
        <f t="shared" si="93"/>
        <v>#N/A</v>
      </c>
    </row>
    <row r="304" spans="16:65" x14ac:dyDescent="0.35">
      <c r="P304" s="6"/>
      <c r="Q304" s="27"/>
      <c r="R304" s="6" t="str">
        <f>IF(Q304="","",SUMIFS(tblAnalysis[P&amp;L SOL],tblAnalysis[Date],Q304))</f>
        <v/>
      </c>
      <c r="S304" s="10" t="str">
        <f>IF(Q304="","",SUMIFS(tblAnalysis[P&amp;L %],tblAnalysis[Date],Q304))</f>
        <v/>
      </c>
      <c r="T304" s="6" t="str">
        <f>IF(Q304="","",IFERROR(SUM($R$2:R304),""))</f>
        <v/>
      </c>
      <c r="U304" t="str">
        <f>IF(Q304="","",COUNTIFS(tblAnalysis[Date],Q304))</f>
        <v/>
      </c>
      <c r="W304" s="27" t="str">
        <f t="shared" si="80"/>
        <v/>
      </c>
      <c r="X304" s="6" t="str">
        <f t="shared" si="81"/>
        <v/>
      </c>
      <c r="Y304" s="6" t="str">
        <f>IF(Q304="","",MAX(X304,_xlfn.MAXIFS(tblAnalysis[Cum P&amp;L SOL],tblAnalysis[Date],Q304)))</f>
        <v/>
      </c>
      <c r="Z304" s="6" t="str">
        <f>IF(Q304="","",MIN(X304,_xlfn.MINIFS(tblAnalysis[Cum P&amp;L SOL],tblAnalysis[Date],Q304)))</f>
        <v/>
      </c>
      <c r="AA304" s="6" t="str">
        <f t="shared" si="82"/>
        <v/>
      </c>
      <c r="AB304"/>
      <c r="AC304" s="27" t="str">
        <f t="shared" si="83"/>
        <v/>
      </c>
      <c r="AD304" s="10" t="str">
        <f t="shared" si="84"/>
        <v/>
      </c>
      <c r="AE304" s="10" t="str">
        <f t="shared" si="85"/>
        <v/>
      </c>
      <c r="AF304" s="10" t="str">
        <f t="shared" si="86"/>
        <v/>
      </c>
      <c r="AG304"/>
      <c r="AH304" t="str">
        <f t="shared" si="87"/>
        <v/>
      </c>
      <c r="AI304" t="str">
        <f t="shared" si="88"/>
        <v/>
      </c>
      <c r="AK304" t="str" cm="1">
        <f t="array" ref="AK304">IFERROR(IF(INDEX($A:$A,ROW())="","",INDEX($A:$A,ROW())),"")</f>
        <v/>
      </c>
      <c r="AL304" t="str" cm="1">
        <f t="array" ref="AL304">IFERROR(INDEX(tblTrades[sol_invested],ROW()-1),"")</f>
        <v/>
      </c>
      <c r="AM304" s="6" t="str" cm="1">
        <f t="array" ref="AM304">IFERROR(INDEX(tblAnalysis[P&amp;L SOL],ROW()-1),"")</f>
        <v/>
      </c>
      <c r="AN304" t="str" cm="1">
        <f t="array" ref="AN304">IFERROR(IF(INDEX(tblTrades[sol_invested],ROW()-1)&gt;0.5,INDEX(tblAnalysis[Token],ROW()-1)&amp;" ("&amp;TEXT(INDEX(tblTrades[sol_invested],ROW()-1),"0.0")&amp;" SOL)",""),"")</f>
        <v/>
      </c>
      <c r="AO304" s="7"/>
      <c r="AP304" s="12" t="str" cm="1">
        <f t="array" ref="AP304">IFERROR(INDEX(tblAnalysis[Entry MC ($)],ROW()-1),"")</f>
        <v/>
      </c>
      <c r="AQ304" s="10" t="str" cm="1">
        <f t="array" ref="AQ304">IFERROR(INDEX(tblAnalysis[P&amp;L %],ROW()-1),"")</f>
        <v/>
      </c>
      <c r="AR304" t="str" cm="1">
        <f t="array" ref="AR304">IFERROR(INDEX(tblAnalysis[Hold Time (s)],ROW()-1),"")</f>
        <v/>
      </c>
      <c r="AS304" s="6" t="str" cm="1">
        <f t="array" ref="AS304">IFERROR(INDEX(tblAnalysis[P&amp;L SOL],ROW()-1),"")</f>
        <v/>
      </c>
      <c r="AT304"/>
      <c r="AY304" s="10"/>
      <c r="AZ304" s="10"/>
      <c r="BA304" s="6"/>
      <c r="BB304"/>
      <c r="BF304" t="str">
        <f t="shared" si="89"/>
        <v/>
      </c>
      <c r="BG304" s="27" t="str">
        <f t="shared" si="90"/>
        <v/>
      </c>
      <c r="BH304" t="str">
        <f t="shared" si="91"/>
        <v/>
      </c>
      <c r="BL304" s="29" t="e">
        <f t="shared" si="92"/>
        <v>#N/A</v>
      </c>
      <c r="BM304" s="29" t="e">
        <f t="shared" si="93"/>
        <v>#N/A</v>
      </c>
    </row>
    <row r="305" spans="16:65" x14ac:dyDescent="0.35">
      <c r="P305" s="6"/>
      <c r="Q305" s="27"/>
      <c r="R305" s="6" t="str">
        <f>IF(Q305="","",SUMIFS(tblAnalysis[P&amp;L SOL],tblAnalysis[Date],Q305))</f>
        <v/>
      </c>
      <c r="S305" s="10" t="str">
        <f>IF(Q305="","",SUMIFS(tblAnalysis[P&amp;L %],tblAnalysis[Date],Q305))</f>
        <v/>
      </c>
      <c r="T305" s="6" t="str">
        <f>IF(Q305="","",IFERROR(SUM($R$2:R305),""))</f>
        <v/>
      </c>
      <c r="U305" t="str">
        <f>IF(Q305="","",COUNTIFS(tblAnalysis[Date],Q305))</f>
        <v/>
      </c>
      <c r="W305" s="27" t="str">
        <f t="shared" si="80"/>
        <v/>
      </c>
      <c r="X305" s="6" t="str">
        <f t="shared" si="81"/>
        <v/>
      </c>
      <c r="Y305" s="6" t="str">
        <f>IF(Q305="","",MAX(X305,_xlfn.MAXIFS(tblAnalysis[Cum P&amp;L SOL],tblAnalysis[Date],Q305)))</f>
        <v/>
      </c>
      <c r="Z305" s="6" t="str">
        <f>IF(Q305="","",MIN(X305,_xlfn.MINIFS(tblAnalysis[Cum P&amp;L SOL],tblAnalysis[Date],Q305)))</f>
        <v/>
      </c>
      <c r="AA305" s="6" t="str">
        <f t="shared" si="82"/>
        <v/>
      </c>
      <c r="AB305"/>
      <c r="AC305" s="27" t="str">
        <f t="shared" si="83"/>
        <v/>
      </c>
      <c r="AD305" s="10" t="str">
        <f t="shared" si="84"/>
        <v/>
      </c>
      <c r="AE305" s="10" t="str">
        <f t="shared" si="85"/>
        <v/>
      </c>
      <c r="AF305" s="10" t="str">
        <f t="shared" si="86"/>
        <v/>
      </c>
      <c r="AG305"/>
      <c r="AH305" t="str">
        <f t="shared" si="87"/>
        <v/>
      </c>
      <c r="AI305" t="str">
        <f t="shared" si="88"/>
        <v/>
      </c>
      <c r="AK305" t="str" cm="1">
        <f t="array" ref="AK305">IFERROR(IF(INDEX($A:$A,ROW())="","",INDEX($A:$A,ROW())),"")</f>
        <v/>
      </c>
      <c r="AL305" t="str" cm="1">
        <f t="array" ref="AL305">IFERROR(INDEX(tblTrades[sol_invested],ROW()-1),"")</f>
        <v/>
      </c>
      <c r="AM305" s="6" t="str" cm="1">
        <f t="array" ref="AM305">IFERROR(INDEX(tblAnalysis[P&amp;L SOL],ROW()-1),"")</f>
        <v/>
      </c>
      <c r="AN305" t="str" cm="1">
        <f t="array" ref="AN305">IFERROR(IF(INDEX(tblTrades[sol_invested],ROW()-1)&gt;0.5,INDEX(tblAnalysis[Token],ROW()-1)&amp;" ("&amp;TEXT(INDEX(tblTrades[sol_invested],ROW()-1),"0.0")&amp;" SOL)",""),"")</f>
        <v/>
      </c>
      <c r="AO305" s="7"/>
      <c r="AP305" s="12" t="str" cm="1">
        <f t="array" ref="AP305">IFERROR(INDEX(tblAnalysis[Entry MC ($)],ROW()-1),"")</f>
        <v/>
      </c>
      <c r="AQ305" s="10" t="str" cm="1">
        <f t="array" ref="AQ305">IFERROR(INDEX(tblAnalysis[P&amp;L %],ROW()-1),"")</f>
        <v/>
      </c>
      <c r="AR305" t="str" cm="1">
        <f t="array" ref="AR305">IFERROR(INDEX(tblAnalysis[Hold Time (s)],ROW()-1),"")</f>
        <v/>
      </c>
      <c r="AS305" s="6" t="str" cm="1">
        <f t="array" ref="AS305">IFERROR(INDEX(tblAnalysis[P&amp;L SOL],ROW()-1),"")</f>
        <v/>
      </c>
      <c r="AT305"/>
      <c r="AY305" s="10"/>
      <c r="AZ305" s="10"/>
      <c r="BA305" s="6"/>
      <c r="BB305"/>
      <c r="BF305" t="str">
        <f t="shared" si="89"/>
        <v/>
      </c>
      <c r="BG305" s="27" t="str">
        <f t="shared" si="90"/>
        <v/>
      </c>
      <c r="BH305" t="str">
        <f t="shared" si="91"/>
        <v/>
      </c>
      <c r="BL305" s="29" t="e">
        <f t="shared" si="92"/>
        <v>#N/A</v>
      </c>
      <c r="BM305" s="29" t="e">
        <f t="shared" si="93"/>
        <v>#N/A</v>
      </c>
    </row>
    <row r="306" spans="16:65" x14ac:dyDescent="0.35">
      <c r="P306" s="6"/>
      <c r="Q306" s="27"/>
      <c r="R306" s="6" t="str">
        <f>IF(Q306="","",SUMIFS(tblAnalysis[P&amp;L SOL],tblAnalysis[Date],Q306))</f>
        <v/>
      </c>
      <c r="S306" s="10" t="str">
        <f>IF(Q306="","",SUMIFS(tblAnalysis[P&amp;L %],tblAnalysis[Date],Q306))</f>
        <v/>
      </c>
      <c r="T306" s="6" t="str">
        <f>IF(Q306="","",IFERROR(SUM($R$2:R306),""))</f>
        <v/>
      </c>
      <c r="U306" t="str">
        <f>IF(Q306="","",COUNTIFS(tblAnalysis[Date],Q306))</f>
        <v/>
      </c>
      <c r="W306" s="27" t="str">
        <f t="shared" si="80"/>
        <v/>
      </c>
      <c r="X306" s="6" t="str">
        <f t="shared" si="81"/>
        <v/>
      </c>
      <c r="Y306" s="6" t="str">
        <f>IF(Q306="","",MAX(X306,_xlfn.MAXIFS(tblAnalysis[Cum P&amp;L SOL],tblAnalysis[Date],Q306)))</f>
        <v/>
      </c>
      <c r="Z306" s="6" t="str">
        <f>IF(Q306="","",MIN(X306,_xlfn.MINIFS(tblAnalysis[Cum P&amp;L SOL],tblAnalysis[Date],Q306)))</f>
        <v/>
      </c>
      <c r="AA306" s="6" t="str">
        <f t="shared" si="82"/>
        <v/>
      </c>
      <c r="AB306"/>
      <c r="AC306" s="27" t="str">
        <f t="shared" si="83"/>
        <v/>
      </c>
      <c r="AD306" s="10" t="str">
        <f t="shared" si="84"/>
        <v/>
      </c>
      <c r="AE306" s="10" t="str">
        <f t="shared" si="85"/>
        <v/>
      </c>
      <c r="AF306" s="10" t="str">
        <f t="shared" si="86"/>
        <v/>
      </c>
      <c r="AG306"/>
      <c r="AH306" t="str">
        <f t="shared" si="87"/>
        <v/>
      </c>
      <c r="AI306" t="str">
        <f t="shared" si="88"/>
        <v/>
      </c>
      <c r="AK306" t="str" cm="1">
        <f t="array" ref="AK306">IFERROR(IF(INDEX($A:$A,ROW())="","",INDEX($A:$A,ROW())),"")</f>
        <v/>
      </c>
      <c r="AL306" t="str" cm="1">
        <f t="array" ref="AL306">IFERROR(INDEX(tblTrades[sol_invested],ROW()-1),"")</f>
        <v/>
      </c>
      <c r="AM306" s="6" t="str" cm="1">
        <f t="array" ref="AM306">IFERROR(INDEX(tblAnalysis[P&amp;L SOL],ROW()-1),"")</f>
        <v/>
      </c>
      <c r="AN306" t="str" cm="1">
        <f t="array" ref="AN306">IFERROR(IF(INDEX(tblTrades[sol_invested],ROW()-1)&gt;0.5,INDEX(tblAnalysis[Token],ROW()-1)&amp;" ("&amp;TEXT(INDEX(tblTrades[sol_invested],ROW()-1),"0.0")&amp;" SOL)",""),"")</f>
        <v/>
      </c>
      <c r="AO306" s="7"/>
      <c r="AP306" s="12" t="str" cm="1">
        <f t="array" ref="AP306">IFERROR(INDEX(tblAnalysis[Entry MC ($)],ROW()-1),"")</f>
        <v/>
      </c>
      <c r="AQ306" s="10" t="str" cm="1">
        <f t="array" ref="AQ306">IFERROR(INDEX(tblAnalysis[P&amp;L %],ROW()-1),"")</f>
        <v/>
      </c>
      <c r="AR306" t="str" cm="1">
        <f t="array" ref="AR306">IFERROR(INDEX(tblAnalysis[Hold Time (s)],ROW()-1),"")</f>
        <v/>
      </c>
      <c r="AS306" s="6" t="str" cm="1">
        <f t="array" ref="AS306">IFERROR(INDEX(tblAnalysis[P&amp;L SOL],ROW()-1),"")</f>
        <v/>
      </c>
      <c r="AT306"/>
      <c r="AY306" s="10"/>
      <c r="AZ306" s="10"/>
      <c r="BA306" s="6"/>
      <c r="BB306"/>
      <c r="BF306" t="str">
        <f t="shared" si="89"/>
        <v/>
      </c>
      <c r="BG306" s="27" t="str">
        <f t="shared" si="90"/>
        <v/>
      </c>
      <c r="BH306" t="str">
        <f t="shared" si="91"/>
        <v/>
      </c>
      <c r="BL306" s="29" t="e">
        <f t="shared" si="92"/>
        <v>#N/A</v>
      </c>
      <c r="BM306" s="29" t="e">
        <f t="shared" si="93"/>
        <v>#N/A</v>
      </c>
    </row>
    <row r="307" spans="16:65" x14ac:dyDescent="0.35">
      <c r="P307" s="6"/>
      <c r="Q307" s="27"/>
      <c r="R307" s="6" t="str">
        <f>IF(Q307="","",SUMIFS(tblAnalysis[P&amp;L SOL],tblAnalysis[Date],Q307))</f>
        <v/>
      </c>
      <c r="S307" s="10" t="str">
        <f>IF(Q307="","",SUMIFS(tblAnalysis[P&amp;L %],tblAnalysis[Date],Q307))</f>
        <v/>
      </c>
      <c r="T307" s="6" t="str">
        <f>IF(Q307="","",IFERROR(SUM($R$2:R307),""))</f>
        <v/>
      </c>
      <c r="U307" t="str">
        <f>IF(Q307="","",COUNTIFS(tblAnalysis[Date],Q307))</f>
        <v/>
      </c>
      <c r="W307" s="27" t="str">
        <f t="shared" si="80"/>
        <v/>
      </c>
      <c r="X307" s="6" t="str">
        <f t="shared" si="81"/>
        <v/>
      </c>
      <c r="Y307" s="6" t="str">
        <f>IF(Q307="","",MAX(X307,_xlfn.MAXIFS(tblAnalysis[Cum P&amp;L SOL],tblAnalysis[Date],Q307)))</f>
        <v/>
      </c>
      <c r="Z307" s="6" t="str">
        <f>IF(Q307="","",MIN(X307,_xlfn.MINIFS(tblAnalysis[Cum P&amp;L SOL],tblAnalysis[Date],Q307)))</f>
        <v/>
      </c>
      <c r="AA307" s="6" t="str">
        <f t="shared" si="82"/>
        <v/>
      </c>
      <c r="AB307"/>
      <c r="AC307" s="27" t="str">
        <f t="shared" si="83"/>
        <v/>
      </c>
      <c r="AD307" s="10" t="str">
        <f t="shared" si="84"/>
        <v/>
      </c>
      <c r="AE307" s="10" t="str">
        <f t="shared" si="85"/>
        <v/>
      </c>
      <c r="AF307" s="10" t="str">
        <f t="shared" si="86"/>
        <v/>
      </c>
      <c r="AG307"/>
      <c r="AH307" t="str">
        <f t="shared" si="87"/>
        <v/>
      </c>
      <c r="AI307" t="str">
        <f t="shared" si="88"/>
        <v/>
      </c>
      <c r="AK307" t="str" cm="1">
        <f t="array" ref="AK307">IFERROR(IF(INDEX($A:$A,ROW())="","",INDEX($A:$A,ROW())),"")</f>
        <v/>
      </c>
      <c r="AL307" t="str" cm="1">
        <f t="array" ref="AL307">IFERROR(INDEX(tblTrades[sol_invested],ROW()-1),"")</f>
        <v/>
      </c>
      <c r="AM307" s="6" t="str" cm="1">
        <f t="array" ref="AM307">IFERROR(INDEX(tblAnalysis[P&amp;L SOL],ROW()-1),"")</f>
        <v/>
      </c>
      <c r="AN307" t="str" cm="1">
        <f t="array" ref="AN307">IFERROR(IF(INDEX(tblTrades[sol_invested],ROW()-1)&gt;0.5,INDEX(tblAnalysis[Token],ROW()-1)&amp;" ("&amp;TEXT(INDEX(tblTrades[sol_invested],ROW()-1),"0.0")&amp;" SOL)",""),"")</f>
        <v/>
      </c>
      <c r="AO307" s="7"/>
      <c r="AP307" s="12" t="str" cm="1">
        <f t="array" ref="AP307">IFERROR(INDEX(tblAnalysis[Entry MC ($)],ROW()-1),"")</f>
        <v/>
      </c>
      <c r="AQ307" s="10" t="str" cm="1">
        <f t="array" ref="AQ307">IFERROR(INDEX(tblAnalysis[P&amp;L %],ROW()-1),"")</f>
        <v/>
      </c>
      <c r="AR307" t="str" cm="1">
        <f t="array" ref="AR307">IFERROR(INDEX(tblAnalysis[Hold Time (s)],ROW()-1),"")</f>
        <v/>
      </c>
      <c r="AS307" s="6" t="str" cm="1">
        <f t="array" ref="AS307">IFERROR(INDEX(tblAnalysis[P&amp;L SOL],ROW()-1),"")</f>
        <v/>
      </c>
      <c r="AT307"/>
      <c r="AY307" s="10"/>
      <c r="AZ307" s="10"/>
      <c r="BA307" s="6"/>
      <c r="BB307"/>
      <c r="BF307" t="str">
        <f t="shared" si="89"/>
        <v/>
      </c>
      <c r="BG307" s="27" t="str">
        <f t="shared" si="90"/>
        <v/>
      </c>
      <c r="BH307" t="str">
        <f t="shared" si="91"/>
        <v/>
      </c>
      <c r="BL307" s="29" t="e">
        <f t="shared" si="92"/>
        <v>#N/A</v>
      </c>
      <c r="BM307" s="29" t="e">
        <f t="shared" si="93"/>
        <v>#N/A</v>
      </c>
    </row>
    <row r="308" spans="16:65" x14ac:dyDescent="0.35">
      <c r="P308" s="6"/>
      <c r="Q308" s="27"/>
      <c r="R308" s="6" t="str">
        <f>IF(Q308="","",SUMIFS(tblAnalysis[P&amp;L SOL],tblAnalysis[Date],Q308))</f>
        <v/>
      </c>
      <c r="S308" s="10" t="str">
        <f>IF(Q308="","",SUMIFS(tblAnalysis[P&amp;L %],tblAnalysis[Date],Q308))</f>
        <v/>
      </c>
      <c r="T308" s="6" t="str">
        <f>IF(Q308="","",IFERROR(SUM($R$2:R308),""))</f>
        <v/>
      </c>
      <c r="U308" t="str">
        <f>IF(Q308="","",COUNTIFS(tblAnalysis[Date],Q308))</f>
        <v/>
      </c>
      <c r="W308" s="27" t="str">
        <f t="shared" si="80"/>
        <v/>
      </c>
      <c r="X308" s="6" t="str">
        <f t="shared" si="81"/>
        <v/>
      </c>
      <c r="Y308" s="6" t="str">
        <f>IF(Q308="","",MAX(X308,_xlfn.MAXIFS(tblAnalysis[Cum P&amp;L SOL],tblAnalysis[Date],Q308)))</f>
        <v/>
      </c>
      <c r="Z308" s="6" t="str">
        <f>IF(Q308="","",MIN(X308,_xlfn.MINIFS(tblAnalysis[Cum P&amp;L SOL],tblAnalysis[Date],Q308)))</f>
        <v/>
      </c>
      <c r="AA308" s="6" t="str">
        <f t="shared" si="82"/>
        <v/>
      </c>
      <c r="AB308"/>
      <c r="AC308" s="27" t="str">
        <f t="shared" si="83"/>
        <v/>
      </c>
      <c r="AD308" s="10" t="str">
        <f t="shared" si="84"/>
        <v/>
      </c>
      <c r="AE308" s="10" t="str">
        <f t="shared" si="85"/>
        <v/>
      </c>
      <c r="AF308" s="10" t="str">
        <f t="shared" si="86"/>
        <v/>
      </c>
      <c r="AG308"/>
      <c r="AH308" t="str">
        <f t="shared" si="87"/>
        <v/>
      </c>
      <c r="AI308" t="str">
        <f t="shared" si="88"/>
        <v/>
      </c>
      <c r="AK308" t="str" cm="1">
        <f t="array" ref="AK308">IFERROR(IF(INDEX($A:$A,ROW())="","",INDEX($A:$A,ROW())),"")</f>
        <v/>
      </c>
      <c r="AL308" t="str" cm="1">
        <f t="array" ref="AL308">IFERROR(INDEX(tblTrades[sol_invested],ROW()-1),"")</f>
        <v/>
      </c>
      <c r="AM308" s="6" t="str" cm="1">
        <f t="array" ref="AM308">IFERROR(INDEX(tblAnalysis[P&amp;L SOL],ROW()-1),"")</f>
        <v/>
      </c>
      <c r="AN308" t="str" cm="1">
        <f t="array" ref="AN308">IFERROR(IF(INDEX(tblTrades[sol_invested],ROW()-1)&gt;0.5,INDEX(tblAnalysis[Token],ROW()-1)&amp;" ("&amp;TEXT(INDEX(tblTrades[sol_invested],ROW()-1),"0.0")&amp;" SOL)",""),"")</f>
        <v/>
      </c>
      <c r="AO308" s="7"/>
      <c r="AP308" s="12" t="str" cm="1">
        <f t="array" ref="AP308">IFERROR(INDEX(tblAnalysis[Entry MC ($)],ROW()-1),"")</f>
        <v/>
      </c>
      <c r="AQ308" s="10" t="str" cm="1">
        <f t="array" ref="AQ308">IFERROR(INDEX(tblAnalysis[P&amp;L %],ROW()-1),"")</f>
        <v/>
      </c>
      <c r="AR308" t="str" cm="1">
        <f t="array" ref="AR308">IFERROR(INDEX(tblAnalysis[Hold Time (s)],ROW()-1),"")</f>
        <v/>
      </c>
      <c r="AS308" s="6" t="str" cm="1">
        <f t="array" ref="AS308">IFERROR(INDEX(tblAnalysis[P&amp;L SOL],ROW()-1),"")</f>
        <v/>
      </c>
      <c r="AT308"/>
      <c r="AY308" s="10"/>
      <c r="AZ308" s="10"/>
      <c r="BA308" s="6"/>
      <c r="BB308"/>
      <c r="BF308" t="str">
        <f t="shared" si="89"/>
        <v/>
      </c>
      <c r="BG308" s="27" t="str">
        <f t="shared" si="90"/>
        <v/>
      </c>
      <c r="BH308" t="str">
        <f t="shared" si="91"/>
        <v/>
      </c>
      <c r="BL308" s="29" t="e">
        <f t="shared" si="92"/>
        <v>#N/A</v>
      </c>
      <c r="BM308" s="29" t="e">
        <f t="shared" si="93"/>
        <v>#N/A</v>
      </c>
    </row>
    <row r="309" spans="16:65" x14ac:dyDescent="0.35">
      <c r="P309" s="6"/>
      <c r="Q309" s="27"/>
      <c r="R309" s="6" t="str">
        <f>IF(Q309="","",SUMIFS(tblAnalysis[P&amp;L SOL],tblAnalysis[Date],Q309))</f>
        <v/>
      </c>
      <c r="S309" s="10" t="str">
        <f>IF(Q309="","",SUMIFS(tblAnalysis[P&amp;L %],tblAnalysis[Date],Q309))</f>
        <v/>
      </c>
      <c r="T309" s="6" t="str">
        <f>IF(Q309="","",IFERROR(SUM($R$2:R309),""))</f>
        <v/>
      </c>
      <c r="U309" t="str">
        <f>IF(Q309="","",COUNTIFS(tblAnalysis[Date],Q309))</f>
        <v/>
      </c>
      <c r="W309" s="27" t="str">
        <f t="shared" si="80"/>
        <v/>
      </c>
      <c r="X309" s="6" t="str">
        <f t="shared" si="81"/>
        <v/>
      </c>
      <c r="Y309" s="6" t="str">
        <f>IF(Q309="","",MAX(X309,_xlfn.MAXIFS(tblAnalysis[Cum P&amp;L SOL],tblAnalysis[Date],Q309)))</f>
        <v/>
      </c>
      <c r="Z309" s="6" t="str">
        <f>IF(Q309="","",MIN(X309,_xlfn.MINIFS(tblAnalysis[Cum P&amp;L SOL],tblAnalysis[Date],Q309)))</f>
        <v/>
      </c>
      <c r="AA309" s="6" t="str">
        <f t="shared" si="82"/>
        <v/>
      </c>
      <c r="AB309"/>
      <c r="AC309" s="27" t="str">
        <f t="shared" si="83"/>
        <v/>
      </c>
      <c r="AD309" s="10" t="str">
        <f t="shared" si="84"/>
        <v/>
      </c>
      <c r="AE309" s="10" t="str">
        <f t="shared" si="85"/>
        <v/>
      </c>
      <c r="AF309" s="10" t="str">
        <f t="shared" si="86"/>
        <v/>
      </c>
      <c r="AG309"/>
      <c r="AH309" t="str">
        <f t="shared" si="87"/>
        <v/>
      </c>
      <c r="AI309" t="str">
        <f t="shared" si="88"/>
        <v/>
      </c>
      <c r="AK309" t="str" cm="1">
        <f t="array" ref="AK309">IFERROR(IF(INDEX($A:$A,ROW())="","",INDEX($A:$A,ROW())),"")</f>
        <v/>
      </c>
      <c r="AL309" t="str" cm="1">
        <f t="array" ref="AL309">IFERROR(INDEX(tblTrades[sol_invested],ROW()-1),"")</f>
        <v/>
      </c>
      <c r="AM309" s="6" t="str" cm="1">
        <f t="array" ref="AM309">IFERROR(INDEX(tblAnalysis[P&amp;L SOL],ROW()-1),"")</f>
        <v/>
      </c>
      <c r="AN309" t="str" cm="1">
        <f t="array" ref="AN309">IFERROR(IF(INDEX(tblTrades[sol_invested],ROW()-1)&gt;0.5,INDEX(tblAnalysis[Token],ROW()-1)&amp;" ("&amp;TEXT(INDEX(tblTrades[sol_invested],ROW()-1),"0.0")&amp;" SOL)",""),"")</f>
        <v/>
      </c>
      <c r="AO309" s="7"/>
      <c r="AP309" s="12" t="str" cm="1">
        <f t="array" ref="AP309">IFERROR(INDEX(tblAnalysis[Entry MC ($)],ROW()-1),"")</f>
        <v/>
      </c>
      <c r="AQ309" s="10" t="str" cm="1">
        <f t="array" ref="AQ309">IFERROR(INDEX(tblAnalysis[P&amp;L %],ROW()-1),"")</f>
        <v/>
      </c>
      <c r="AR309" t="str" cm="1">
        <f t="array" ref="AR309">IFERROR(INDEX(tblAnalysis[Hold Time (s)],ROW()-1),"")</f>
        <v/>
      </c>
      <c r="AS309" s="6" t="str" cm="1">
        <f t="array" ref="AS309">IFERROR(INDEX(tblAnalysis[P&amp;L SOL],ROW()-1),"")</f>
        <v/>
      </c>
      <c r="AT309"/>
      <c r="AY309" s="10"/>
      <c r="AZ309" s="10"/>
      <c r="BA309" s="6"/>
      <c r="BB309"/>
      <c r="BF309" t="str">
        <f t="shared" si="89"/>
        <v/>
      </c>
      <c r="BG309" s="27" t="str">
        <f t="shared" si="90"/>
        <v/>
      </c>
      <c r="BH309" t="str">
        <f t="shared" si="91"/>
        <v/>
      </c>
      <c r="BL309" s="29" t="e">
        <f t="shared" si="92"/>
        <v>#N/A</v>
      </c>
      <c r="BM309" s="29" t="e">
        <f t="shared" si="93"/>
        <v>#N/A</v>
      </c>
    </row>
    <row r="310" spans="16:65" x14ac:dyDescent="0.35">
      <c r="P310" s="6"/>
      <c r="Q310" s="27"/>
      <c r="R310" s="6" t="str">
        <f>IF(Q310="","",SUMIFS(tblAnalysis[P&amp;L SOL],tblAnalysis[Date],Q310))</f>
        <v/>
      </c>
      <c r="S310" s="10" t="str">
        <f>IF(Q310="","",SUMIFS(tblAnalysis[P&amp;L %],tblAnalysis[Date],Q310))</f>
        <v/>
      </c>
      <c r="T310" s="6" t="str">
        <f>IF(Q310="","",IFERROR(SUM($R$2:R310),""))</f>
        <v/>
      </c>
      <c r="U310" t="str">
        <f>IF(Q310="","",COUNTIFS(tblAnalysis[Date],Q310))</f>
        <v/>
      </c>
      <c r="W310" s="27" t="str">
        <f t="shared" si="80"/>
        <v/>
      </c>
      <c r="X310" s="6" t="str">
        <f t="shared" si="81"/>
        <v/>
      </c>
      <c r="Y310" s="6" t="str">
        <f>IF(Q310="","",MAX(X310,_xlfn.MAXIFS(tblAnalysis[Cum P&amp;L SOL],tblAnalysis[Date],Q310)))</f>
        <v/>
      </c>
      <c r="Z310" s="6" t="str">
        <f>IF(Q310="","",MIN(X310,_xlfn.MINIFS(tblAnalysis[Cum P&amp;L SOL],tblAnalysis[Date],Q310)))</f>
        <v/>
      </c>
      <c r="AA310" s="6" t="str">
        <f t="shared" si="82"/>
        <v/>
      </c>
      <c r="AB310"/>
      <c r="AC310" s="27" t="str">
        <f t="shared" si="83"/>
        <v/>
      </c>
      <c r="AD310" s="10" t="str">
        <f t="shared" si="84"/>
        <v/>
      </c>
      <c r="AE310" s="10" t="str">
        <f t="shared" si="85"/>
        <v/>
      </c>
      <c r="AF310" s="10" t="str">
        <f t="shared" si="86"/>
        <v/>
      </c>
      <c r="AG310"/>
      <c r="AH310" t="str">
        <f t="shared" si="87"/>
        <v/>
      </c>
      <c r="AI310" t="str">
        <f t="shared" si="88"/>
        <v/>
      </c>
      <c r="AK310" t="str" cm="1">
        <f t="array" ref="AK310">IFERROR(IF(INDEX($A:$A,ROW())="","",INDEX($A:$A,ROW())),"")</f>
        <v/>
      </c>
      <c r="AL310" t="str" cm="1">
        <f t="array" ref="AL310">IFERROR(INDEX(tblTrades[sol_invested],ROW()-1),"")</f>
        <v/>
      </c>
      <c r="AM310" s="6" t="str" cm="1">
        <f t="array" ref="AM310">IFERROR(INDEX(tblAnalysis[P&amp;L SOL],ROW()-1),"")</f>
        <v/>
      </c>
      <c r="AN310" t="str" cm="1">
        <f t="array" ref="AN310">IFERROR(IF(INDEX(tblTrades[sol_invested],ROW()-1)&gt;0.5,INDEX(tblAnalysis[Token],ROW()-1)&amp;" ("&amp;TEXT(INDEX(tblTrades[sol_invested],ROW()-1),"0.0")&amp;" SOL)",""),"")</f>
        <v/>
      </c>
      <c r="AO310" s="7"/>
      <c r="AP310" s="12" t="str" cm="1">
        <f t="array" ref="AP310">IFERROR(INDEX(tblAnalysis[Entry MC ($)],ROW()-1),"")</f>
        <v/>
      </c>
      <c r="AQ310" s="10" t="str" cm="1">
        <f t="array" ref="AQ310">IFERROR(INDEX(tblAnalysis[P&amp;L %],ROW()-1),"")</f>
        <v/>
      </c>
      <c r="AR310" t="str" cm="1">
        <f t="array" ref="AR310">IFERROR(INDEX(tblAnalysis[Hold Time (s)],ROW()-1),"")</f>
        <v/>
      </c>
      <c r="AS310" s="6" t="str" cm="1">
        <f t="array" ref="AS310">IFERROR(INDEX(tblAnalysis[P&amp;L SOL],ROW()-1),"")</f>
        <v/>
      </c>
      <c r="AT310"/>
      <c r="AY310" s="10"/>
      <c r="AZ310" s="10"/>
      <c r="BA310" s="6"/>
      <c r="BB310"/>
      <c r="BF310" t="str">
        <f t="shared" si="89"/>
        <v/>
      </c>
      <c r="BG310" s="27" t="str">
        <f t="shared" si="90"/>
        <v/>
      </c>
      <c r="BH310" t="str">
        <f t="shared" si="91"/>
        <v/>
      </c>
      <c r="BL310" s="29" t="e">
        <f t="shared" si="92"/>
        <v>#N/A</v>
      </c>
      <c r="BM310" s="29" t="e">
        <f t="shared" si="93"/>
        <v>#N/A</v>
      </c>
    </row>
    <row r="311" spans="16:65" x14ac:dyDescent="0.35">
      <c r="P311" s="6"/>
      <c r="Q311" s="27"/>
      <c r="R311" s="6" t="str">
        <f>IF(Q311="","",SUMIFS(tblAnalysis[P&amp;L SOL],tblAnalysis[Date],Q311))</f>
        <v/>
      </c>
      <c r="S311" s="10" t="str">
        <f>IF(Q311="","",SUMIFS(tblAnalysis[P&amp;L %],tblAnalysis[Date],Q311))</f>
        <v/>
      </c>
      <c r="T311" s="6" t="str">
        <f>IF(Q311="","",IFERROR(SUM($R$2:R311),""))</f>
        <v/>
      </c>
      <c r="U311" t="str">
        <f>IF(Q311="","",COUNTIFS(tblAnalysis[Date],Q311))</f>
        <v/>
      </c>
      <c r="W311" s="27" t="str">
        <f t="shared" si="80"/>
        <v/>
      </c>
      <c r="X311" s="6" t="str">
        <f t="shared" si="81"/>
        <v/>
      </c>
      <c r="Y311" s="6" t="str">
        <f>IF(Q311="","",MAX(X311,_xlfn.MAXIFS(tblAnalysis[Cum P&amp;L SOL],tblAnalysis[Date],Q311)))</f>
        <v/>
      </c>
      <c r="Z311" s="6" t="str">
        <f>IF(Q311="","",MIN(X311,_xlfn.MINIFS(tblAnalysis[Cum P&amp;L SOL],tblAnalysis[Date],Q311)))</f>
        <v/>
      </c>
      <c r="AA311" s="6" t="str">
        <f t="shared" si="82"/>
        <v/>
      </c>
      <c r="AB311"/>
      <c r="AC311" s="27" t="str">
        <f t="shared" si="83"/>
        <v/>
      </c>
      <c r="AD311" s="10" t="str">
        <f t="shared" si="84"/>
        <v/>
      </c>
      <c r="AE311" s="10" t="str">
        <f t="shared" si="85"/>
        <v/>
      </c>
      <c r="AF311" s="10" t="str">
        <f t="shared" si="86"/>
        <v/>
      </c>
      <c r="AG311"/>
      <c r="AH311" t="str">
        <f t="shared" si="87"/>
        <v/>
      </c>
      <c r="AI311" t="str">
        <f t="shared" si="88"/>
        <v/>
      </c>
      <c r="AK311" t="str" cm="1">
        <f t="array" ref="AK311">IFERROR(IF(INDEX($A:$A,ROW())="","",INDEX($A:$A,ROW())),"")</f>
        <v/>
      </c>
      <c r="AL311" t="str" cm="1">
        <f t="array" ref="AL311">IFERROR(INDEX(tblTrades[sol_invested],ROW()-1),"")</f>
        <v/>
      </c>
      <c r="AM311" s="6" t="str" cm="1">
        <f t="array" ref="AM311">IFERROR(INDEX(tblAnalysis[P&amp;L SOL],ROW()-1),"")</f>
        <v/>
      </c>
      <c r="AN311" t="str" cm="1">
        <f t="array" ref="AN311">IFERROR(IF(INDEX(tblTrades[sol_invested],ROW()-1)&gt;0.5,INDEX(tblAnalysis[Token],ROW()-1)&amp;" ("&amp;TEXT(INDEX(tblTrades[sol_invested],ROW()-1),"0.0")&amp;" SOL)",""),"")</f>
        <v/>
      </c>
      <c r="AO311" s="7"/>
      <c r="AP311" s="12" t="str" cm="1">
        <f t="array" ref="AP311">IFERROR(INDEX(tblAnalysis[Entry MC ($)],ROW()-1),"")</f>
        <v/>
      </c>
      <c r="AQ311" s="10" t="str" cm="1">
        <f t="array" ref="AQ311">IFERROR(INDEX(tblAnalysis[P&amp;L %],ROW()-1),"")</f>
        <v/>
      </c>
      <c r="AR311" t="str" cm="1">
        <f t="array" ref="AR311">IFERROR(INDEX(tblAnalysis[Hold Time (s)],ROW()-1),"")</f>
        <v/>
      </c>
      <c r="AS311" s="6" t="str" cm="1">
        <f t="array" ref="AS311">IFERROR(INDEX(tblAnalysis[P&amp;L SOL],ROW()-1),"")</f>
        <v/>
      </c>
      <c r="AT311"/>
      <c r="AY311" s="10"/>
      <c r="AZ311" s="10"/>
      <c r="BA311" s="6"/>
      <c r="BB311"/>
      <c r="BF311" t="str">
        <f t="shared" si="89"/>
        <v/>
      </c>
      <c r="BG311" s="27" t="str">
        <f t="shared" si="90"/>
        <v/>
      </c>
      <c r="BH311" t="str">
        <f t="shared" si="91"/>
        <v/>
      </c>
      <c r="BL311" s="29" t="e">
        <f t="shared" si="92"/>
        <v>#N/A</v>
      </c>
      <c r="BM311" s="29" t="e">
        <f t="shared" si="93"/>
        <v>#N/A</v>
      </c>
    </row>
    <row r="312" spans="16:65" x14ac:dyDescent="0.35">
      <c r="P312" s="6"/>
      <c r="Q312" s="27"/>
      <c r="R312" s="6" t="str">
        <f>IF(Q312="","",SUMIFS(tblAnalysis[P&amp;L SOL],tblAnalysis[Date],Q312))</f>
        <v/>
      </c>
      <c r="S312" s="10" t="str">
        <f>IF(Q312="","",SUMIFS(tblAnalysis[P&amp;L %],tblAnalysis[Date],Q312))</f>
        <v/>
      </c>
      <c r="T312" s="6" t="str">
        <f>IF(Q312="","",IFERROR(SUM($R$2:R312),""))</f>
        <v/>
      </c>
      <c r="U312" t="str">
        <f>IF(Q312="","",COUNTIFS(tblAnalysis[Date],Q312))</f>
        <v/>
      </c>
      <c r="W312" s="27" t="str">
        <f t="shared" si="80"/>
        <v/>
      </c>
      <c r="X312" s="6" t="str">
        <f t="shared" si="81"/>
        <v/>
      </c>
      <c r="Y312" s="6" t="str">
        <f>IF(Q312="","",MAX(X312,_xlfn.MAXIFS(tblAnalysis[Cum P&amp;L SOL],tblAnalysis[Date],Q312)))</f>
        <v/>
      </c>
      <c r="Z312" s="6" t="str">
        <f>IF(Q312="","",MIN(X312,_xlfn.MINIFS(tblAnalysis[Cum P&amp;L SOL],tblAnalysis[Date],Q312)))</f>
        <v/>
      </c>
      <c r="AA312" s="6" t="str">
        <f t="shared" si="82"/>
        <v/>
      </c>
      <c r="AB312"/>
      <c r="AC312" s="27" t="str">
        <f t="shared" si="83"/>
        <v/>
      </c>
      <c r="AD312" s="10" t="str">
        <f t="shared" si="84"/>
        <v/>
      </c>
      <c r="AE312" s="10" t="str">
        <f t="shared" si="85"/>
        <v/>
      </c>
      <c r="AF312" s="10" t="str">
        <f t="shared" si="86"/>
        <v/>
      </c>
      <c r="AG312"/>
      <c r="AH312" t="str">
        <f t="shared" si="87"/>
        <v/>
      </c>
      <c r="AI312" t="str">
        <f t="shared" si="88"/>
        <v/>
      </c>
      <c r="AK312" t="str" cm="1">
        <f t="array" ref="AK312">IFERROR(IF(INDEX($A:$A,ROW())="","",INDEX($A:$A,ROW())),"")</f>
        <v/>
      </c>
      <c r="AL312" t="str" cm="1">
        <f t="array" ref="AL312">IFERROR(INDEX(tblTrades[sol_invested],ROW()-1),"")</f>
        <v/>
      </c>
      <c r="AM312" s="6" t="str" cm="1">
        <f t="array" ref="AM312">IFERROR(INDEX(tblAnalysis[P&amp;L SOL],ROW()-1),"")</f>
        <v/>
      </c>
      <c r="AN312" t="str" cm="1">
        <f t="array" ref="AN312">IFERROR(IF(INDEX(tblTrades[sol_invested],ROW()-1)&gt;0.5,INDEX(tblAnalysis[Token],ROW()-1)&amp;" ("&amp;TEXT(INDEX(tblTrades[sol_invested],ROW()-1),"0.0")&amp;" SOL)",""),"")</f>
        <v/>
      </c>
      <c r="AO312" s="7"/>
      <c r="AP312" s="12" t="str" cm="1">
        <f t="array" ref="AP312">IFERROR(INDEX(tblAnalysis[Entry MC ($)],ROW()-1),"")</f>
        <v/>
      </c>
      <c r="AQ312" s="10" t="str" cm="1">
        <f t="array" ref="AQ312">IFERROR(INDEX(tblAnalysis[P&amp;L %],ROW()-1),"")</f>
        <v/>
      </c>
      <c r="AR312" t="str" cm="1">
        <f t="array" ref="AR312">IFERROR(INDEX(tblAnalysis[Hold Time (s)],ROW()-1),"")</f>
        <v/>
      </c>
      <c r="AS312" s="6" t="str" cm="1">
        <f t="array" ref="AS312">IFERROR(INDEX(tblAnalysis[P&amp;L SOL],ROW()-1),"")</f>
        <v/>
      </c>
      <c r="AT312"/>
      <c r="AY312" s="10"/>
      <c r="AZ312" s="10"/>
      <c r="BA312" s="6"/>
      <c r="BB312"/>
      <c r="BF312" t="str">
        <f t="shared" si="89"/>
        <v/>
      </c>
      <c r="BG312" s="27" t="str">
        <f t="shared" si="90"/>
        <v/>
      </c>
      <c r="BH312" t="str">
        <f t="shared" si="91"/>
        <v/>
      </c>
      <c r="BL312" s="29" t="e">
        <f t="shared" si="92"/>
        <v>#N/A</v>
      </c>
      <c r="BM312" s="29" t="e">
        <f t="shared" si="93"/>
        <v>#N/A</v>
      </c>
    </row>
    <row r="313" spans="16:65" x14ac:dyDescent="0.35">
      <c r="P313" s="6"/>
      <c r="Q313" s="27"/>
      <c r="R313" s="6" t="str">
        <f>IF(Q313="","",SUMIFS(tblAnalysis[P&amp;L SOL],tblAnalysis[Date],Q313))</f>
        <v/>
      </c>
      <c r="S313" s="10" t="str">
        <f>IF(Q313="","",SUMIFS(tblAnalysis[P&amp;L %],tblAnalysis[Date],Q313))</f>
        <v/>
      </c>
      <c r="T313" s="6" t="str">
        <f>IF(Q313="","",IFERROR(SUM($R$2:R313),""))</f>
        <v/>
      </c>
      <c r="U313" t="str">
        <f>IF(Q313="","",COUNTIFS(tblAnalysis[Date],Q313))</f>
        <v/>
      </c>
      <c r="W313" s="27" t="str">
        <f t="shared" si="80"/>
        <v/>
      </c>
      <c r="X313" s="6" t="str">
        <f t="shared" si="81"/>
        <v/>
      </c>
      <c r="Y313" s="6" t="str">
        <f>IF(Q313="","",MAX(X313,_xlfn.MAXIFS(tblAnalysis[Cum P&amp;L SOL],tblAnalysis[Date],Q313)))</f>
        <v/>
      </c>
      <c r="Z313" s="6" t="str">
        <f>IF(Q313="","",MIN(X313,_xlfn.MINIFS(tblAnalysis[Cum P&amp;L SOL],tblAnalysis[Date],Q313)))</f>
        <v/>
      </c>
      <c r="AA313" s="6" t="str">
        <f t="shared" si="82"/>
        <v/>
      </c>
      <c r="AB313"/>
      <c r="AC313" s="27" t="str">
        <f t="shared" si="83"/>
        <v/>
      </c>
      <c r="AD313" s="10" t="str">
        <f t="shared" si="84"/>
        <v/>
      </c>
      <c r="AE313" s="10" t="str">
        <f t="shared" si="85"/>
        <v/>
      </c>
      <c r="AF313" s="10" t="str">
        <f t="shared" si="86"/>
        <v/>
      </c>
      <c r="AG313"/>
      <c r="AH313" t="str">
        <f t="shared" si="87"/>
        <v/>
      </c>
      <c r="AI313" t="str">
        <f t="shared" si="88"/>
        <v/>
      </c>
      <c r="AK313" t="str" cm="1">
        <f t="array" ref="AK313">IFERROR(IF(INDEX($A:$A,ROW())="","",INDEX($A:$A,ROW())),"")</f>
        <v/>
      </c>
      <c r="AL313" t="str" cm="1">
        <f t="array" ref="AL313">IFERROR(INDEX(tblTrades[sol_invested],ROW()-1),"")</f>
        <v/>
      </c>
      <c r="AM313" s="6" t="str" cm="1">
        <f t="array" ref="AM313">IFERROR(INDEX(tblAnalysis[P&amp;L SOL],ROW()-1),"")</f>
        <v/>
      </c>
      <c r="AN313" t="str" cm="1">
        <f t="array" ref="AN313">IFERROR(IF(INDEX(tblTrades[sol_invested],ROW()-1)&gt;0.5,INDEX(tblAnalysis[Token],ROW()-1)&amp;" ("&amp;TEXT(INDEX(tblTrades[sol_invested],ROW()-1),"0.0")&amp;" SOL)",""),"")</f>
        <v/>
      </c>
      <c r="AO313" s="7"/>
      <c r="AP313" s="12" t="str" cm="1">
        <f t="array" ref="AP313">IFERROR(INDEX(tblAnalysis[Entry MC ($)],ROW()-1),"")</f>
        <v/>
      </c>
      <c r="AQ313" s="10" t="str" cm="1">
        <f t="array" ref="AQ313">IFERROR(INDEX(tblAnalysis[P&amp;L %],ROW()-1),"")</f>
        <v/>
      </c>
      <c r="AR313" t="str" cm="1">
        <f t="array" ref="AR313">IFERROR(INDEX(tblAnalysis[Hold Time (s)],ROW()-1),"")</f>
        <v/>
      </c>
      <c r="AS313" s="6" t="str" cm="1">
        <f t="array" ref="AS313">IFERROR(INDEX(tblAnalysis[P&amp;L SOL],ROW()-1),"")</f>
        <v/>
      </c>
      <c r="AT313"/>
      <c r="AY313" s="10"/>
      <c r="AZ313" s="10"/>
      <c r="BA313" s="6"/>
      <c r="BB313"/>
      <c r="BF313" t="str">
        <f t="shared" si="89"/>
        <v/>
      </c>
      <c r="BG313" s="27" t="str">
        <f t="shared" si="90"/>
        <v/>
      </c>
      <c r="BH313" t="str">
        <f t="shared" si="91"/>
        <v/>
      </c>
      <c r="BL313" s="29" t="e">
        <f t="shared" si="92"/>
        <v>#N/A</v>
      </c>
      <c r="BM313" s="29" t="e">
        <f t="shared" si="93"/>
        <v>#N/A</v>
      </c>
    </row>
    <row r="314" spans="16:65" x14ac:dyDescent="0.35">
      <c r="P314" s="6"/>
      <c r="Q314" s="27"/>
      <c r="R314" s="6" t="str">
        <f>IF(Q314="","",SUMIFS(tblAnalysis[P&amp;L SOL],tblAnalysis[Date],Q314))</f>
        <v/>
      </c>
      <c r="S314" s="10" t="str">
        <f>IF(Q314="","",SUMIFS(tblAnalysis[P&amp;L %],tblAnalysis[Date],Q314))</f>
        <v/>
      </c>
      <c r="T314" s="6" t="str">
        <f>IF(Q314="","",IFERROR(SUM($R$2:R314),""))</f>
        <v/>
      </c>
      <c r="U314" t="str">
        <f>IF(Q314="","",COUNTIFS(tblAnalysis[Date],Q314))</f>
        <v/>
      </c>
      <c r="W314" s="27" t="str">
        <f t="shared" si="80"/>
        <v/>
      </c>
      <c r="X314" s="6" t="str">
        <f t="shared" si="81"/>
        <v/>
      </c>
      <c r="Y314" s="6" t="str">
        <f>IF(Q314="","",MAX(X314,_xlfn.MAXIFS(tblAnalysis[Cum P&amp;L SOL],tblAnalysis[Date],Q314)))</f>
        <v/>
      </c>
      <c r="Z314" s="6" t="str">
        <f>IF(Q314="","",MIN(X314,_xlfn.MINIFS(tblAnalysis[Cum P&amp;L SOL],tblAnalysis[Date],Q314)))</f>
        <v/>
      </c>
      <c r="AA314" s="6" t="str">
        <f t="shared" si="82"/>
        <v/>
      </c>
      <c r="AB314"/>
      <c r="AC314" s="27" t="str">
        <f t="shared" si="83"/>
        <v/>
      </c>
      <c r="AD314" s="10" t="str">
        <f t="shared" si="84"/>
        <v/>
      </c>
      <c r="AE314" s="10" t="str">
        <f t="shared" si="85"/>
        <v/>
      </c>
      <c r="AF314" s="10" t="str">
        <f t="shared" si="86"/>
        <v/>
      </c>
      <c r="AG314"/>
      <c r="AH314" t="str">
        <f t="shared" si="87"/>
        <v/>
      </c>
      <c r="AI314" t="str">
        <f t="shared" si="88"/>
        <v/>
      </c>
      <c r="AK314" t="str" cm="1">
        <f t="array" ref="AK314">IFERROR(IF(INDEX($A:$A,ROW())="","",INDEX($A:$A,ROW())),"")</f>
        <v/>
      </c>
      <c r="AL314" t="str" cm="1">
        <f t="array" ref="AL314">IFERROR(INDEX(tblTrades[sol_invested],ROW()-1),"")</f>
        <v/>
      </c>
      <c r="AM314" s="6" t="str" cm="1">
        <f t="array" ref="AM314">IFERROR(INDEX(tblAnalysis[P&amp;L SOL],ROW()-1),"")</f>
        <v/>
      </c>
      <c r="AN314" t="str" cm="1">
        <f t="array" ref="AN314">IFERROR(IF(INDEX(tblTrades[sol_invested],ROW()-1)&gt;0.5,INDEX(tblAnalysis[Token],ROW()-1)&amp;" ("&amp;TEXT(INDEX(tblTrades[sol_invested],ROW()-1),"0.0")&amp;" SOL)",""),"")</f>
        <v/>
      </c>
      <c r="AO314" s="7"/>
      <c r="AP314" s="12" t="str" cm="1">
        <f t="array" ref="AP314">IFERROR(INDEX(tblAnalysis[Entry MC ($)],ROW()-1),"")</f>
        <v/>
      </c>
      <c r="AQ314" s="10" t="str" cm="1">
        <f t="array" ref="AQ314">IFERROR(INDEX(tblAnalysis[P&amp;L %],ROW()-1),"")</f>
        <v/>
      </c>
      <c r="AR314" t="str" cm="1">
        <f t="array" ref="AR314">IFERROR(INDEX(tblAnalysis[Hold Time (s)],ROW()-1),"")</f>
        <v/>
      </c>
      <c r="AS314" s="6" t="str" cm="1">
        <f t="array" ref="AS314">IFERROR(INDEX(tblAnalysis[P&amp;L SOL],ROW()-1),"")</f>
        <v/>
      </c>
      <c r="AT314"/>
      <c r="AY314" s="10"/>
      <c r="AZ314" s="10"/>
      <c r="BA314" s="6"/>
      <c r="BB314"/>
      <c r="BF314" t="str">
        <f t="shared" si="89"/>
        <v/>
      </c>
      <c r="BG314" s="27" t="str">
        <f t="shared" si="90"/>
        <v/>
      </c>
      <c r="BH314" t="str">
        <f t="shared" si="91"/>
        <v/>
      </c>
      <c r="BL314" s="29" t="e">
        <f t="shared" si="92"/>
        <v>#N/A</v>
      </c>
      <c r="BM314" s="29" t="e">
        <f t="shared" si="93"/>
        <v>#N/A</v>
      </c>
    </row>
    <row r="315" spans="16:65" x14ac:dyDescent="0.35">
      <c r="P315" s="6"/>
      <c r="Q315" s="27"/>
      <c r="R315" s="6" t="str">
        <f>IF(Q315="","",SUMIFS(tblAnalysis[P&amp;L SOL],tblAnalysis[Date],Q315))</f>
        <v/>
      </c>
      <c r="S315" s="10" t="str">
        <f>IF(Q315="","",SUMIFS(tblAnalysis[P&amp;L %],tblAnalysis[Date],Q315))</f>
        <v/>
      </c>
      <c r="T315" s="6" t="str">
        <f>IF(Q315="","",IFERROR(SUM($R$2:R315),""))</f>
        <v/>
      </c>
      <c r="U315" t="str">
        <f>IF(Q315="","",COUNTIFS(tblAnalysis[Date],Q315))</f>
        <v/>
      </c>
      <c r="W315" s="27" t="str">
        <f t="shared" si="80"/>
        <v/>
      </c>
      <c r="X315" s="6" t="str">
        <f t="shared" si="81"/>
        <v/>
      </c>
      <c r="Y315" s="6" t="str">
        <f>IF(Q315="","",MAX(X315,_xlfn.MAXIFS(tblAnalysis[Cum P&amp;L SOL],tblAnalysis[Date],Q315)))</f>
        <v/>
      </c>
      <c r="Z315" s="6" t="str">
        <f>IF(Q315="","",MIN(X315,_xlfn.MINIFS(tblAnalysis[Cum P&amp;L SOL],tblAnalysis[Date],Q315)))</f>
        <v/>
      </c>
      <c r="AA315" s="6" t="str">
        <f t="shared" si="82"/>
        <v/>
      </c>
      <c r="AB315"/>
      <c r="AC315" s="27" t="str">
        <f t="shared" si="83"/>
        <v/>
      </c>
      <c r="AD315" s="10" t="str">
        <f t="shared" si="84"/>
        <v/>
      </c>
      <c r="AE315" s="10" t="str">
        <f t="shared" si="85"/>
        <v/>
      </c>
      <c r="AF315" s="10" t="str">
        <f t="shared" si="86"/>
        <v/>
      </c>
      <c r="AG315"/>
      <c r="AH315" t="str">
        <f t="shared" si="87"/>
        <v/>
      </c>
      <c r="AI315" t="str">
        <f t="shared" si="88"/>
        <v/>
      </c>
      <c r="AK315" t="str" cm="1">
        <f t="array" ref="AK315">IFERROR(IF(INDEX($A:$A,ROW())="","",INDEX($A:$A,ROW())),"")</f>
        <v/>
      </c>
      <c r="AL315" t="str" cm="1">
        <f t="array" ref="AL315">IFERROR(INDEX(tblTrades[sol_invested],ROW()-1),"")</f>
        <v/>
      </c>
      <c r="AM315" s="6" t="str" cm="1">
        <f t="array" ref="AM315">IFERROR(INDEX(tblAnalysis[P&amp;L SOL],ROW()-1),"")</f>
        <v/>
      </c>
      <c r="AN315" t="str" cm="1">
        <f t="array" ref="AN315">IFERROR(IF(INDEX(tblTrades[sol_invested],ROW()-1)&gt;0.5,INDEX(tblAnalysis[Token],ROW()-1)&amp;" ("&amp;TEXT(INDEX(tblTrades[sol_invested],ROW()-1),"0.0")&amp;" SOL)",""),"")</f>
        <v/>
      </c>
      <c r="AO315" s="7"/>
      <c r="AP315" s="12" t="str" cm="1">
        <f t="array" ref="AP315">IFERROR(INDEX(tblAnalysis[Entry MC ($)],ROW()-1),"")</f>
        <v/>
      </c>
      <c r="AQ315" s="10" t="str" cm="1">
        <f t="array" ref="AQ315">IFERROR(INDEX(tblAnalysis[P&amp;L %],ROW()-1),"")</f>
        <v/>
      </c>
      <c r="AR315" t="str" cm="1">
        <f t="array" ref="AR315">IFERROR(INDEX(tblAnalysis[Hold Time (s)],ROW()-1),"")</f>
        <v/>
      </c>
      <c r="AS315" s="6" t="str" cm="1">
        <f t="array" ref="AS315">IFERROR(INDEX(tblAnalysis[P&amp;L SOL],ROW()-1),"")</f>
        <v/>
      </c>
      <c r="AT315"/>
      <c r="AY315" s="10"/>
      <c r="AZ315" s="10"/>
      <c r="BA315" s="6"/>
      <c r="BB315"/>
      <c r="BF315" t="str">
        <f t="shared" si="89"/>
        <v/>
      </c>
      <c r="BG315" s="27" t="str">
        <f t="shared" si="90"/>
        <v/>
      </c>
      <c r="BH315" t="str">
        <f t="shared" si="91"/>
        <v/>
      </c>
      <c r="BL315" s="29" t="e">
        <f t="shared" si="92"/>
        <v>#N/A</v>
      </c>
      <c r="BM315" s="29" t="e">
        <f t="shared" si="93"/>
        <v>#N/A</v>
      </c>
    </row>
    <row r="316" spans="16:65" x14ac:dyDescent="0.35">
      <c r="P316" s="6"/>
      <c r="Q316" s="27"/>
      <c r="R316" s="6" t="str">
        <f>IF(Q316="","",SUMIFS(tblAnalysis[P&amp;L SOL],tblAnalysis[Date],Q316))</f>
        <v/>
      </c>
      <c r="S316" s="10" t="str">
        <f>IF(Q316="","",SUMIFS(tblAnalysis[P&amp;L %],tblAnalysis[Date],Q316))</f>
        <v/>
      </c>
      <c r="T316" s="6" t="str">
        <f>IF(Q316="","",IFERROR(SUM($R$2:R316),""))</f>
        <v/>
      </c>
      <c r="U316" t="str">
        <f>IF(Q316="","",COUNTIFS(tblAnalysis[Date],Q316))</f>
        <v/>
      </c>
      <c r="W316" s="27" t="str">
        <f t="shared" si="80"/>
        <v/>
      </c>
      <c r="X316" s="6" t="str">
        <f t="shared" si="81"/>
        <v/>
      </c>
      <c r="Y316" s="6" t="str">
        <f>IF(Q316="","",MAX(X316,_xlfn.MAXIFS(tblAnalysis[Cum P&amp;L SOL],tblAnalysis[Date],Q316)))</f>
        <v/>
      </c>
      <c r="Z316" s="6" t="str">
        <f>IF(Q316="","",MIN(X316,_xlfn.MINIFS(tblAnalysis[Cum P&amp;L SOL],tblAnalysis[Date],Q316)))</f>
        <v/>
      </c>
      <c r="AA316" s="6" t="str">
        <f t="shared" si="82"/>
        <v/>
      </c>
      <c r="AB316"/>
      <c r="AC316" s="27" t="str">
        <f t="shared" si="83"/>
        <v/>
      </c>
      <c r="AD316" s="10" t="str">
        <f t="shared" si="84"/>
        <v/>
      </c>
      <c r="AE316" s="10" t="str">
        <f t="shared" si="85"/>
        <v/>
      </c>
      <c r="AF316" s="10" t="str">
        <f t="shared" si="86"/>
        <v/>
      </c>
      <c r="AG316"/>
      <c r="AH316" t="str">
        <f t="shared" si="87"/>
        <v/>
      </c>
      <c r="AI316" t="str">
        <f t="shared" si="88"/>
        <v/>
      </c>
      <c r="AK316" t="str" cm="1">
        <f t="array" ref="AK316">IFERROR(IF(INDEX($A:$A,ROW())="","",INDEX($A:$A,ROW())),"")</f>
        <v/>
      </c>
      <c r="AL316" t="str" cm="1">
        <f t="array" ref="AL316">IFERROR(INDEX(tblTrades[sol_invested],ROW()-1),"")</f>
        <v/>
      </c>
      <c r="AM316" s="6" t="str" cm="1">
        <f t="array" ref="AM316">IFERROR(INDEX(tblAnalysis[P&amp;L SOL],ROW()-1),"")</f>
        <v/>
      </c>
      <c r="AN316" t="str" cm="1">
        <f t="array" ref="AN316">IFERROR(IF(INDEX(tblTrades[sol_invested],ROW()-1)&gt;0.5,INDEX(tblAnalysis[Token],ROW()-1)&amp;" ("&amp;TEXT(INDEX(tblTrades[sol_invested],ROW()-1),"0.0")&amp;" SOL)",""),"")</f>
        <v/>
      </c>
      <c r="AO316" s="7"/>
      <c r="AP316" s="12" t="str" cm="1">
        <f t="array" ref="AP316">IFERROR(INDEX(tblAnalysis[Entry MC ($)],ROW()-1),"")</f>
        <v/>
      </c>
      <c r="AQ316" s="10" t="str" cm="1">
        <f t="array" ref="AQ316">IFERROR(INDEX(tblAnalysis[P&amp;L %],ROW()-1),"")</f>
        <v/>
      </c>
      <c r="AR316" t="str" cm="1">
        <f t="array" ref="AR316">IFERROR(INDEX(tblAnalysis[Hold Time (s)],ROW()-1),"")</f>
        <v/>
      </c>
      <c r="AS316" s="6" t="str" cm="1">
        <f t="array" ref="AS316">IFERROR(INDEX(tblAnalysis[P&amp;L SOL],ROW()-1),"")</f>
        <v/>
      </c>
      <c r="AT316"/>
      <c r="AY316" s="10"/>
      <c r="AZ316" s="10"/>
      <c r="BA316" s="6"/>
      <c r="BB316"/>
      <c r="BF316" t="str">
        <f t="shared" si="89"/>
        <v/>
      </c>
      <c r="BG316" s="27" t="str">
        <f t="shared" si="90"/>
        <v/>
      </c>
      <c r="BH316" t="str">
        <f t="shared" si="91"/>
        <v/>
      </c>
      <c r="BL316" s="29" t="e">
        <f t="shared" si="92"/>
        <v>#N/A</v>
      </c>
      <c r="BM316" s="29" t="e">
        <f t="shared" si="93"/>
        <v>#N/A</v>
      </c>
    </row>
    <row r="317" spans="16:65" x14ac:dyDescent="0.35">
      <c r="P317" s="6"/>
      <c r="Q317" s="27"/>
      <c r="R317" s="6" t="str">
        <f>IF(Q317="","",SUMIFS(tblAnalysis[P&amp;L SOL],tblAnalysis[Date],Q317))</f>
        <v/>
      </c>
      <c r="S317" s="10" t="str">
        <f>IF(Q317="","",SUMIFS(tblAnalysis[P&amp;L %],tblAnalysis[Date],Q317))</f>
        <v/>
      </c>
      <c r="T317" s="6" t="str">
        <f>IF(Q317="","",IFERROR(SUM($R$2:R317),""))</f>
        <v/>
      </c>
      <c r="U317" t="str">
        <f>IF(Q317="","",COUNTIFS(tblAnalysis[Date],Q317))</f>
        <v/>
      </c>
      <c r="W317" s="27" t="str">
        <f t="shared" si="80"/>
        <v/>
      </c>
      <c r="X317" s="6" t="str">
        <f t="shared" si="81"/>
        <v/>
      </c>
      <c r="Y317" s="6" t="str">
        <f>IF(Q317="","",MAX(X317,_xlfn.MAXIFS(tblAnalysis[Cum P&amp;L SOL],tblAnalysis[Date],Q317)))</f>
        <v/>
      </c>
      <c r="Z317" s="6" t="str">
        <f>IF(Q317="","",MIN(X317,_xlfn.MINIFS(tblAnalysis[Cum P&amp;L SOL],tblAnalysis[Date],Q317)))</f>
        <v/>
      </c>
      <c r="AA317" s="6" t="str">
        <f t="shared" si="82"/>
        <v/>
      </c>
      <c r="AB317"/>
      <c r="AC317" s="27" t="str">
        <f t="shared" si="83"/>
        <v/>
      </c>
      <c r="AD317" s="10" t="str">
        <f t="shared" si="84"/>
        <v/>
      </c>
      <c r="AE317" s="10" t="str">
        <f t="shared" si="85"/>
        <v/>
      </c>
      <c r="AF317" s="10" t="str">
        <f t="shared" si="86"/>
        <v/>
      </c>
      <c r="AG317"/>
      <c r="AH317" t="str">
        <f t="shared" si="87"/>
        <v/>
      </c>
      <c r="AI317" t="str">
        <f t="shared" si="88"/>
        <v/>
      </c>
      <c r="AK317" t="str" cm="1">
        <f t="array" ref="AK317">IFERROR(IF(INDEX($A:$A,ROW())="","",INDEX($A:$A,ROW())),"")</f>
        <v/>
      </c>
      <c r="AL317" t="str" cm="1">
        <f t="array" ref="AL317">IFERROR(INDEX(tblTrades[sol_invested],ROW()-1),"")</f>
        <v/>
      </c>
      <c r="AM317" s="6" t="str" cm="1">
        <f t="array" ref="AM317">IFERROR(INDEX(tblAnalysis[P&amp;L SOL],ROW()-1),"")</f>
        <v/>
      </c>
      <c r="AN317" t="str" cm="1">
        <f t="array" ref="AN317">IFERROR(IF(INDEX(tblTrades[sol_invested],ROW()-1)&gt;0.5,INDEX(tblAnalysis[Token],ROW()-1)&amp;" ("&amp;TEXT(INDEX(tblTrades[sol_invested],ROW()-1),"0.0")&amp;" SOL)",""),"")</f>
        <v/>
      </c>
      <c r="AO317" s="7"/>
      <c r="AP317" s="12" t="str" cm="1">
        <f t="array" ref="AP317">IFERROR(INDEX(tblAnalysis[Entry MC ($)],ROW()-1),"")</f>
        <v/>
      </c>
      <c r="AQ317" s="10" t="str" cm="1">
        <f t="array" ref="AQ317">IFERROR(INDEX(tblAnalysis[P&amp;L %],ROW()-1),"")</f>
        <v/>
      </c>
      <c r="AR317" t="str" cm="1">
        <f t="array" ref="AR317">IFERROR(INDEX(tblAnalysis[Hold Time (s)],ROW()-1),"")</f>
        <v/>
      </c>
      <c r="AS317" s="6" t="str" cm="1">
        <f t="array" ref="AS317">IFERROR(INDEX(tblAnalysis[P&amp;L SOL],ROW()-1),"")</f>
        <v/>
      </c>
      <c r="AT317"/>
      <c r="AY317" s="10"/>
      <c r="AZ317" s="10"/>
      <c r="BA317" s="6"/>
      <c r="BB317"/>
      <c r="BF317" t="str">
        <f t="shared" si="89"/>
        <v/>
      </c>
      <c r="BG317" s="27" t="str">
        <f t="shared" si="90"/>
        <v/>
      </c>
      <c r="BH317" t="str">
        <f t="shared" si="91"/>
        <v/>
      </c>
      <c r="BL317" s="29" t="e">
        <f t="shared" si="92"/>
        <v>#N/A</v>
      </c>
      <c r="BM317" s="29" t="e">
        <f t="shared" si="93"/>
        <v>#N/A</v>
      </c>
    </row>
    <row r="318" spans="16:65" x14ac:dyDescent="0.35">
      <c r="P318" s="6"/>
      <c r="Q318" s="27"/>
      <c r="R318" s="6" t="str">
        <f>IF(Q318="","",SUMIFS(tblAnalysis[P&amp;L SOL],tblAnalysis[Date],Q318))</f>
        <v/>
      </c>
      <c r="S318" s="10" t="str">
        <f>IF(Q318="","",SUMIFS(tblAnalysis[P&amp;L %],tblAnalysis[Date],Q318))</f>
        <v/>
      </c>
      <c r="T318" s="6" t="str">
        <f>IF(Q318="","",IFERROR(SUM($R$2:R318),""))</f>
        <v/>
      </c>
      <c r="U318" t="str">
        <f>IF(Q318="","",COUNTIFS(tblAnalysis[Date],Q318))</f>
        <v/>
      </c>
      <c r="W318" s="27" t="str">
        <f t="shared" si="80"/>
        <v/>
      </c>
      <c r="X318" s="6" t="str">
        <f t="shared" si="81"/>
        <v/>
      </c>
      <c r="Y318" s="6" t="str">
        <f>IF(Q318="","",MAX(X318,_xlfn.MAXIFS(tblAnalysis[Cum P&amp;L SOL],tblAnalysis[Date],Q318)))</f>
        <v/>
      </c>
      <c r="Z318" s="6" t="str">
        <f>IF(Q318="","",MIN(X318,_xlfn.MINIFS(tblAnalysis[Cum P&amp;L SOL],tblAnalysis[Date],Q318)))</f>
        <v/>
      </c>
      <c r="AA318" s="6" t="str">
        <f t="shared" si="82"/>
        <v/>
      </c>
      <c r="AB318"/>
      <c r="AC318" s="27" t="str">
        <f t="shared" si="83"/>
        <v/>
      </c>
      <c r="AD318" s="10" t="str">
        <f t="shared" si="84"/>
        <v/>
      </c>
      <c r="AE318" s="10" t="str">
        <f t="shared" si="85"/>
        <v/>
      </c>
      <c r="AF318" s="10" t="str">
        <f t="shared" si="86"/>
        <v/>
      </c>
      <c r="AG318"/>
      <c r="AH318" t="str">
        <f t="shared" si="87"/>
        <v/>
      </c>
      <c r="AI318" t="str">
        <f t="shared" si="88"/>
        <v/>
      </c>
      <c r="AK318" t="str" cm="1">
        <f t="array" ref="AK318">IFERROR(IF(INDEX($A:$A,ROW())="","",INDEX($A:$A,ROW())),"")</f>
        <v/>
      </c>
      <c r="AL318" t="str" cm="1">
        <f t="array" ref="AL318">IFERROR(INDEX(tblTrades[sol_invested],ROW()-1),"")</f>
        <v/>
      </c>
      <c r="AM318" s="6" t="str" cm="1">
        <f t="array" ref="AM318">IFERROR(INDEX(tblAnalysis[P&amp;L SOL],ROW()-1),"")</f>
        <v/>
      </c>
      <c r="AN318" t="str" cm="1">
        <f t="array" ref="AN318">IFERROR(IF(INDEX(tblTrades[sol_invested],ROW()-1)&gt;0.5,INDEX(tblAnalysis[Token],ROW()-1)&amp;" ("&amp;TEXT(INDEX(tblTrades[sol_invested],ROW()-1),"0.0")&amp;" SOL)",""),"")</f>
        <v/>
      </c>
      <c r="AO318" s="7"/>
      <c r="AP318" s="12" t="str" cm="1">
        <f t="array" ref="AP318">IFERROR(INDEX(tblAnalysis[Entry MC ($)],ROW()-1),"")</f>
        <v/>
      </c>
      <c r="AQ318" s="10" t="str" cm="1">
        <f t="array" ref="AQ318">IFERROR(INDEX(tblAnalysis[P&amp;L %],ROW()-1),"")</f>
        <v/>
      </c>
      <c r="AR318" t="str" cm="1">
        <f t="array" ref="AR318">IFERROR(INDEX(tblAnalysis[Hold Time (s)],ROW()-1),"")</f>
        <v/>
      </c>
      <c r="AS318" s="6" t="str" cm="1">
        <f t="array" ref="AS318">IFERROR(INDEX(tblAnalysis[P&amp;L SOL],ROW()-1),"")</f>
        <v/>
      </c>
      <c r="AT318"/>
      <c r="AY318" s="10"/>
      <c r="AZ318" s="10"/>
      <c r="BA318" s="6"/>
      <c r="BB318"/>
      <c r="BF318" t="str">
        <f t="shared" si="89"/>
        <v/>
      </c>
      <c r="BG318" s="27" t="str">
        <f t="shared" si="90"/>
        <v/>
      </c>
      <c r="BH318" t="str">
        <f t="shared" si="91"/>
        <v/>
      </c>
      <c r="BL318" s="29" t="e">
        <f t="shared" si="92"/>
        <v>#N/A</v>
      </c>
      <c r="BM318" s="29" t="e">
        <f t="shared" si="93"/>
        <v>#N/A</v>
      </c>
    </row>
    <row r="319" spans="16:65" x14ac:dyDescent="0.35">
      <c r="P319" s="6"/>
      <c r="Q319" s="27"/>
      <c r="R319" s="6" t="str">
        <f>IF(Q319="","",SUMIFS(tblAnalysis[P&amp;L SOL],tblAnalysis[Date],Q319))</f>
        <v/>
      </c>
      <c r="S319" s="10" t="str">
        <f>IF(Q319="","",SUMIFS(tblAnalysis[P&amp;L %],tblAnalysis[Date],Q319))</f>
        <v/>
      </c>
      <c r="T319" s="6" t="str">
        <f>IF(Q319="","",IFERROR(SUM($R$2:R319),""))</f>
        <v/>
      </c>
      <c r="U319" t="str">
        <f>IF(Q319="","",COUNTIFS(tblAnalysis[Date],Q319))</f>
        <v/>
      </c>
      <c r="W319" s="27" t="str">
        <f t="shared" si="80"/>
        <v/>
      </c>
      <c r="X319" s="6" t="str">
        <f t="shared" si="81"/>
        <v/>
      </c>
      <c r="Y319" s="6" t="str">
        <f>IF(Q319="","",MAX(X319,_xlfn.MAXIFS(tblAnalysis[Cum P&amp;L SOL],tblAnalysis[Date],Q319)))</f>
        <v/>
      </c>
      <c r="Z319" s="6" t="str">
        <f>IF(Q319="","",MIN(X319,_xlfn.MINIFS(tblAnalysis[Cum P&amp;L SOL],tblAnalysis[Date],Q319)))</f>
        <v/>
      </c>
      <c r="AA319" s="6" t="str">
        <f t="shared" si="82"/>
        <v/>
      </c>
      <c r="AB319"/>
      <c r="AC319" s="27" t="str">
        <f t="shared" si="83"/>
        <v/>
      </c>
      <c r="AD319" s="10" t="str">
        <f t="shared" si="84"/>
        <v/>
      </c>
      <c r="AE319" s="10" t="str">
        <f t="shared" si="85"/>
        <v/>
      </c>
      <c r="AF319" s="10" t="str">
        <f t="shared" si="86"/>
        <v/>
      </c>
      <c r="AG319"/>
      <c r="AH319" t="str">
        <f t="shared" si="87"/>
        <v/>
      </c>
      <c r="AI319" t="str">
        <f t="shared" si="88"/>
        <v/>
      </c>
      <c r="AK319" t="str" cm="1">
        <f t="array" ref="AK319">IFERROR(IF(INDEX($A:$A,ROW())="","",INDEX($A:$A,ROW())),"")</f>
        <v/>
      </c>
      <c r="AL319" t="str" cm="1">
        <f t="array" ref="AL319">IFERROR(INDEX(tblTrades[sol_invested],ROW()-1),"")</f>
        <v/>
      </c>
      <c r="AM319" s="6" t="str" cm="1">
        <f t="array" ref="AM319">IFERROR(INDEX(tblAnalysis[P&amp;L SOL],ROW()-1),"")</f>
        <v/>
      </c>
      <c r="AN319" t="str" cm="1">
        <f t="array" ref="AN319">IFERROR(IF(INDEX(tblTrades[sol_invested],ROW()-1)&gt;0.5,INDEX(tblAnalysis[Token],ROW()-1)&amp;" ("&amp;TEXT(INDEX(tblTrades[sol_invested],ROW()-1),"0.0")&amp;" SOL)",""),"")</f>
        <v/>
      </c>
      <c r="AO319" s="7"/>
      <c r="AP319" s="12" t="str" cm="1">
        <f t="array" ref="AP319">IFERROR(INDEX(tblAnalysis[Entry MC ($)],ROW()-1),"")</f>
        <v/>
      </c>
      <c r="AQ319" s="10" t="str" cm="1">
        <f t="array" ref="AQ319">IFERROR(INDEX(tblAnalysis[P&amp;L %],ROW()-1),"")</f>
        <v/>
      </c>
      <c r="AR319" t="str" cm="1">
        <f t="array" ref="AR319">IFERROR(INDEX(tblAnalysis[Hold Time (s)],ROW()-1),"")</f>
        <v/>
      </c>
      <c r="AS319" s="6" t="str" cm="1">
        <f t="array" ref="AS319">IFERROR(INDEX(tblAnalysis[P&amp;L SOL],ROW()-1),"")</f>
        <v/>
      </c>
      <c r="AT319"/>
      <c r="AY319" s="10"/>
      <c r="AZ319" s="10"/>
      <c r="BA319" s="6"/>
      <c r="BB319"/>
      <c r="BF319" t="str">
        <f t="shared" si="89"/>
        <v/>
      </c>
      <c r="BG319" s="27" t="str">
        <f t="shared" si="90"/>
        <v/>
      </c>
      <c r="BH319" t="str">
        <f t="shared" si="91"/>
        <v/>
      </c>
      <c r="BL319" s="29" t="e">
        <f t="shared" si="92"/>
        <v>#N/A</v>
      </c>
      <c r="BM319" s="29" t="e">
        <f t="shared" si="93"/>
        <v>#N/A</v>
      </c>
    </row>
    <row r="320" spans="16:65" x14ac:dyDescent="0.35">
      <c r="P320" s="6"/>
      <c r="Q320" s="27"/>
      <c r="R320" s="6" t="str">
        <f>IF(Q320="","",SUMIFS(tblAnalysis[P&amp;L SOL],tblAnalysis[Date],Q320))</f>
        <v/>
      </c>
      <c r="S320" s="10" t="str">
        <f>IF(Q320="","",SUMIFS(tblAnalysis[P&amp;L %],tblAnalysis[Date],Q320))</f>
        <v/>
      </c>
      <c r="T320" s="6" t="str">
        <f>IF(Q320="","",IFERROR(SUM($R$2:R320),""))</f>
        <v/>
      </c>
      <c r="U320" t="str">
        <f>IF(Q320="","",COUNTIFS(tblAnalysis[Date],Q320))</f>
        <v/>
      </c>
      <c r="W320" s="27" t="str">
        <f t="shared" si="80"/>
        <v/>
      </c>
      <c r="X320" s="6" t="str">
        <f t="shared" si="81"/>
        <v/>
      </c>
      <c r="Y320" s="6" t="str">
        <f>IF(Q320="","",MAX(X320,_xlfn.MAXIFS(tblAnalysis[Cum P&amp;L SOL],tblAnalysis[Date],Q320)))</f>
        <v/>
      </c>
      <c r="Z320" s="6" t="str">
        <f>IF(Q320="","",MIN(X320,_xlfn.MINIFS(tblAnalysis[Cum P&amp;L SOL],tblAnalysis[Date],Q320)))</f>
        <v/>
      </c>
      <c r="AA320" s="6" t="str">
        <f t="shared" si="82"/>
        <v/>
      </c>
      <c r="AB320"/>
      <c r="AC320" s="27" t="str">
        <f t="shared" si="83"/>
        <v/>
      </c>
      <c r="AD320" s="10" t="str">
        <f t="shared" si="84"/>
        <v/>
      </c>
      <c r="AE320" s="10" t="str">
        <f t="shared" si="85"/>
        <v/>
      </c>
      <c r="AF320" s="10" t="str">
        <f t="shared" si="86"/>
        <v/>
      </c>
      <c r="AG320"/>
      <c r="AH320" t="str">
        <f t="shared" si="87"/>
        <v/>
      </c>
      <c r="AI320" t="str">
        <f t="shared" si="88"/>
        <v/>
      </c>
      <c r="AK320" t="str" cm="1">
        <f t="array" ref="AK320">IFERROR(IF(INDEX($A:$A,ROW())="","",INDEX($A:$A,ROW())),"")</f>
        <v/>
      </c>
      <c r="AL320" t="str" cm="1">
        <f t="array" ref="AL320">IFERROR(INDEX(tblTrades[sol_invested],ROW()-1),"")</f>
        <v/>
      </c>
      <c r="AM320" s="6" t="str" cm="1">
        <f t="array" ref="AM320">IFERROR(INDEX(tblAnalysis[P&amp;L SOL],ROW()-1),"")</f>
        <v/>
      </c>
      <c r="AN320" t="str" cm="1">
        <f t="array" ref="AN320">IFERROR(IF(INDEX(tblTrades[sol_invested],ROW()-1)&gt;0.5,INDEX(tblAnalysis[Token],ROW()-1)&amp;" ("&amp;TEXT(INDEX(tblTrades[sol_invested],ROW()-1),"0.0")&amp;" SOL)",""),"")</f>
        <v/>
      </c>
      <c r="AO320" s="7"/>
      <c r="AP320" s="12" t="str" cm="1">
        <f t="array" ref="AP320">IFERROR(INDEX(tblAnalysis[Entry MC ($)],ROW()-1),"")</f>
        <v/>
      </c>
      <c r="AQ320" s="10" t="str" cm="1">
        <f t="array" ref="AQ320">IFERROR(INDEX(tblAnalysis[P&amp;L %],ROW()-1),"")</f>
        <v/>
      </c>
      <c r="AR320" t="str" cm="1">
        <f t="array" ref="AR320">IFERROR(INDEX(tblAnalysis[Hold Time (s)],ROW()-1),"")</f>
        <v/>
      </c>
      <c r="AS320" s="6" t="str" cm="1">
        <f t="array" ref="AS320">IFERROR(INDEX(tblAnalysis[P&amp;L SOL],ROW()-1),"")</f>
        <v/>
      </c>
      <c r="AT320"/>
      <c r="AY320" s="10"/>
      <c r="AZ320" s="10"/>
      <c r="BA320" s="6"/>
      <c r="BB320"/>
      <c r="BF320" t="str">
        <f t="shared" si="89"/>
        <v/>
      </c>
      <c r="BG320" s="27" t="str">
        <f t="shared" si="90"/>
        <v/>
      </c>
      <c r="BH320" t="str">
        <f t="shared" si="91"/>
        <v/>
      </c>
      <c r="BL320" s="29" t="e">
        <f t="shared" si="92"/>
        <v>#N/A</v>
      </c>
      <c r="BM320" s="29" t="e">
        <f t="shared" si="93"/>
        <v>#N/A</v>
      </c>
    </row>
    <row r="321" spans="16:65" x14ac:dyDescent="0.35">
      <c r="P321" s="6"/>
      <c r="Q321" s="27"/>
      <c r="R321" s="6" t="str">
        <f>IF(Q321="","",SUMIFS(tblAnalysis[P&amp;L SOL],tblAnalysis[Date],Q321))</f>
        <v/>
      </c>
      <c r="S321" s="10" t="str">
        <f>IF(Q321="","",SUMIFS(tblAnalysis[P&amp;L %],tblAnalysis[Date],Q321))</f>
        <v/>
      </c>
      <c r="T321" s="6" t="str">
        <f>IF(Q321="","",IFERROR(SUM($R$2:R321),""))</f>
        <v/>
      </c>
      <c r="U321" t="str">
        <f>IF(Q321="","",COUNTIFS(tblAnalysis[Date],Q321))</f>
        <v/>
      </c>
      <c r="W321" s="27" t="str">
        <f t="shared" si="80"/>
        <v/>
      </c>
      <c r="X321" s="6" t="str">
        <f t="shared" si="81"/>
        <v/>
      </c>
      <c r="Y321" s="6" t="str">
        <f>IF(Q321="","",MAX(X321,_xlfn.MAXIFS(tblAnalysis[Cum P&amp;L SOL],tblAnalysis[Date],Q321)))</f>
        <v/>
      </c>
      <c r="Z321" s="6" t="str">
        <f>IF(Q321="","",MIN(X321,_xlfn.MINIFS(tblAnalysis[Cum P&amp;L SOL],tblAnalysis[Date],Q321)))</f>
        <v/>
      </c>
      <c r="AA321" s="6" t="str">
        <f t="shared" si="82"/>
        <v/>
      </c>
      <c r="AB321"/>
      <c r="AC321" s="27" t="str">
        <f t="shared" si="83"/>
        <v/>
      </c>
      <c r="AD321" s="10" t="str">
        <f t="shared" si="84"/>
        <v/>
      </c>
      <c r="AE321" s="10" t="str">
        <f t="shared" si="85"/>
        <v/>
      </c>
      <c r="AF321" s="10" t="str">
        <f t="shared" si="86"/>
        <v/>
      </c>
      <c r="AG321"/>
      <c r="AH321" t="str">
        <f t="shared" si="87"/>
        <v/>
      </c>
      <c r="AI321" t="str">
        <f t="shared" si="88"/>
        <v/>
      </c>
      <c r="AK321" t="str" cm="1">
        <f t="array" ref="AK321">IFERROR(IF(INDEX($A:$A,ROW())="","",INDEX($A:$A,ROW())),"")</f>
        <v/>
      </c>
      <c r="AL321" t="str" cm="1">
        <f t="array" ref="AL321">IFERROR(INDEX(tblTrades[sol_invested],ROW()-1),"")</f>
        <v/>
      </c>
      <c r="AM321" s="6" t="str" cm="1">
        <f t="array" ref="AM321">IFERROR(INDEX(tblAnalysis[P&amp;L SOL],ROW()-1),"")</f>
        <v/>
      </c>
      <c r="AN321" t="str" cm="1">
        <f t="array" ref="AN321">IFERROR(IF(INDEX(tblTrades[sol_invested],ROW()-1)&gt;0.5,INDEX(tblAnalysis[Token],ROW()-1)&amp;" ("&amp;TEXT(INDEX(tblTrades[sol_invested],ROW()-1),"0.0")&amp;" SOL)",""),"")</f>
        <v/>
      </c>
      <c r="AO321" s="7"/>
      <c r="AP321" s="12" t="str" cm="1">
        <f t="array" ref="AP321">IFERROR(INDEX(tblAnalysis[Entry MC ($)],ROW()-1),"")</f>
        <v/>
      </c>
      <c r="AQ321" s="10" t="str" cm="1">
        <f t="array" ref="AQ321">IFERROR(INDEX(tblAnalysis[P&amp;L %],ROW()-1),"")</f>
        <v/>
      </c>
      <c r="AR321" t="str" cm="1">
        <f t="array" ref="AR321">IFERROR(INDEX(tblAnalysis[Hold Time (s)],ROW()-1),"")</f>
        <v/>
      </c>
      <c r="AS321" s="6" t="str" cm="1">
        <f t="array" ref="AS321">IFERROR(INDEX(tblAnalysis[P&amp;L SOL],ROW()-1),"")</f>
        <v/>
      </c>
      <c r="AT321"/>
      <c r="AY321" s="10"/>
      <c r="AZ321" s="10"/>
      <c r="BA321" s="6"/>
      <c r="BB321"/>
      <c r="BF321" t="str">
        <f t="shared" si="89"/>
        <v/>
      </c>
      <c r="BG321" s="27" t="str">
        <f t="shared" si="90"/>
        <v/>
      </c>
      <c r="BH321" t="str">
        <f t="shared" si="91"/>
        <v/>
      </c>
      <c r="BL321" s="29" t="e">
        <f t="shared" si="92"/>
        <v>#N/A</v>
      </c>
      <c r="BM321" s="29" t="e">
        <f t="shared" si="93"/>
        <v>#N/A</v>
      </c>
    </row>
    <row r="322" spans="16:65" x14ac:dyDescent="0.35">
      <c r="P322" s="6"/>
      <c r="Q322" s="27"/>
      <c r="R322" s="6" t="str">
        <f>IF(Q322="","",SUMIFS(tblAnalysis[P&amp;L SOL],tblAnalysis[Date],Q322))</f>
        <v/>
      </c>
      <c r="S322" s="10" t="str">
        <f>IF(Q322="","",SUMIFS(tblAnalysis[P&amp;L %],tblAnalysis[Date],Q322))</f>
        <v/>
      </c>
      <c r="T322" s="6" t="str">
        <f>IF(Q322="","",IFERROR(SUM($R$2:R322),""))</f>
        <v/>
      </c>
      <c r="U322" t="str">
        <f>IF(Q322="","",COUNTIFS(tblAnalysis[Date],Q322))</f>
        <v/>
      </c>
      <c r="W322" s="27" t="str">
        <f t="shared" si="80"/>
        <v/>
      </c>
      <c r="X322" s="6" t="str">
        <f t="shared" si="81"/>
        <v/>
      </c>
      <c r="Y322" s="6" t="str">
        <f>IF(Q322="","",MAX(X322,_xlfn.MAXIFS(tblAnalysis[Cum P&amp;L SOL],tblAnalysis[Date],Q322)))</f>
        <v/>
      </c>
      <c r="Z322" s="6" t="str">
        <f>IF(Q322="","",MIN(X322,_xlfn.MINIFS(tblAnalysis[Cum P&amp;L SOL],tblAnalysis[Date],Q322)))</f>
        <v/>
      </c>
      <c r="AA322" s="6" t="str">
        <f t="shared" si="82"/>
        <v/>
      </c>
      <c r="AB322"/>
      <c r="AC322" s="27" t="str">
        <f t="shared" si="83"/>
        <v/>
      </c>
      <c r="AD322" s="10" t="str">
        <f t="shared" si="84"/>
        <v/>
      </c>
      <c r="AE322" s="10" t="str">
        <f t="shared" si="85"/>
        <v/>
      </c>
      <c r="AF322" s="10" t="str">
        <f t="shared" si="86"/>
        <v/>
      </c>
      <c r="AG322"/>
      <c r="AH322" t="str">
        <f t="shared" si="87"/>
        <v/>
      </c>
      <c r="AI322" t="str">
        <f t="shared" si="88"/>
        <v/>
      </c>
      <c r="AK322" t="str" cm="1">
        <f t="array" ref="AK322">IFERROR(IF(INDEX($A:$A,ROW())="","",INDEX($A:$A,ROW())),"")</f>
        <v/>
      </c>
      <c r="AL322" t="str" cm="1">
        <f t="array" ref="AL322">IFERROR(INDEX(tblTrades[sol_invested],ROW()-1),"")</f>
        <v/>
      </c>
      <c r="AM322" s="6" t="str" cm="1">
        <f t="array" ref="AM322">IFERROR(INDEX(tblAnalysis[P&amp;L SOL],ROW()-1),"")</f>
        <v/>
      </c>
      <c r="AN322" t="str" cm="1">
        <f t="array" ref="AN322">IFERROR(IF(INDEX(tblTrades[sol_invested],ROW()-1)&gt;0.5,INDEX(tblAnalysis[Token],ROW()-1)&amp;" ("&amp;TEXT(INDEX(tblTrades[sol_invested],ROW()-1),"0.0")&amp;" SOL)",""),"")</f>
        <v/>
      </c>
      <c r="AO322" s="7"/>
      <c r="AP322" s="12" t="str" cm="1">
        <f t="array" ref="AP322">IFERROR(INDEX(tblAnalysis[Entry MC ($)],ROW()-1),"")</f>
        <v/>
      </c>
      <c r="AQ322" s="10" t="str" cm="1">
        <f t="array" ref="AQ322">IFERROR(INDEX(tblAnalysis[P&amp;L %],ROW()-1),"")</f>
        <v/>
      </c>
      <c r="AR322" t="str" cm="1">
        <f t="array" ref="AR322">IFERROR(INDEX(tblAnalysis[Hold Time (s)],ROW()-1),"")</f>
        <v/>
      </c>
      <c r="AS322" s="6" t="str" cm="1">
        <f t="array" ref="AS322">IFERROR(INDEX(tblAnalysis[P&amp;L SOL],ROW()-1),"")</f>
        <v/>
      </c>
      <c r="AT322"/>
      <c r="AY322" s="10"/>
      <c r="AZ322" s="10"/>
      <c r="BA322" s="6"/>
      <c r="BB322"/>
      <c r="BF322" t="str">
        <f t="shared" si="89"/>
        <v/>
      </c>
      <c r="BG322" s="27" t="str">
        <f t="shared" si="90"/>
        <v/>
      </c>
      <c r="BH322" t="str">
        <f t="shared" si="91"/>
        <v/>
      </c>
      <c r="BL322" s="29" t="e">
        <f t="shared" si="92"/>
        <v>#N/A</v>
      </c>
      <c r="BM322" s="29" t="e">
        <f t="shared" si="93"/>
        <v>#N/A</v>
      </c>
    </row>
    <row r="323" spans="16:65" x14ac:dyDescent="0.35">
      <c r="P323" s="6"/>
      <c r="Q323" s="27"/>
      <c r="R323" s="6" t="str">
        <f>IF(Q323="","",SUMIFS(tblAnalysis[P&amp;L SOL],tblAnalysis[Date],Q323))</f>
        <v/>
      </c>
      <c r="S323" s="10" t="str">
        <f>IF(Q323="","",SUMIFS(tblAnalysis[P&amp;L %],tblAnalysis[Date],Q323))</f>
        <v/>
      </c>
      <c r="T323" s="6" t="str">
        <f>IF(Q323="","",IFERROR(SUM($R$2:R323),""))</f>
        <v/>
      </c>
      <c r="U323" t="str">
        <f>IF(Q323="","",COUNTIFS(tblAnalysis[Date],Q323))</f>
        <v/>
      </c>
      <c r="W323" s="27" t="str">
        <f t="shared" ref="W323:W386" si="94">IF(Q323="","",Q323)</f>
        <v/>
      </c>
      <c r="X323" s="6" t="str">
        <f t="shared" ref="X323:X386" si="95">IF(Q323="","",IF(ROW()=2,0,AA322))</f>
        <v/>
      </c>
      <c r="Y323" s="6" t="str">
        <f>IF(Q323="","",MAX(X323,_xlfn.MAXIFS(tblAnalysis[Cum P&amp;L SOL],tblAnalysis[Date],Q323)))</f>
        <v/>
      </c>
      <c r="Z323" s="6" t="str">
        <f>IF(Q323="","",MIN(X323,_xlfn.MINIFS(tblAnalysis[Cum P&amp;L SOL],tblAnalysis[Date],Q323)))</f>
        <v/>
      </c>
      <c r="AA323" s="6" t="str">
        <f t="shared" ref="AA323:AA386" si="96">IF(Q323="","",T323)</f>
        <v/>
      </c>
      <c r="AB323"/>
      <c r="AC323" s="27" t="str">
        <f t="shared" ref="AC323:AC386" si="97">IF(Q323="","",Q323)</f>
        <v/>
      </c>
      <c r="AD323" s="10" t="str">
        <f t="shared" ref="AD323:AD386" si="98">IF(Q323="","",(Y323-X323)/$BK$1)</f>
        <v/>
      </c>
      <c r="AE323" s="10" t="str">
        <f t="shared" ref="AE323:AE386" si="99">IF(Q323="","",(Z323-X323)/$BK$1)</f>
        <v/>
      </c>
      <c r="AF323" s="10" t="str">
        <f t="shared" ref="AF323:AF386" si="100">IF(Q323="","",(AA323-X323)/$BK$1)</f>
        <v/>
      </c>
      <c r="AG323"/>
      <c r="AH323" t="str">
        <f t="shared" ref="AH323:AH386" si="101">IF(Q323="","",IF(AA323&gt;=X323,U323,0))</f>
        <v/>
      </c>
      <c r="AI323" t="str">
        <f t="shared" ref="AI323:AI386" si="102">IF(Q323="","",IF(AA323&lt;X323,U323,0))</f>
        <v/>
      </c>
      <c r="AK323" t="str" cm="1">
        <f t="array" ref="AK323">IFERROR(IF(INDEX($A:$A,ROW())="","",INDEX($A:$A,ROW())),"")</f>
        <v/>
      </c>
      <c r="AL323" t="str" cm="1">
        <f t="array" ref="AL323">IFERROR(INDEX(tblTrades[sol_invested],ROW()-1),"")</f>
        <v/>
      </c>
      <c r="AM323" s="6" t="str" cm="1">
        <f t="array" ref="AM323">IFERROR(INDEX(tblAnalysis[P&amp;L SOL],ROW()-1),"")</f>
        <v/>
      </c>
      <c r="AN323" t="str" cm="1">
        <f t="array" ref="AN323">IFERROR(IF(INDEX(tblTrades[sol_invested],ROW()-1)&gt;0.5,INDEX(tblAnalysis[Token],ROW()-1)&amp;" ("&amp;TEXT(INDEX(tblTrades[sol_invested],ROW()-1),"0.0")&amp;" SOL)",""),"")</f>
        <v/>
      </c>
      <c r="AO323" s="7"/>
      <c r="AP323" s="12" t="str" cm="1">
        <f t="array" ref="AP323">IFERROR(INDEX(tblAnalysis[Entry MC ($)],ROW()-1),"")</f>
        <v/>
      </c>
      <c r="AQ323" s="10" t="str" cm="1">
        <f t="array" ref="AQ323">IFERROR(INDEX(tblAnalysis[P&amp;L %],ROW()-1),"")</f>
        <v/>
      </c>
      <c r="AR323" t="str" cm="1">
        <f t="array" ref="AR323">IFERROR(INDEX(tblAnalysis[Hold Time (s)],ROW()-1),"")</f>
        <v/>
      </c>
      <c r="AS323" s="6" t="str" cm="1">
        <f t="array" ref="AS323">IFERROR(INDEX(tblAnalysis[P&amp;L SOL],ROW()-1),"")</f>
        <v/>
      </c>
      <c r="AT323"/>
      <c r="AY323" s="10"/>
      <c r="AZ323" s="10"/>
      <c r="BA323" s="6"/>
      <c r="BB323"/>
      <c r="BF323" t="str">
        <f t="shared" ref="BF323:BF386" si="103">IF(W323="","","("&amp;U323&amp;")")</f>
        <v/>
      </c>
      <c r="BG323" s="27" t="str">
        <f t="shared" ref="BG323:BG386" si="104">IF(W323="","",W323)</f>
        <v/>
      </c>
      <c r="BH323" t="str">
        <f t="shared" ref="BH323:BH386" si="105">IF(W323="","",-2.5)</f>
        <v/>
      </c>
      <c r="BL323" s="29" t="e">
        <f t="shared" si="92"/>
        <v>#N/A</v>
      </c>
      <c r="BM323" s="29" t="e">
        <f t="shared" si="93"/>
        <v>#N/A</v>
      </c>
    </row>
    <row r="324" spans="16:65" x14ac:dyDescent="0.35">
      <c r="P324" s="6"/>
      <c r="Q324" s="27"/>
      <c r="R324" s="6" t="str">
        <f>IF(Q324="","",SUMIFS(tblAnalysis[P&amp;L SOL],tblAnalysis[Date],Q324))</f>
        <v/>
      </c>
      <c r="S324" s="10" t="str">
        <f>IF(Q324="","",SUMIFS(tblAnalysis[P&amp;L %],tblAnalysis[Date],Q324))</f>
        <v/>
      </c>
      <c r="T324" s="6" t="str">
        <f>IF(Q324="","",IFERROR(SUM($R$2:R324),""))</f>
        <v/>
      </c>
      <c r="U324" t="str">
        <f>IF(Q324="","",COUNTIFS(tblAnalysis[Date],Q324))</f>
        <v/>
      </c>
      <c r="W324" s="27" t="str">
        <f t="shared" si="94"/>
        <v/>
      </c>
      <c r="X324" s="6" t="str">
        <f t="shared" si="95"/>
        <v/>
      </c>
      <c r="Y324" s="6" t="str">
        <f>IF(Q324="","",MAX(X324,_xlfn.MAXIFS(tblAnalysis[Cum P&amp;L SOL],tblAnalysis[Date],Q324)))</f>
        <v/>
      </c>
      <c r="Z324" s="6" t="str">
        <f>IF(Q324="","",MIN(X324,_xlfn.MINIFS(tblAnalysis[Cum P&amp;L SOL],tblAnalysis[Date],Q324)))</f>
        <v/>
      </c>
      <c r="AA324" s="6" t="str">
        <f t="shared" si="96"/>
        <v/>
      </c>
      <c r="AB324"/>
      <c r="AC324" s="27" t="str">
        <f t="shared" si="97"/>
        <v/>
      </c>
      <c r="AD324" s="10" t="str">
        <f t="shared" si="98"/>
        <v/>
      </c>
      <c r="AE324" s="10" t="str">
        <f t="shared" si="99"/>
        <v/>
      </c>
      <c r="AF324" s="10" t="str">
        <f t="shared" si="100"/>
        <v/>
      </c>
      <c r="AG324"/>
      <c r="AH324" t="str">
        <f t="shared" si="101"/>
        <v/>
      </c>
      <c r="AI324" t="str">
        <f t="shared" si="102"/>
        <v/>
      </c>
      <c r="AK324" t="str" cm="1">
        <f t="array" ref="AK324">IFERROR(IF(INDEX($A:$A,ROW())="","",INDEX($A:$A,ROW())),"")</f>
        <v/>
      </c>
      <c r="AL324" t="str" cm="1">
        <f t="array" ref="AL324">IFERROR(INDEX(tblTrades[sol_invested],ROW()-1),"")</f>
        <v/>
      </c>
      <c r="AM324" s="6" t="str" cm="1">
        <f t="array" ref="AM324">IFERROR(INDEX(tblAnalysis[P&amp;L SOL],ROW()-1),"")</f>
        <v/>
      </c>
      <c r="AN324" t="str" cm="1">
        <f t="array" ref="AN324">IFERROR(IF(INDEX(tblTrades[sol_invested],ROW()-1)&gt;0.5,INDEX(tblAnalysis[Token],ROW()-1)&amp;" ("&amp;TEXT(INDEX(tblTrades[sol_invested],ROW()-1),"0.0")&amp;" SOL)",""),"")</f>
        <v/>
      </c>
      <c r="AO324" s="7"/>
      <c r="AP324" s="12" t="str" cm="1">
        <f t="array" ref="AP324">IFERROR(INDEX(tblAnalysis[Entry MC ($)],ROW()-1),"")</f>
        <v/>
      </c>
      <c r="AQ324" s="10" t="str" cm="1">
        <f t="array" ref="AQ324">IFERROR(INDEX(tblAnalysis[P&amp;L %],ROW()-1),"")</f>
        <v/>
      </c>
      <c r="AR324" t="str" cm="1">
        <f t="array" ref="AR324">IFERROR(INDEX(tblAnalysis[Hold Time (s)],ROW()-1),"")</f>
        <v/>
      </c>
      <c r="AS324" s="6" t="str" cm="1">
        <f t="array" ref="AS324">IFERROR(INDEX(tblAnalysis[P&amp;L SOL],ROW()-1),"")</f>
        <v/>
      </c>
      <c r="AT324"/>
      <c r="AY324" s="10"/>
      <c r="AZ324" s="10"/>
      <c r="BA324" s="6"/>
      <c r="BB324"/>
      <c r="BF324" t="str">
        <f t="shared" si="103"/>
        <v/>
      </c>
      <c r="BG324" s="27" t="str">
        <f t="shared" si="104"/>
        <v/>
      </c>
      <c r="BH324" t="str">
        <f t="shared" si="105"/>
        <v/>
      </c>
      <c r="BL324" s="29" t="e">
        <f t="shared" si="92"/>
        <v>#N/A</v>
      </c>
      <c r="BM324" s="29" t="e">
        <f t="shared" si="93"/>
        <v>#N/A</v>
      </c>
    </row>
    <row r="325" spans="16:65" x14ac:dyDescent="0.35">
      <c r="P325" s="6"/>
      <c r="Q325" s="27"/>
      <c r="R325" s="6" t="str">
        <f>IF(Q325="","",SUMIFS(tblAnalysis[P&amp;L SOL],tblAnalysis[Date],Q325))</f>
        <v/>
      </c>
      <c r="S325" s="10" t="str">
        <f>IF(Q325="","",SUMIFS(tblAnalysis[P&amp;L %],tblAnalysis[Date],Q325))</f>
        <v/>
      </c>
      <c r="T325" s="6" t="str">
        <f>IF(Q325="","",IFERROR(SUM($R$2:R325),""))</f>
        <v/>
      </c>
      <c r="U325" t="str">
        <f>IF(Q325="","",COUNTIFS(tblAnalysis[Date],Q325))</f>
        <v/>
      </c>
      <c r="W325" s="27" t="str">
        <f t="shared" si="94"/>
        <v/>
      </c>
      <c r="X325" s="6" t="str">
        <f t="shared" si="95"/>
        <v/>
      </c>
      <c r="Y325" s="6" t="str">
        <f>IF(Q325="","",MAX(X325,_xlfn.MAXIFS(tblAnalysis[Cum P&amp;L SOL],tblAnalysis[Date],Q325)))</f>
        <v/>
      </c>
      <c r="Z325" s="6" t="str">
        <f>IF(Q325="","",MIN(X325,_xlfn.MINIFS(tblAnalysis[Cum P&amp;L SOL],tblAnalysis[Date],Q325)))</f>
        <v/>
      </c>
      <c r="AA325" s="6" t="str">
        <f t="shared" si="96"/>
        <v/>
      </c>
      <c r="AB325"/>
      <c r="AC325" s="27" t="str">
        <f t="shared" si="97"/>
        <v/>
      </c>
      <c r="AD325" s="10" t="str">
        <f t="shared" si="98"/>
        <v/>
      </c>
      <c r="AE325" s="10" t="str">
        <f t="shared" si="99"/>
        <v/>
      </c>
      <c r="AF325" s="10" t="str">
        <f t="shared" si="100"/>
        <v/>
      </c>
      <c r="AG325"/>
      <c r="AH325" t="str">
        <f t="shared" si="101"/>
        <v/>
      </c>
      <c r="AI325" t="str">
        <f t="shared" si="102"/>
        <v/>
      </c>
      <c r="AK325" t="str" cm="1">
        <f t="array" ref="AK325">IFERROR(IF(INDEX($A:$A,ROW())="","",INDEX($A:$A,ROW())),"")</f>
        <v/>
      </c>
      <c r="AL325" t="str" cm="1">
        <f t="array" ref="AL325">IFERROR(INDEX(tblTrades[sol_invested],ROW()-1),"")</f>
        <v/>
      </c>
      <c r="AM325" s="6" t="str" cm="1">
        <f t="array" ref="AM325">IFERROR(INDEX(tblAnalysis[P&amp;L SOL],ROW()-1),"")</f>
        <v/>
      </c>
      <c r="AN325" t="str" cm="1">
        <f t="array" ref="AN325">IFERROR(IF(INDEX(tblTrades[sol_invested],ROW()-1)&gt;0.5,INDEX(tblAnalysis[Token],ROW()-1)&amp;" ("&amp;TEXT(INDEX(tblTrades[sol_invested],ROW()-1),"0.0")&amp;" SOL)",""),"")</f>
        <v/>
      </c>
      <c r="AO325" s="7"/>
      <c r="AP325" s="12" t="str" cm="1">
        <f t="array" ref="AP325">IFERROR(INDEX(tblAnalysis[Entry MC ($)],ROW()-1),"")</f>
        <v/>
      </c>
      <c r="AQ325" s="10" t="str" cm="1">
        <f t="array" ref="AQ325">IFERROR(INDEX(tblAnalysis[P&amp;L %],ROW()-1),"")</f>
        <v/>
      </c>
      <c r="AR325" t="str" cm="1">
        <f t="array" ref="AR325">IFERROR(INDEX(tblAnalysis[Hold Time (s)],ROW()-1),"")</f>
        <v/>
      </c>
      <c r="AS325" s="6" t="str" cm="1">
        <f t="array" ref="AS325">IFERROR(INDEX(tblAnalysis[P&amp;L SOL],ROW()-1),"")</f>
        <v/>
      </c>
      <c r="AT325"/>
      <c r="AY325" s="10"/>
      <c r="AZ325" s="10"/>
      <c r="BA325" s="6"/>
      <c r="BB325"/>
      <c r="BF325" t="str">
        <f t="shared" si="103"/>
        <v/>
      </c>
      <c r="BG325" s="27" t="str">
        <f t="shared" si="104"/>
        <v/>
      </c>
      <c r="BH325" t="str">
        <f t="shared" si="105"/>
        <v/>
      </c>
      <c r="BL325" s="29" t="e">
        <f t="shared" si="92"/>
        <v>#N/A</v>
      </c>
      <c r="BM325" s="29" t="e">
        <f t="shared" si="93"/>
        <v>#N/A</v>
      </c>
    </row>
    <row r="326" spans="16:65" x14ac:dyDescent="0.35">
      <c r="P326" s="6"/>
      <c r="Q326" s="27"/>
      <c r="R326" s="6" t="str">
        <f>IF(Q326="","",SUMIFS(tblAnalysis[P&amp;L SOL],tblAnalysis[Date],Q326))</f>
        <v/>
      </c>
      <c r="S326" s="10" t="str">
        <f>IF(Q326="","",SUMIFS(tblAnalysis[P&amp;L %],tblAnalysis[Date],Q326))</f>
        <v/>
      </c>
      <c r="T326" s="6" t="str">
        <f>IF(Q326="","",IFERROR(SUM($R$2:R326),""))</f>
        <v/>
      </c>
      <c r="U326" t="str">
        <f>IF(Q326="","",COUNTIFS(tblAnalysis[Date],Q326))</f>
        <v/>
      </c>
      <c r="W326" s="27" t="str">
        <f t="shared" si="94"/>
        <v/>
      </c>
      <c r="X326" s="6" t="str">
        <f t="shared" si="95"/>
        <v/>
      </c>
      <c r="Y326" s="6" t="str">
        <f>IF(Q326="","",MAX(X326,_xlfn.MAXIFS(tblAnalysis[Cum P&amp;L SOL],tblAnalysis[Date],Q326)))</f>
        <v/>
      </c>
      <c r="Z326" s="6" t="str">
        <f>IF(Q326="","",MIN(X326,_xlfn.MINIFS(tblAnalysis[Cum P&amp;L SOL],tblAnalysis[Date],Q326)))</f>
        <v/>
      </c>
      <c r="AA326" s="6" t="str">
        <f t="shared" si="96"/>
        <v/>
      </c>
      <c r="AB326"/>
      <c r="AC326" s="27" t="str">
        <f t="shared" si="97"/>
        <v/>
      </c>
      <c r="AD326" s="10" t="str">
        <f t="shared" si="98"/>
        <v/>
      </c>
      <c r="AE326" s="10" t="str">
        <f t="shared" si="99"/>
        <v/>
      </c>
      <c r="AF326" s="10" t="str">
        <f t="shared" si="100"/>
        <v/>
      </c>
      <c r="AG326"/>
      <c r="AH326" t="str">
        <f t="shared" si="101"/>
        <v/>
      </c>
      <c r="AI326" t="str">
        <f t="shared" si="102"/>
        <v/>
      </c>
      <c r="AK326" t="str" cm="1">
        <f t="array" ref="AK326">IFERROR(IF(INDEX($A:$A,ROW())="","",INDEX($A:$A,ROW())),"")</f>
        <v/>
      </c>
      <c r="AL326" t="str" cm="1">
        <f t="array" ref="AL326">IFERROR(INDEX(tblTrades[sol_invested],ROW()-1),"")</f>
        <v/>
      </c>
      <c r="AM326" s="6" t="str" cm="1">
        <f t="array" ref="AM326">IFERROR(INDEX(tblAnalysis[P&amp;L SOL],ROW()-1),"")</f>
        <v/>
      </c>
      <c r="AN326" t="str" cm="1">
        <f t="array" ref="AN326">IFERROR(IF(INDEX(tblTrades[sol_invested],ROW()-1)&gt;0.5,INDEX(tblAnalysis[Token],ROW()-1)&amp;" ("&amp;TEXT(INDEX(tblTrades[sol_invested],ROW()-1),"0.0")&amp;" SOL)",""),"")</f>
        <v/>
      </c>
      <c r="AO326" s="7"/>
      <c r="AP326" s="12" t="str" cm="1">
        <f t="array" ref="AP326">IFERROR(INDEX(tblAnalysis[Entry MC ($)],ROW()-1),"")</f>
        <v/>
      </c>
      <c r="AQ326" s="10" t="str" cm="1">
        <f t="array" ref="AQ326">IFERROR(INDEX(tblAnalysis[P&amp;L %],ROW()-1),"")</f>
        <v/>
      </c>
      <c r="AR326" t="str" cm="1">
        <f t="array" ref="AR326">IFERROR(INDEX(tblAnalysis[Hold Time (s)],ROW()-1),"")</f>
        <v/>
      </c>
      <c r="AS326" s="6" t="str" cm="1">
        <f t="array" ref="AS326">IFERROR(INDEX(tblAnalysis[P&amp;L SOL],ROW()-1),"")</f>
        <v/>
      </c>
      <c r="AT326"/>
      <c r="AY326" s="10"/>
      <c r="AZ326" s="10"/>
      <c r="BA326" s="6"/>
      <c r="BB326"/>
      <c r="BF326" t="str">
        <f t="shared" si="103"/>
        <v/>
      </c>
      <c r="BG326" s="27" t="str">
        <f t="shared" si="104"/>
        <v/>
      </c>
      <c r="BH326" t="str">
        <f t="shared" si="105"/>
        <v/>
      </c>
      <c r="BL326" s="29" t="e">
        <f t="shared" si="92"/>
        <v>#N/A</v>
      </c>
      <c r="BM326" s="29" t="e">
        <f t="shared" si="93"/>
        <v>#N/A</v>
      </c>
    </row>
    <row r="327" spans="16:65" x14ac:dyDescent="0.35">
      <c r="P327" s="6"/>
      <c r="Q327" s="27"/>
      <c r="R327" s="6" t="str">
        <f>IF(Q327="","",SUMIFS(tblAnalysis[P&amp;L SOL],tblAnalysis[Date],Q327))</f>
        <v/>
      </c>
      <c r="S327" s="10" t="str">
        <f>IF(Q327="","",SUMIFS(tblAnalysis[P&amp;L %],tblAnalysis[Date],Q327))</f>
        <v/>
      </c>
      <c r="T327" s="6" t="str">
        <f>IF(Q327="","",IFERROR(SUM($R$2:R327),""))</f>
        <v/>
      </c>
      <c r="U327" t="str">
        <f>IF(Q327="","",COUNTIFS(tblAnalysis[Date],Q327))</f>
        <v/>
      </c>
      <c r="W327" s="27" t="str">
        <f t="shared" si="94"/>
        <v/>
      </c>
      <c r="X327" s="6" t="str">
        <f t="shared" si="95"/>
        <v/>
      </c>
      <c r="Y327" s="6" t="str">
        <f>IF(Q327="","",MAX(X327,_xlfn.MAXIFS(tblAnalysis[Cum P&amp;L SOL],tblAnalysis[Date],Q327)))</f>
        <v/>
      </c>
      <c r="Z327" s="6" t="str">
        <f>IF(Q327="","",MIN(X327,_xlfn.MINIFS(tblAnalysis[Cum P&amp;L SOL],tblAnalysis[Date],Q327)))</f>
        <v/>
      </c>
      <c r="AA327" s="6" t="str">
        <f t="shared" si="96"/>
        <v/>
      </c>
      <c r="AB327"/>
      <c r="AC327" s="27" t="str">
        <f t="shared" si="97"/>
        <v/>
      </c>
      <c r="AD327" s="10" t="str">
        <f t="shared" si="98"/>
        <v/>
      </c>
      <c r="AE327" s="10" t="str">
        <f t="shared" si="99"/>
        <v/>
      </c>
      <c r="AF327" s="10" t="str">
        <f t="shared" si="100"/>
        <v/>
      </c>
      <c r="AG327"/>
      <c r="AH327" t="str">
        <f t="shared" si="101"/>
        <v/>
      </c>
      <c r="AI327" t="str">
        <f t="shared" si="102"/>
        <v/>
      </c>
      <c r="AK327" t="str" cm="1">
        <f t="array" ref="AK327">IFERROR(IF(INDEX($A:$A,ROW())="","",INDEX($A:$A,ROW())),"")</f>
        <v/>
      </c>
      <c r="AL327" t="str" cm="1">
        <f t="array" ref="AL327">IFERROR(INDEX(tblTrades[sol_invested],ROW()-1),"")</f>
        <v/>
      </c>
      <c r="AM327" s="6" t="str" cm="1">
        <f t="array" ref="AM327">IFERROR(INDEX(tblAnalysis[P&amp;L SOL],ROW()-1),"")</f>
        <v/>
      </c>
      <c r="AN327" t="str" cm="1">
        <f t="array" ref="AN327">IFERROR(IF(INDEX(tblTrades[sol_invested],ROW()-1)&gt;0.5,INDEX(tblAnalysis[Token],ROW()-1)&amp;" ("&amp;TEXT(INDEX(tblTrades[sol_invested],ROW()-1),"0.0")&amp;" SOL)",""),"")</f>
        <v/>
      </c>
      <c r="AO327" s="7"/>
      <c r="AP327" s="12" t="str" cm="1">
        <f t="array" ref="AP327">IFERROR(INDEX(tblAnalysis[Entry MC ($)],ROW()-1),"")</f>
        <v/>
      </c>
      <c r="AQ327" s="10" t="str" cm="1">
        <f t="array" ref="AQ327">IFERROR(INDEX(tblAnalysis[P&amp;L %],ROW()-1),"")</f>
        <v/>
      </c>
      <c r="AR327" t="str" cm="1">
        <f t="array" ref="AR327">IFERROR(INDEX(tblAnalysis[Hold Time (s)],ROW()-1),"")</f>
        <v/>
      </c>
      <c r="AS327" s="6" t="str" cm="1">
        <f t="array" ref="AS327">IFERROR(INDEX(tblAnalysis[P&amp;L SOL],ROW()-1),"")</f>
        <v/>
      </c>
      <c r="AT327"/>
      <c r="AY327" s="10"/>
      <c r="AZ327" s="10"/>
      <c r="BA327" s="6"/>
      <c r="BB327"/>
      <c r="BF327" t="str">
        <f t="shared" si="103"/>
        <v/>
      </c>
      <c r="BG327" s="27" t="str">
        <f t="shared" si="104"/>
        <v/>
      </c>
      <c r="BH327" t="str">
        <f t="shared" si="105"/>
        <v/>
      </c>
      <c r="BL327" s="29" t="e">
        <f t="shared" si="92"/>
        <v>#N/A</v>
      </c>
      <c r="BM327" s="29" t="e">
        <f t="shared" si="93"/>
        <v>#N/A</v>
      </c>
    </row>
    <row r="328" spans="16:65" x14ac:dyDescent="0.35">
      <c r="P328" s="6"/>
      <c r="Q328" s="27"/>
      <c r="R328" s="6" t="str">
        <f>IF(Q328="","",SUMIFS(tblAnalysis[P&amp;L SOL],tblAnalysis[Date],Q328))</f>
        <v/>
      </c>
      <c r="S328" s="10" t="str">
        <f>IF(Q328="","",SUMIFS(tblAnalysis[P&amp;L %],tblAnalysis[Date],Q328))</f>
        <v/>
      </c>
      <c r="T328" s="6" t="str">
        <f>IF(Q328="","",IFERROR(SUM($R$2:R328),""))</f>
        <v/>
      </c>
      <c r="U328" t="str">
        <f>IF(Q328="","",COUNTIFS(tblAnalysis[Date],Q328))</f>
        <v/>
      </c>
      <c r="W328" s="27" t="str">
        <f t="shared" si="94"/>
        <v/>
      </c>
      <c r="X328" s="6" t="str">
        <f t="shared" si="95"/>
        <v/>
      </c>
      <c r="Y328" s="6" t="str">
        <f>IF(Q328="","",MAX(X328,_xlfn.MAXIFS(tblAnalysis[Cum P&amp;L SOL],tblAnalysis[Date],Q328)))</f>
        <v/>
      </c>
      <c r="Z328" s="6" t="str">
        <f>IF(Q328="","",MIN(X328,_xlfn.MINIFS(tblAnalysis[Cum P&amp;L SOL],tblAnalysis[Date],Q328)))</f>
        <v/>
      </c>
      <c r="AA328" s="6" t="str">
        <f t="shared" si="96"/>
        <v/>
      </c>
      <c r="AB328"/>
      <c r="AC328" s="27" t="str">
        <f t="shared" si="97"/>
        <v/>
      </c>
      <c r="AD328" s="10" t="str">
        <f t="shared" si="98"/>
        <v/>
      </c>
      <c r="AE328" s="10" t="str">
        <f t="shared" si="99"/>
        <v/>
      </c>
      <c r="AF328" s="10" t="str">
        <f t="shared" si="100"/>
        <v/>
      </c>
      <c r="AG328"/>
      <c r="AH328" t="str">
        <f t="shared" si="101"/>
        <v/>
      </c>
      <c r="AI328" t="str">
        <f t="shared" si="102"/>
        <v/>
      </c>
      <c r="AK328" t="str" cm="1">
        <f t="array" ref="AK328">IFERROR(IF(INDEX($A:$A,ROW())="","",INDEX($A:$A,ROW())),"")</f>
        <v/>
      </c>
      <c r="AL328" t="str" cm="1">
        <f t="array" ref="AL328">IFERROR(INDEX(tblTrades[sol_invested],ROW()-1),"")</f>
        <v/>
      </c>
      <c r="AM328" s="6" t="str" cm="1">
        <f t="array" ref="AM328">IFERROR(INDEX(tblAnalysis[P&amp;L SOL],ROW()-1),"")</f>
        <v/>
      </c>
      <c r="AN328" t="str" cm="1">
        <f t="array" ref="AN328">IFERROR(IF(INDEX(tblTrades[sol_invested],ROW()-1)&gt;0.5,INDEX(tblAnalysis[Token],ROW()-1)&amp;" ("&amp;TEXT(INDEX(tblTrades[sol_invested],ROW()-1),"0.0")&amp;" SOL)",""),"")</f>
        <v/>
      </c>
      <c r="AO328" s="7"/>
      <c r="AP328" s="12" t="str" cm="1">
        <f t="array" ref="AP328">IFERROR(INDEX(tblAnalysis[Entry MC ($)],ROW()-1),"")</f>
        <v/>
      </c>
      <c r="AQ328" s="10" t="str" cm="1">
        <f t="array" ref="AQ328">IFERROR(INDEX(tblAnalysis[P&amp;L %],ROW()-1),"")</f>
        <v/>
      </c>
      <c r="AR328" t="str" cm="1">
        <f t="array" ref="AR328">IFERROR(INDEX(tblAnalysis[Hold Time (s)],ROW()-1),"")</f>
        <v/>
      </c>
      <c r="AS328" s="6" t="str" cm="1">
        <f t="array" ref="AS328">IFERROR(INDEX(tblAnalysis[P&amp;L SOL],ROW()-1),"")</f>
        <v/>
      </c>
      <c r="AT328"/>
      <c r="AY328" s="10"/>
      <c r="AZ328" s="10"/>
      <c r="BA328" s="6"/>
      <c r="BB328"/>
      <c r="BF328" t="str">
        <f t="shared" si="103"/>
        <v/>
      </c>
      <c r="BG328" s="27" t="str">
        <f t="shared" si="104"/>
        <v/>
      </c>
      <c r="BH328" t="str">
        <f t="shared" si="105"/>
        <v/>
      </c>
      <c r="BL328" s="29" t="e">
        <f t="shared" si="92"/>
        <v>#N/A</v>
      </c>
      <c r="BM328" s="29" t="e">
        <f t="shared" si="93"/>
        <v>#N/A</v>
      </c>
    </row>
    <row r="329" spans="16:65" x14ac:dyDescent="0.35">
      <c r="Q329" s="27"/>
      <c r="R329" s="6" t="str">
        <f>IF(Q329="","",SUMIFS(tblAnalysis[P&amp;L SOL],tblAnalysis[Date],Q329))</f>
        <v/>
      </c>
      <c r="S329" s="10" t="str">
        <f>IF(Q329="","",SUMIFS(tblAnalysis[P&amp;L %],tblAnalysis[Date],Q329))</f>
        <v/>
      </c>
      <c r="T329" s="6" t="str">
        <f>IF(Q329="","",IFERROR(SUM($R$2:R329),""))</f>
        <v/>
      </c>
      <c r="U329" t="str">
        <f>IF(Q329="","",COUNTIFS(tblAnalysis[Date],Q329))</f>
        <v/>
      </c>
      <c r="V329" t="str">
        <f>IF(R329="","",COUNTIFS(tblAnalysis[Date],R329))</f>
        <v/>
      </c>
      <c r="W329" s="27" t="str">
        <f t="shared" si="94"/>
        <v/>
      </c>
      <c r="X329" s="6" t="str">
        <f t="shared" si="95"/>
        <v/>
      </c>
      <c r="Y329" s="6" t="str">
        <f>IF(Q329="","",MAX(X329,_xlfn.MAXIFS(tblAnalysis[Cum P&amp;L SOL],tblAnalysis[Date],Q329)))</f>
        <v/>
      </c>
      <c r="Z329" s="6" t="str">
        <f>IF(Q329="","",MIN(X329,_xlfn.MINIFS(tblAnalysis[Cum P&amp;L SOL],tblAnalysis[Date],Q329)))</f>
        <v/>
      </c>
      <c r="AA329" s="6" t="str">
        <f t="shared" si="96"/>
        <v/>
      </c>
      <c r="AB329" s="6" t="str">
        <f t="shared" ref="AB329:AB360" si="106">IF(R329="","",U329)</f>
        <v/>
      </c>
      <c r="AC329" s="27" t="str">
        <f t="shared" si="97"/>
        <v/>
      </c>
      <c r="AD329" s="10" t="str">
        <f t="shared" si="98"/>
        <v/>
      </c>
      <c r="AE329" s="10" t="str">
        <f t="shared" si="99"/>
        <v/>
      </c>
      <c r="AF329" s="10" t="str">
        <f t="shared" si="100"/>
        <v/>
      </c>
      <c r="AG329" s="10" t="str">
        <f t="shared" ref="AG329:AG360" si="107">IF(R329="","",(AB329-Y329)/$BK$1)</f>
        <v/>
      </c>
      <c r="AH329" t="str">
        <f t="shared" si="101"/>
        <v/>
      </c>
      <c r="AI329" t="str">
        <f t="shared" si="102"/>
        <v/>
      </c>
      <c r="AJ329" t="str">
        <f t="shared" ref="AJ329:AJ360" si="108">IF(R329="","",IF(AB329&lt;Y329,V329,0))</f>
        <v/>
      </c>
      <c r="AK329" t="str" cm="1">
        <f t="array" ref="AK329">IFERROR(IF(INDEX($A:$A,ROW())="","",INDEX($A:$A,ROW())),"")</f>
        <v/>
      </c>
      <c r="AL329" t="str" cm="1">
        <f t="array" ref="AL329">IFERROR(INDEX(tblTrades[sol_invested],ROW()-1),"")</f>
        <v/>
      </c>
      <c r="AM329" s="6" t="str" cm="1">
        <f t="array" ref="AM329">IFERROR(INDEX(tblAnalysis[P&amp;L SOL],ROW()-1),"")</f>
        <v/>
      </c>
      <c r="AN329" t="str" cm="1">
        <f t="array" ref="AN329">IFERROR(IF(INDEX(tblTrades[sol_invested],ROW()-1)&gt;0.5,INDEX(tblAnalysis[Token],ROW()-1)&amp;" ("&amp;TEXT(INDEX(tblTrades[sol_invested],ROW()-1),"0.0")&amp;" SOL)",""),"")</f>
        <v/>
      </c>
      <c r="AO329" s="7"/>
      <c r="AP329" s="12" t="str" cm="1">
        <f t="array" ref="AP329">IFERROR(INDEX(tblAnalysis[Entry MC ($)],ROW()-1),"")</f>
        <v/>
      </c>
      <c r="AQ329" s="10" t="str" cm="1">
        <f t="array" ref="AQ329">IFERROR(INDEX(tblAnalysis[P&amp;L %],ROW()-1),"")</f>
        <v/>
      </c>
      <c r="AR329" t="str" cm="1">
        <f t="array" ref="AR329">IFERROR(INDEX(tblAnalysis[Hold Time (s)],ROW()-1),"")</f>
        <v/>
      </c>
      <c r="AS329" s="6" t="str" cm="1">
        <f t="array" ref="AS329">IFERROR(INDEX(tblAnalysis[P&amp;L SOL],ROW()-1),"")</f>
        <v/>
      </c>
      <c r="AT329" s="6" t="str">
        <f t="array" ref="AT329">IFERROR(INDEX(tblAnalysis[P&amp;L SOL],ROW()-1),"")</f>
        <v/>
      </c>
      <c r="AZ329" s="10"/>
      <c r="BA329" s="10"/>
      <c r="BF329" t="str">
        <f t="shared" si="103"/>
        <v/>
      </c>
      <c r="BG329" s="27" t="str">
        <f t="shared" si="104"/>
        <v/>
      </c>
      <c r="BH329" t="str">
        <f t="shared" si="105"/>
        <v/>
      </c>
      <c r="BI329" t="str">
        <f t="shared" ref="BI329:BI360" si="109">IF(X329="","",-2.5)</f>
        <v/>
      </c>
      <c r="BL329" s="29" t="e">
        <f t="shared" si="92"/>
        <v>#N/A</v>
      </c>
      <c r="BM329" s="29" t="e">
        <f t="shared" si="93"/>
        <v>#N/A</v>
      </c>
    </row>
    <row r="330" spans="16:65" x14ac:dyDescent="0.35">
      <c r="Q330" s="27"/>
      <c r="R330" s="6" t="str">
        <f>IF(Q330="","",SUMIFS(tblAnalysis[P&amp;L SOL],tblAnalysis[Date],Q330))</f>
        <v/>
      </c>
      <c r="S330" s="10" t="str">
        <f>IF(Q330="","",SUMIFS(tblAnalysis[P&amp;L %],tblAnalysis[Date],Q330))</f>
        <v/>
      </c>
      <c r="T330" s="6" t="str">
        <f>IF(Q330="","",IFERROR(SUM($R$2:R330),""))</f>
        <v/>
      </c>
      <c r="U330" t="str">
        <f>IF(Q330="","",COUNTIFS(tblAnalysis[Date],Q330))</f>
        <v/>
      </c>
      <c r="V330" t="str">
        <f>IF(R330="","",COUNTIFS(tblAnalysis[Date],R330))</f>
        <v/>
      </c>
      <c r="W330" s="27" t="str">
        <f t="shared" si="94"/>
        <v/>
      </c>
      <c r="X330" s="6" t="str">
        <f t="shared" si="95"/>
        <v/>
      </c>
      <c r="Y330" s="6" t="str">
        <f>IF(Q330="","",MAX(X330,_xlfn.MAXIFS(tblAnalysis[Cum P&amp;L SOL],tblAnalysis[Date],Q330)))</f>
        <v/>
      </c>
      <c r="Z330" s="6" t="str">
        <f>IF(Q330="","",MIN(X330,_xlfn.MINIFS(tblAnalysis[Cum P&amp;L SOL],tblAnalysis[Date],Q330)))</f>
        <v/>
      </c>
      <c r="AA330" s="6" t="str">
        <f t="shared" si="96"/>
        <v/>
      </c>
      <c r="AB330" s="6" t="str">
        <f t="shared" si="106"/>
        <v/>
      </c>
      <c r="AC330" s="27" t="str">
        <f t="shared" si="97"/>
        <v/>
      </c>
      <c r="AD330" s="10" t="str">
        <f t="shared" si="98"/>
        <v/>
      </c>
      <c r="AE330" s="10" t="str">
        <f t="shared" si="99"/>
        <v/>
      </c>
      <c r="AF330" s="10" t="str">
        <f t="shared" si="100"/>
        <v/>
      </c>
      <c r="AG330" s="10" t="str">
        <f t="shared" si="107"/>
        <v/>
      </c>
      <c r="AH330" t="str">
        <f t="shared" si="101"/>
        <v/>
      </c>
      <c r="AI330" t="str">
        <f t="shared" si="102"/>
        <v/>
      </c>
      <c r="AJ330" t="str">
        <f t="shared" si="108"/>
        <v/>
      </c>
      <c r="AK330" t="str" cm="1">
        <f t="array" ref="AK330">IFERROR(IF(INDEX($A:$A,ROW())="","",INDEX($A:$A,ROW())),"")</f>
        <v/>
      </c>
      <c r="AL330" t="str" cm="1">
        <f t="array" ref="AL330">IFERROR(INDEX(tblTrades[sol_invested],ROW()-1),"")</f>
        <v/>
      </c>
      <c r="AM330" s="6" t="str" cm="1">
        <f t="array" ref="AM330">IFERROR(INDEX(tblAnalysis[P&amp;L SOL],ROW()-1),"")</f>
        <v/>
      </c>
      <c r="AN330" t="str" cm="1">
        <f t="array" ref="AN330">IFERROR(IF(INDEX(tblTrades[sol_invested],ROW()-1)&gt;0.5,INDEX(tblAnalysis[Token],ROW()-1)&amp;" ("&amp;TEXT(INDEX(tblTrades[sol_invested],ROW()-1),"0.0")&amp;" SOL)",""),"")</f>
        <v/>
      </c>
      <c r="AO330" s="7"/>
      <c r="AP330" s="12" t="str" cm="1">
        <f t="array" ref="AP330">IFERROR(INDEX(tblAnalysis[Entry MC ($)],ROW()-1),"")</f>
        <v/>
      </c>
      <c r="AQ330" s="10" t="str" cm="1">
        <f t="array" ref="AQ330">IFERROR(INDEX(tblAnalysis[P&amp;L %],ROW()-1),"")</f>
        <v/>
      </c>
      <c r="AR330" t="str" cm="1">
        <f t="array" ref="AR330">IFERROR(INDEX(tblAnalysis[Hold Time (s)],ROW()-1),"")</f>
        <v/>
      </c>
      <c r="AS330" s="6" t="str" cm="1">
        <f t="array" ref="AS330">IFERROR(INDEX(tblAnalysis[P&amp;L SOL],ROW()-1),"")</f>
        <v/>
      </c>
      <c r="AT330" s="6" t="str">
        <f t="array" ref="AT330">IFERROR(INDEX(tblAnalysis[P&amp;L SOL],ROW()-1),"")</f>
        <v/>
      </c>
      <c r="AZ330" s="10"/>
      <c r="BA330" s="10"/>
      <c r="BF330" t="str">
        <f t="shared" si="103"/>
        <v/>
      </c>
      <c r="BG330" s="27" t="str">
        <f t="shared" si="104"/>
        <v/>
      </c>
      <c r="BH330" t="str">
        <f t="shared" si="105"/>
        <v/>
      </c>
      <c r="BI330" t="str">
        <f t="shared" si="109"/>
        <v/>
      </c>
      <c r="BL330" s="29" t="e">
        <f t="shared" si="92"/>
        <v>#N/A</v>
      </c>
      <c r="BM330" s="29" t="e">
        <f t="shared" si="93"/>
        <v>#N/A</v>
      </c>
    </row>
    <row r="331" spans="16:65" x14ac:dyDescent="0.35">
      <c r="Q331" s="27"/>
      <c r="R331" s="6" t="str">
        <f>IF(Q331="","",SUMIFS(tblAnalysis[P&amp;L SOL],tblAnalysis[Date],Q331))</f>
        <v/>
      </c>
      <c r="S331" s="10" t="str">
        <f>IF(Q331="","",SUMIFS(tblAnalysis[P&amp;L %],tblAnalysis[Date],Q331))</f>
        <v/>
      </c>
      <c r="T331" s="6" t="str">
        <f>IF(Q331="","",IFERROR(SUM($R$2:R331),""))</f>
        <v/>
      </c>
      <c r="U331" t="str">
        <f>IF(Q331="","",COUNTIFS(tblAnalysis[Date],Q331))</f>
        <v/>
      </c>
      <c r="V331" t="str">
        <f>IF(R331="","",COUNTIFS(tblAnalysis[Date],R331))</f>
        <v/>
      </c>
      <c r="W331" s="27" t="str">
        <f t="shared" si="94"/>
        <v/>
      </c>
      <c r="X331" s="6" t="str">
        <f t="shared" si="95"/>
        <v/>
      </c>
      <c r="Y331" s="6" t="str">
        <f>IF(Q331="","",MAX(X331,_xlfn.MAXIFS(tblAnalysis[Cum P&amp;L SOL],tblAnalysis[Date],Q331)))</f>
        <v/>
      </c>
      <c r="Z331" s="6" t="str">
        <f>IF(Q331="","",MIN(X331,_xlfn.MINIFS(tblAnalysis[Cum P&amp;L SOL],tblAnalysis[Date],Q331)))</f>
        <v/>
      </c>
      <c r="AA331" s="6" t="str">
        <f t="shared" si="96"/>
        <v/>
      </c>
      <c r="AB331" s="6" t="str">
        <f t="shared" si="106"/>
        <v/>
      </c>
      <c r="AC331" s="27" t="str">
        <f t="shared" si="97"/>
        <v/>
      </c>
      <c r="AD331" s="10" t="str">
        <f t="shared" si="98"/>
        <v/>
      </c>
      <c r="AE331" s="10" t="str">
        <f t="shared" si="99"/>
        <v/>
      </c>
      <c r="AF331" s="10" t="str">
        <f t="shared" si="100"/>
        <v/>
      </c>
      <c r="AG331" s="10" t="str">
        <f t="shared" si="107"/>
        <v/>
      </c>
      <c r="AH331" t="str">
        <f t="shared" si="101"/>
        <v/>
      </c>
      <c r="AI331" t="str">
        <f t="shared" si="102"/>
        <v/>
      </c>
      <c r="AJ331" t="str">
        <f t="shared" si="108"/>
        <v/>
      </c>
      <c r="AK331" t="str" cm="1">
        <f t="array" ref="AK331">IFERROR(IF(INDEX($A:$A,ROW())="","",INDEX($A:$A,ROW())),"")</f>
        <v/>
      </c>
      <c r="AL331" t="str" cm="1">
        <f t="array" ref="AL331">IFERROR(INDEX(tblTrades[sol_invested],ROW()-1),"")</f>
        <v/>
      </c>
      <c r="AM331" s="6" t="str" cm="1">
        <f t="array" ref="AM331">IFERROR(INDEX(tblAnalysis[P&amp;L SOL],ROW()-1),"")</f>
        <v/>
      </c>
      <c r="AN331" t="str" cm="1">
        <f t="array" ref="AN331">IFERROR(IF(INDEX(tblTrades[sol_invested],ROW()-1)&gt;0.5,INDEX(tblAnalysis[Token],ROW()-1)&amp;" ("&amp;TEXT(INDEX(tblTrades[sol_invested],ROW()-1),"0.0")&amp;" SOL)",""),"")</f>
        <v/>
      </c>
      <c r="AO331" s="7"/>
      <c r="AP331" s="12" t="str" cm="1">
        <f t="array" ref="AP331">IFERROR(INDEX(tblAnalysis[Entry MC ($)],ROW()-1),"")</f>
        <v/>
      </c>
      <c r="AQ331" s="10" t="str" cm="1">
        <f t="array" ref="AQ331">IFERROR(INDEX(tblAnalysis[P&amp;L %],ROW()-1),"")</f>
        <v/>
      </c>
      <c r="AR331" t="str" cm="1">
        <f t="array" ref="AR331">IFERROR(INDEX(tblAnalysis[Hold Time (s)],ROW()-1),"")</f>
        <v/>
      </c>
      <c r="AS331" s="6" t="str" cm="1">
        <f t="array" ref="AS331">IFERROR(INDEX(tblAnalysis[P&amp;L SOL],ROW()-1),"")</f>
        <v/>
      </c>
      <c r="AT331" s="6" t="str">
        <f t="array" ref="AT331">IFERROR(INDEX(tblAnalysis[P&amp;L SOL],ROW()-1),"")</f>
        <v/>
      </c>
      <c r="AZ331" s="10"/>
      <c r="BA331" s="10"/>
      <c r="BF331" t="str">
        <f t="shared" si="103"/>
        <v/>
      </c>
      <c r="BG331" s="27" t="str">
        <f t="shared" si="104"/>
        <v/>
      </c>
      <c r="BH331" t="str">
        <f t="shared" si="105"/>
        <v/>
      </c>
      <c r="BI331" t="str">
        <f t="shared" si="109"/>
        <v/>
      </c>
      <c r="BL331" s="29" t="e">
        <f t="shared" si="92"/>
        <v>#N/A</v>
      </c>
      <c r="BM331" s="29" t="e">
        <f t="shared" si="93"/>
        <v>#N/A</v>
      </c>
    </row>
    <row r="332" spans="16:65" x14ac:dyDescent="0.35">
      <c r="Q332" s="27"/>
      <c r="R332" s="6" t="str">
        <f>IF(Q332="","",SUMIFS(tblAnalysis[P&amp;L SOL],tblAnalysis[Date],Q332))</f>
        <v/>
      </c>
      <c r="S332" s="10" t="str">
        <f>IF(Q332="","",SUMIFS(tblAnalysis[P&amp;L %],tblAnalysis[Date],Q332))</f>
        <v/>
      </c>
      <c r="T332" s="6" t="str">
        <f>IF(Q332="","",IFERROR(SUM($R$2:R332),""))</f>
        <v/>
      </c>
      <c r="U332" t="str">
        <f>IF(Q332="","",COUNTIFS(tblAnalysis[Date],Q332))</f>
        <v/>
      </c>
      <c r="V332" t="str">
        <f>IF(R332="","",COUNTIFS(tblAnalysis[Date],R332))</f>
        <v/>
      </c>
      <c r="W332" s="27" t="str">
        <f t="shared" si="94"/>
        <v/>
      </c>
      <c r="X332" s="6" t="str">
        <f t="shared" si="95"/>
        <v/>
      </c>
      <c r="Y332" s="6" t="str">
        <f>IF(Q332="","",MAX(X332,_xlfn.MAXIFS(tblAnalysis[Cum P&amp;L SOL],tblAnalysis[Date],Q332)))</f>
        <v/>
      </c>
      <c r="Z332" s="6" t="str">
        <f>IF(Q332="","",MIN(X332,_xlfn.MINIFS(tblAnalysis[Cum P&amp;L SOL],tblAnalysis[Date],Q332)))</f>
        <v/>
      </c>
      <c r="AA332" s="6" t="str">
        <f t="shared" si="96"/>
        <v/>
      </c>
      <c r="AB332" s="6" t="str">
        <f t="shared" si="106"/>
        <v/>
      </c>
      <c r="AC332" s="27" t="str">
        <f t="shared" si="97"/>
        <v/>
      </c>
      <c r="AD332" s="10" t="str">
        <f t="shared" si="98"/>
        <v/>
      </c>
      <c r="AE332" s="10" t="str">
        <f t="shared" si="99"/>
        <v/>
      </c>
      <c r="AF332" s="10" t="str">
        <f t="shared" si="100"/>
        <v/>
      </c>
      <c r="AG332" s="10" t="str">
        <f t="shared" si="107"/>
        <v/>
      </c>
      <c r="AH332" t="str">
        <f t="shared" si="101"/>
        <v/>
      </c>
      <c r="AI332" t="str">
        <f t="shared" si="102"/>
        <v/>
      </c>
      <c r="AJ332" t="str">
        <f t="shared" si="108"/>
        <v/>
      </c>
      <c r="AK332" t="str" cm="1">
        <f t="array" ref="AK332">IFERROR(IF(INDEX($A:$A,ROW())="","",INDEX($A:$A,ROW())),"")</f>
        <v/>
      </c>
      <c r="AL332" t="str" cm="1">
        <f t="array" ref="AL332">IFERROR(INDEX(tblTrades[sol_invested],ROW()-1),"")</f>
        <v/>
      </c>
      <c r="AM332" s="6" t="str" cm="1">
        <f t="array" ref="AM332">IFERROR(INDEX(tblAnalysis[P&amp;L SOL],ROW()-1),"")</f>
        <v/>
      </c>
      <c r="AN332" t="str" cm="1">
        <f t="array" ref="AN332">IFERROR(IF(INDEX(tblTrades[sol_invested],ROW()-1)&gt;0.5,INDEX(tblAnalysis[Token],ROW()-1)&amp;" ("&amp;TEXT(INDEX(tblTrades[sol_invested],ROW()-1),"0.0")&amp;" SOL)",""),"")</f>
        <v/>
      </c>
      <c r="AO332" s="7"/>
      <c r="AP332" s="12" t="str" cm="1">
        <f t="array" ref="AP332">IFERROR(INDEX(tblAnalysis[Entry MC ($)],ROW()-1),"")</f>
        <v/>
      </c>
      <c r="AQ332" s="10" t="str" cm="1">
        <f t="array" ref="AQ332">IFERROR(INDEX(tblAnalysis[P&amp;L %],ROW()-1),"")</f>
        <v/>
      </c>
      <c r="AR332" t="str" cm="1">
        <f t="array" ref="AR332">IFERROR(INDEX(tblAnalysis[Hold Time (s)],ROW()-1),"")</f>
        <v/>
      </c>
      <c r="AS332" s="6" t="str" cm="1">
        <f t="array" ref="AS332">IFERROR(INDEX(tblAnalysis[P&amp;L SOL],ROW()-1),"")</f>
        <v/>
      </c>
      <c r="AT332" s="6" t="str">
        <f t="array" ref="AT332">IFERROR(INDEX(tblAnalysis[P&amp;L SOL],ROW()-1),"")</f>
        <v/>
      </c>
      <c r="AZ332" s="10"/>
      <c r="BA332" s="10"/>
      <c r="BF332" t="str">
        <f t="shared" si="103"/>
        <v/>
      </c>
      <c r="BG332" s="27" t="str">
        <f t="shared" si="104"/>
        <v/>
      </c>
      <c r="BH332" t="str">
        <f t="shared" si="105"/>
        <v/>
      </c>
      <c r="BI332" t="str">
        <f t="shared" si="109"/>
        <v/>
      </c>
      <c r="BL332" s="29" t="e">
        <f t="shared" si="92"/>
        <v>#N/A</v>
      </c>
      <c r="BM332" s="29" t="e">
        <f t="shared" si="93"/>
        <v>#N/A</v>
      </c>
    </row>
    <row r="333" spans="16:65" x14ac:dyDescent="0.35">
      <c r="Q333" s="27"/>
      <c r="R333" s="6" t="str">
        <f>IF(Q333="","",SUMIFS(tblAnalysis[P&amp;L SOL],tblAnalysis[Date],Q333))</f>
        <v/>
      </c>
      <c r="S333" s="10" t="str">
        <f>IF(Q333="","",SUMIFS(tblAnalysis[P&amp;L %],tblAnalysis[Date],Q333))</f>
        <v/>
      </c>
      <c r="T333" s="6" t="str">
        <f>IF(Q333="","",IFERROR(SUM($R$2:R333),""))</f>
        <v/>
      </c>
      <c r="U333" t="str">
        <f>IF(Q333="","",COUNTIFS(tblAnalysis[Date],Q333))</f>
        <v/>
      </c>
      <c r="V333" t="str">
        <f>IF(R333="","",COUNTIFS(tblAnalysis[Date],R333))</f>
        <v/>
      </c>
      <c r="W333" s="27" t="str">
        <f t="shared" si="94"/>
        <v/>
      </c>
      <c r="X333" s="6" t="str">
        <f t="shared" si="95"/>
        <v/>
      </c>
      <c r="Y333" s="6" t="str">
        <f>IF(Q333="","",MAX(X333,_xlfn.MAXIFS(tblAnalysis[Cum P&amp;L SOL],tblAnalysis[Date],Q333)))</f>
        <v/>
      </c>
      <c r="Z333" s="6" t="str">
        <f>IF(Q333="","",MIN(X333,_xlfn.MINIFS(tblAnalysis[Cum P&amp;L SOL],tblAnalysis[Date],Q333)))</f>
        <v/>
      </c>
      <c r="AA333" s="6" t="str">
        <f t="shared" si="96"/>
        <v/>
      </c>
      <c r="AB333" s="6" t="str">
        <f t="shared" si="106"/>
        <v/>
      </c>
      <c r="AC333" s="27" t="str">
        <f t="shared" si="97"/>
        <v/>
      </c>
      <c r="AD333" s="10" t="str">
        <f t="shared" si="98"/>
        <v/>
      </c>
      <c r="AE333" s="10" t="str">
        <f t="shared" si="99"/>
        <v/>
      </c>
      <c r="AF333" s="10" t="str">
        <f t="shared" si="100"/>
        <v/>
      </c>
      <c r="AG333" s="10" t="str">
        <f t="shared" si="107"/>
        <v/>
      </c>
      <c r="AH333" t="str">
        <f t="shared" si="101"/>
        <v/>
      </c>
      <c r="AI333" t="str">
        <f t="shared" si="102"/>
        <v/>
      </c>
      <c r="AJ333" t="str">
        <f t="shared" si="108"/>
        <v/>
      </c>
      <c r="AK333" t="str" cm="1">
        <f t="array" ref="AK333">IFERROR(IF(INDEX($A:$A,ROW())="","",INDEX($A:$A,ROW())),"")</f>
        <v/>
      </c>
      <c r="AL333" t="str" cm="1">
        <f t="array" ref="AL333">IFERROR(INDEX(tblTrades[sol_invested],ROW()-1),"")</f>
        <v/>
      </c>
      <c r="AM333" s="6" t="str" cm="1">
        <f t="array" ref="AM333">IFERROR(INDEX(tblAnalysis[P&amp;L SOL],ROW()-1),"")</f>
        <v/>
      </c>
      <c r="AN333" t="str" cm="1">
        <f t="array" ref="AN333">IFERROR(IF(INDEX(tblTrades[sol_invested],ROW()-1)&gt;0.5,INDEX(tblAnalysis[Token],ROW()-1)&amp;" ("&amp;TEXT(INDEX(tblTrades[sol_invested],ROW()-1),"0.0")&amp;" SOL)",""),"")</f>
        <v/>
      </c>
      <c r="AO333" s="7"/>
      <c r="AP333" s="12" t="str" cm="1">
        <f t="array" ref="AP333">IFERROR(INDEX(tblAnalysis[Entry MC ($)],ROW()-1),"")</f>
        <v/>
      </c>
      <c r="AQ333" s="10" t="str" cm="1">
        <f t="array" ref="AQ333">IFERROR(INDEX(tblAnalysis[P&amp;L %],ROW()-1),"")</f>
        <v/>
      </c>
      <c r="AR333" t="str" cm="1">
        <f t="array" ref="AR333">IFERROR(INDEX(tblAnalysis[Hold Time (s)],ROW()-1),"")</f>
        <v/>
      </c>
      <c r="AS333" s="6" t="str" cm="1">
        <f t="array" ref="AS333">IFERROR(INDEX(tblAnalysis[P&amp;L SOL],ROW()-1),"")</f>
        <v/>
      </c>
      <c r="AT333" s="6" t="str">
        <f t="array" ref="AT333">IFERROR(INDEX(tblAnalysis[P&amp;L SOL],ROW()-1),"")</f>
        <v/>
      </c>
      <c r="AZ333" s="10"/>
      <c r="BA333" s="10"/>
      <c r="BF333" t="str">
        <f t="shared" si="103"/>
        <v/>
      </c>
      <c r="BG333" s="27" t="str">
        <f t="shared" si="104"/>
        <v/>
      </c>
      <c r="BH333" t="str">
        <f t="shared" si="105"/>
        <v/>
      </c>
      <c r="BI333" t="str">
        <f t="shared" si="109"/>
        <v/>
      </c>
      <c r="BL333" s="29" t="e">
        <f t="shared" si="92"/>
        <v>#N/A</v>
      </c>
      <c r="BM333" s="29" t="e">
        <f t="shared" si="93"/>
        <v>#N/A</v>
      </c>
    </row>
    <row r="334" spans="16:65" x14ac:dyDescent="0.35">
      <c r="Q334" s="27"/>
      <c r="R334" s="6" t="str">
        <f>IF(Q334="","",SUMIFS(tblAnalysis[P&amp;L SOL],tblAnalysis[Date],Q334))</f>
        <v/>
      </c>
      <c r="S334" s="10" t="str">
        <f>IF(Q334="","",SUMIFS(tblAnalysis[P&amp;L %],tblAnalysis[Date],Q334))</f>
        <v/>
      </c>
      <c r="T334" s="6" t="str">
        <f>IF(Q334="","",IFERROR(SUM($R$2:R334),""))</f>
        <v/>
      </c>
      <c r="U334" t="str">
        <f>IF(Q334="","",COUNTIFS(tblAnalysis[Date],Q334))</f>
        <v/>
      </c>
      <c r="V334" t="str">
        <f>IF(R334="","",COUNTIFS(tblAnalysis[Date],R334))</f>
        <v/>
      </c>
      <c r="W334" s="27" t="str">
        <f t="shared" si="94"/>
        <v/>
      </c>
      <c r="X334" s="6" t="str">
        <f t="shared" si="95"/>
        <v/>
      </c>
      <c r="Y334" s="6" t="str">
        <f>IF(Q334="","",MAX(X334,_xlfn.MAXIFS(tblAnalysis[Cum P&amp;L SOL],tblAnalysis[Date],Q334)))</f>
        <v/>
      </c>
      <c r="Z334" s="6" t="str">
        <f>IF(Q334="","",MIN(X334,_xlfn.MINIFS(tblAnalysis[Cum P&amp;L SOL],tblAnalysis[Date],Q334)))</f>
        <v/>
      </c>
      <c r="AA334" s="6" t="str">
        <f t="shared" si="96"/>
        <v/>
      </c>
      <c r="AB334" s="6" t="str">
        <f t="shared" si="106"/>
        <v/>
      </c>
      <c r="AC334" s="27" t="str">
        <f t="shared" si="97"/>
        <v/>
      </c>
      <c r="AD334" s="10" t="str">
        <f t="shared" si="98"/>
        <v/>
      </c>
      <c r="AE334" s="10" t="str">
        <f t="shared" si="99"/>
        <v/>
      </c>
      <c r="AF334" s="10" t="str">
        <f t="shared" si="100"/>
        <v/>
      </c>
      <c r="AG334" s="10" t="str">
        <f t="shared" si="107"/>
        <v/>
      </c>
      <c r="AH334" t="str">
        <f t="shared" si="101"/>
        <v/>
      </c>
      <c r="AI334" t="str">
        <f t="shared" si="102"/>
        <v/>
      </c>
      <c r="AJ334" t="str">
        <f t="shared" si="108"/>
        <v/>
      </c>
      <c r="AK334" t="str" cm="1">
        <f t="array" ref="AK334">IFERROR(IF(INDEX($A:$A,ROW())="","",INDEX($A:$A,ROW())),"")</f>
        <v/>
      </c>
      <c r="AL334" t="str" cm="1">
        <f t="array" ref="AL334">IFERROR(INDEX(tblTrades[sol_invested],ROW()-1),"")</f>
        <v/>
      </c>
      <c r="AM334" s="6" t="str" cm="1">
        <f t="array" ref="AM334">IFERROR(INDEX(tblAnalysis[P&amp;L SOL],ROW()-1),"")</f>
        <v/>
      </c>
      <c r="AN334" t="str" cm="1">
        <f t="array" ref="AN334">IFERROR(IF(INDEX(tblTrades[sol_invested],ROW()-1)&gt;0.5,INDEX(tblAnalysis[Token],ROW()-1)&amp;" ("&amp;TEXT(INDEX(tblTrades[sol_invested],ROW()-1),"0.0")&amp;" SOL)",""),"")</f>
        <v/>
      </c>
      <c r="AO334" s="7"/>
      <c r="AP334" s="12" t="str" cm="1">
        <f t="array" ref="AP334">IFERROR(INDEX(tblAnalysis[Entry MC ($)],ROW()-1),"")</f>
        <v/>
      </c>
      <c r="AQ334" s="10" t="str" cm="1">
        <f t="array" ref="AQ334">IFERROR(INDEX(tblAnalysis[P&amp;L %],ROW()-1),"")</f>
        <v/>
      </c>
      <c r="AR334" t="str" cm="1">
        <f t="array" ref="AR334">IFERROR(INDEX(tblAnalysis[Hold Time (s)],ROW()-1),"")</f>
        <v/>
      </c>
      <c r="AS334" s="6" t="str" cm="1">
        <f t="array" ref="AS334">IFERROR(INDEX(tblAnalysis[P&amp;L SOL],ROW()-1),"")</f>
        <v/>
      </c>
      <c r="AT334" s="6" t="str">
        <f t="array" ref="AT334">IFERROR(INDEX(tblAnalysis[P&amp;L SOL],ROW()-1),"")</f>
        <v/>
      </c>
      <c r="AZ334" s="10"/>
      <c r="BA334" s="10"/>
      <c r="BF334" t="str">
        <f t="shared" si="103"/>
        <v/>
      </c>
      <c r="BG334" s="27" t="str">
        <f t="shared" si="104"/>
        <v/>
      </c>
      <c r="BH334" t="str">
        <f t="shared" si="105"/>
        <v/>
      </c>
      <c r="BI334" t="str">
        <f t="shared" si="109"/>
        <v/>
      </c>
      <c r="BL334" s="29" t="e">
        <f t="shared" si="92"/>
        <v>#N/A</v>
      </c>
      <c r="BM334" s="29" t="e">
        <f t="shared" si="93"/>
        <v>#N/A</v>
      </c>
    </row>
    <row r="335" spans="16:65" x14ac:dyDescent="0.35">
      <c r="Q335" s="27"/>
      <c r="R335" s="6" t="str">
        <f>IF(Q335="","",SUMIFS(tblAnalysis[P&amp;L SOL],tblAnalysis[Date],Q335))</f>
        <v/>
      </c>
      <c r="S335" s="10" t="str">
        <f>IF(Q335="","",SUMIFS(tblAnalysis[P&amp;L %],tblAnalysis[Date],Q335))</f>
        <v/>
      </c>
      <c r="T335" s="6" t="str">
        <f>IF(Q335="","",IFERROR(SUM($R$2:R335),""))</f>
        <v/>
      </c>
      <c r="U335" t="str">
        <f>IF(Q335="","",COUNTIFS(tblAnalysis[Date],Q335))</f>
        <v/>
      </c>
      <c r="V335" t="str">
        <f>IF(R335="","",COUNTIFS(tblAnalysis[Date],R335))</f>
        <v/>
      </c>
      <c r="W335" s="27" t="str">
        <f t="shared" si="94"/>
        <v/>
      </c>
      <c r="X335" s="6" t="str">
        <f t="shared" si="95"/>
        <v/>
      </c>
      <c r="Y335" s="6" t="str">
        <f>IF(Q335="","",MAX(X335,_xlfn.MAXIFS(tblAnalysis[Cum P&amp;L SOL],tblAnalysis[Date],Q335)))</f>
        <v/>
      </c>
      <c r="Z335" s="6" t="str">
        <f>IF(Q335="","",MIN(X335,_xlfn.MINIFS(tblAnalysis[Cum P&amp;L SOL],tblAnalysis[Date],Q335)))</f>
        <v/>
      </c>
      <c r="AA335" s="6" t="str">
        <f t="shared" si="96"/>
        <v/>
      </c>
      <c r="AB335" s="6" t="str">
        <f t="shared" si="106"/>
        <v/>
      </c>
      <c r="AC335" s="27" t="str">
        <f t="shared" si="97"/>
        <v/>
      </c>
      <c r="AD335" s="10" t="str">
        <f t="shared" si="98"/>
        <v/>
      </c>
      <c r="AE335" s="10" t="str">
        <f t="shared" si="99"/>
        <v/>
      </c>
      <c r="AF335" s="10" t="str">
        <f t="shared" si="100"/>
        <v/>
      </c>
      <c r="AG335" s="10" t="str">
        <f t="shared" si="107"/>
        <v/>
      </c>
      <c r="AH335" t="str">
        <f t="shared" si="101"/>
        <v/>
      </c>
      <c r="AI335" t="str">
        <f t="shared" si="102"/>
        <v/>
      </c>
      <c r="AJ335" t="str">
        <f t="shared" si="108"/>
        <v/>
      </c>
      <c r="AK335" t="str" cm="1">
        <f t="array" ref="AK335">IFERROR(IF(INDEX($A:$A,ROW())="","",INDEX($A:$A,ROW())),"")</f>
        <v/>
      </c>
      <c r="AL335" t="str" cm="1">
        <f t="array" ref="AL335">IFERROR(INDEX(tblTrades[sol_invested],ROW()-1),"")</f>
        <v/>
      </c>
      <c r="AM335" s="6" t="str" cm="1">
        <f t="array" ref="AM335">IFERROR(INDEX(tblAnalysis[P&amp;L SOL],ROW()-1),"")</f>
        <v/>
      </c>
      <c r="AN335" t="str" cm="1">
        <f t="array" ref="AN335">IFERROR(IF(INDEX(tblTrades[sol_invested],ROW()-1)&gt;0.5,INDEX(tblAnalysis[Token],ROW()-1)&amp;" ("&amp;TEXT(INDEX(tblTrades[sol_invested],ROW()-1),"0.0")&amp;" SOL)",""),"")</f>
        <v/>
      </c>
      <c r="AO335" s="7"/>
      <c r="AP335" s="12" t="str" cm="1">
        <f t="array" ref="AP335">IFERROR(INDEX(tblAnalysis[Entry MC ($)],ROW()-1),"")</f>
        <v/>
      </c>
      <c r="AQ335" s="10" t="str" cm="1">
        <f t="array" ref="AQ335">IFERROR(INDEX(tblAnalysis[P&amp;L %],ROW()-1),"")</f>
        <v/>
      </c>
      <c r="AR335" t="str" cm="1">
        <f t="array" ref="AR335">IFERROR(INDEX(tblAnalysis[Hold Time (s)],ROW()-1),"")</f>
        <v/>
      </c>
      <c r="AS335" s="6" t="str" cm="1">
        <f t="array" ref="AS335">IFERROR(INDEX(tblAnalysis[P&amp;L SOL],ROW()-1),"")</f>
        <v/>
      </c>
      <c r="AT335" s="6" t="str">
        <f t="array" ref="AT335">IFERROR(INDEX(tblAnalysis[P&amp;L SOL],ROW()-1),"")</f>
        <v/>
      </c>
      <c r="AZ335" s="10"/>
      <c r="BA335" s="10"/>
      <c r="BF335" t="str">
        <f t="shared" si="103"/>
        <v/>
      </c>
      <c r="BG335" s="27" t="str">
        <f t="shared" si="104"/>
        <v/>
      </c>
      <c r="BH335" t="str">
        <f t="shared" si="105"/>
        <v/>
      </c>
      <c r="BI335" t="str">
        <f t="shared" si="109"/>
        <v/>
      </c>
      <c r="BL335" s="29" t="e">
        <f t="shared" si="92"/>
        <v>#N/A</v>
      </c>
      <c r="BM335" s="29" t="e">
        <f t="shared" si="93"/>
        <v>#N/A</v>
      </c>
    </row>
    <row r="336" spans="16:65" x14ac:dyDescent="0.35">
      <c r="Q336" s="27"/>
      <c r="R336" s="6" t="str">
        <f>IF(Q336="","",SUMIFS(tblAnalysis[P&amp;L SOL],tblAnalysis[Date],Q336))</f>
        <v/>
      </c>
      <c r="S336" s="10" t="str">
        <f>IF(Q336="","",SUMIFS(tblAnalysis[P&amp;L %],tblAnalysis[Date],Q336))</f>
        <v/>
      </c>
      <c r="T336" s="6" t="str">
        <f>IF(Q336="","",IFERROR(SUM($R$2:R336),""))</f>
        <v/>
      </c>
      <c r="U336" t="str">
        <f>IF(Q336="","",COUNTIFS(tblAnalysis[Date],Q336))</f>
        <v/>
      </c>
      <c r="V336" t="str">
        <f>IF(R336="","",COUNTIFS(tblAnalysis[Date],R336))</f>
        <v/>
      </c>
      <c r="W336" s="27" t="str">
        <f t="shared" si="94"/>
        <v/>
      </c>
      <c r="X336" s="6" t="str">
        <f t="shared" si="95"/>
        <v/>
      </c>
      <c r="Y336" s="6" t="str">
        <f>IF(Q336="","",MAX(X336,_xlfn.MAXIFS(tblAnalysis[Cum P&amp;L SOL],tblAnalysis[Date],Q336)))</f>
        <v/>
      </c>
      <c r="Z336" s="6" t="str">
        <f>IF(Q336="","",MIN(X336,_xlfn.MINIFS(tblAnalysis[Cum P&amp;L SOL],tblAnalysis[Date],Q336)))</f>
        <v/>
      </c>
      <c r="AA336" s="6" t="str">
        <f t="shared" si="96"/>
        <v/>
      </c>
      <c r="AB336" s="6" t="str">
        <f t="shared" si="106"/>
        <v/>
      </c>
      <c r="AC336" s="27" t="str">
        <f t="shared" si="97"/>
        <v/>
      </c>
      <c r="AD336" s="10" t="str">
        <f t="shared" si="98"/>
        <v/>
      </c>
      <c r="AE336" s="10" t="str">
        <f t="shared" si="99"/>
        <v/>
      </c>
      <c r="AF336" s="10" t="str">
        <f t="shared" si="100"/>
        <v/>
      </c>
      <c r="AG336" s="10" t="str">
        <f t="shared" si="107"/>
        <v/>
      </c>
      <c r="AH336" t="str">
        <f t="shared" si="101"/>
        <v/>
      </c>
      <c r="AI336" t="str">
        <f t="shared" si="102"/>
        <v/>
      </c>
      <c r="AJ336" t="str">
        <f t="shared" si="108"/>
        <v/>
      </c>
      <c r="AK336" t="str" cm="1">
        <f t="array" ref="AK336">IFERROR(IF(INDEX($A:$A,ROW())="","",INDEX($A:$A,ROW())),"")</f>
        <v/>
      </c>
      <c r="AL336" t="str" cm="1">
        <f t="array" ref="AL336">IFERROR(INDEX(tblTrades[sol_invested],ROW()-1),"")</f>
        <v/>
      </c>
      <c r="AM336" s="6" t="str" cm="1">
        <f t="array" ref="AM336">IFERROR(INDEX(tblAnalysis[P&amp;L SOL],ROW()-1),"")</f>
        <v/>
      </c>
      <c r="AN336" t="str" cm="1">
        <f t="array" ref="AN336">IFERROR(IF(INDEX(tblTrades[sol_invested],ROW()-1)&gt;0.5,INDEX(tblAnalysis[Token],ROW()-1)&amp;" ("&amp;TEXT(INDEX(tblTrades[sol_invested],ROW()-1),"0.0")&amp;" SOL)",""),"")</f>
        <v/>
      </c>
      <c r="AO336" s="7"/>
      <c r="AP336" s="12" t="str" cm="1">
        <f t="array" ref="AP336">IFERROR(INDEX(tblAnalysis[Entry MC ($)],ROW()-1),"")</f>
        <v/>
      </c>
      <c r="AQ336" s="10" t="str" cm="1">
        <f t="array" ref="AQ336">IFERROR(INDEX(tblAnalysis[P&amp;L %],ROW()-1),"")</f>
        <v/>
      </c>
      <c r="AR336" t="str" cm="1">
        <f t="array" ref="AR336">IFERROR(INDEX(tblAnalysis[Hold Time (s)],ROW()-1),"")</f>
        <v/>
      </c>
      <c r="AS336" s="6" t="str" cm="1">
        <f t="array" ref="AS336">IFERROR(INDEX(tblAnalysis[P&amp;L SOL],ROW()-1),"")</f>
        <v/>
      </c>
      <c r="AT336" s="6" t="str">
        <f t="array" ref="AT336">IFERROR(INDEX(tblAnalysis[P&amp;L SOL],ROW()-1),"")</f>
        <v/>
      </c>
      <c r="AZ336" s="10"/>
      <c r="BA336" s="10"/>
      <c r="BF336" t="str">
        <f t="shared" si="103"/>
        <v/>
      </c>
      <c r="BG336" s="27" t="str">
        <f t="shared" si="104"/>
        <v/>
      </c>
      <c r="BH336" t="str">
        <f t="shared" si="105"/>
        <v/>
      </c>
      <c r="BI336" t="str">
        <f t="shared" si="109"/>
        <v/>
      </c>
      <c r="BL336" s="29" t="e">
        <f t="shared" si="92"/>
        <v>#N/A</v>
      </c>
      <c r="BM336" s="29" t="e">
        <f t="shared" si="93"/>
        <v>#N/A</v>
      </c>
    </row>
    <row r="337" spans="17:65" x14ac:dyDescent="0.35">
      <c r="Q337" s="27"/>
      <c r="R337" s="6" t="str">
        <f>IF(Q337="","",SUMIFS(tblAnalysis[P&amp;L SOL],tblAnalysis[Date],Q337))</f>
        <v/>
      </c>
      <c r="S337" s="10" t="str">
        <f>IF(Q337="","",SUMIFS(tblAnalysis[P&amp;L %],tblAnalysis[Date],Q337))</f>
        <v/>
      </c>
      <c r="T337" s="6" t="str">
        <f>IF(Q337="","",IFERROR(SUM($R$2:R337),""))</f>
        <v/>
      </c>
      <c r="U337" t="str">
        <f>IF(Q337="","",COUNTIFS(tblAnalysis[Date],Q337))</f>
        <v/>
      </c>
      <c r="V337" t="str">
        <f>IF(R337="","",COUNTIFS(tblAnalysis[Date],R337))</f>
        <v/>
      </c>
      <c r="W337" s="27" t="str">
        <f t="shared" si="94"/>
        <v/>
      </c>
      <c r="X337" s="6" t="str">
        <f t="shared" si="95"/>
        <v/>
      </c>
      <c r="Y337" s="6" t="str">
        <f>IF(Q337="","",MAX(X337,_xlfn.MAXIFS(tblAnalysis[Cum P&amp;L SOL],tblAnalysis[Date],Q337)))</f>
        <v/>
      </c>
      <c r="Z337" s="6" t="str">
        <f>IF(Q337="","",MIN(X337,_xlfn.MINIFS(tblAnalysis[Cum P&amp;L SOL],tblAnalysis[Date],Q337)))</f>
        <v/>
      </c>
      <c r="AA337" s="6" t="str">
        <f t="shared" si="96"/>
        <v/>
      </c>
      <c r="AB337" s="6" t="str">
        <f t="shared" si="106"/>
        <v/>
      </c>
      <c r="AC337" s="27" t="str">
        <f t="shared" si="97"/>
        <v/>
      </c>
      <c r="AD337" s="10" t="str">
        <f t="shared" si="98"/>
        <v/>
      </c>
      <c r="AE337" s="10" t="str">
        <f t="shared" si="99"/>
        <v/>
      </c>
      <c r="AF337" s="10" t="str">
        <f t="shared" si="100"/>
        <v/>
      </c>
      <c r="AG337" s="10" t="str">
        <f t="shared" si="107"/>
        <v/>
      </c>
      <c r="AH337" t="str">
        <f t="shared" si="101"/>
        <v/>
      </c>
      <c r="AI337" t="str">
        <f t="shared" si="102"/>
        <v/>
      </c>
      <c r="AJ337" t="str">
        <f t="shared" si="108"/>
        <v/>
      </c>
      <c r="AK337" t="str" cm="1">
        <f t="array" ref="AK337">IFERROR(IF(INDEX($A:$A,ROW())="","",INDEX($A:$A,ROW())),"")</f>
        <v/>
      </c>
      <c r="AL337" t="str" cm="1">
        <f t="array" ref="AL337">IFERROR(INDEX(tblTrades[sol_invested],ROW()-1),"")</f>
        <v/>
      </c>
      <c r="AM337" s="6" t="str" cm="1">
        <f t="array" ref="AM337">IFERROR(INDEX(tblAnalysis[P&amp;L SOL],ROW()-1),"")</f>
        <v/>
      </c>
      <c r="AN337" t="str" cm="1">
        <f t="array" ref="AN337">IFERROR(IF(INDEX(tblTrades[sol_invested],ROW()-1)&gt;0.5,INDEX(tblAnalysis[Token],ROW()-1)&amp;" ("&amp;TEXT(INDEX(tblTrades[sol_invested],ROW()-1),"0.0")&amp;" SOL)",""),"")</f>
        <v/>
      </c>
      <c r="AO337" s="7"/>
      <c r="AP337" s="12" t="str" cm="1">
        <f t="array" ref="AP337">IFERROR(INDEX(tblAnalysis[Entry MC ($)],ROW()-1),"")</f>
        <v/>
      </c>
      <c r="AQ337" s="10" t="str" cm="1">
        <f t="array" ref="AQ337">IFERROR(INDEX(tblAnalysis[P&amp;L %],ROW()-1),"")</f>
        <v/>
      </c>
      <c r="AR337" t="str" cm="1">
        <f t="array" ref="AR337">IFERROR(INDEX(tblAnalysis[Hold Time (s)],ROW()-1),"")</f>
        <v/>
      </c>
      <c r="AS337" s="6" t="str" cm="1">
        <f t="array" ref="AS337">IFERROR(INDEX(tblAnalysis[P&amp;L SOL],ROW()-1),"")</f>
        <v/>
      </c>
      <c r="AT337" s="6" t="str">
        <f t="array" ref="AT337">IFERROR(INDEX(tblAnalysis[P&amp;L SOL],ROW()-1),"")</f>
        <v/>
      </c>
      <c r="AZ337" s="10"/>
      <c r="BA337" s="10"/>
      <c r="BF337" t="str">
        <f t="shared" si="103"/>
        <v/>
      </c>
      <c r="BG337" s="27" t="str">
        <f t="shared" si="104"/>
        <v/>
      </c>
      <c r="BH337" t="str">
        <f t="shared" si="105"/>
        <v/>
      </c>
      <c r="BI337" t="str">
        <f t="shared" si="109"/>
        <v/>
      </c>
      <c r="BL337" s="29" t="e">
        <f t="shared" si="92"/>
        <v>#N/A</v>
      </c>
      <c r="BM337" s="29" t="e">
        <f t="shared" si="93"/>
        <v>#N/A</v>
      </c>
    </row>
    <row r="338" spans="17:65" x14ac:dyDescent="0.35">
      <c r="Q338" s="27"/>
      <c r="R338" s="6" t="str">
        <f>IF(Q338="","",SUMIFS(tblAnalysis[P&amp;L SOL],tblAnalysis[Date],Q338))</f>
        <v/>
      </c>
      <c r="S338" s="10" t="str">
        <f>IF(Q338="","",SUMIFS(tblAnalysis[P&amp;L %],tblAnalysis[Date],Q338))</f>
        <v/>
      </c>
      <c r="T338" s="6" t="str">
        <f>IF(Q338="","",IFERROR(SUM($R$2:R338),""))</f>
        <v/>
      </c>
      <c r="U338" t="str">
        <f>IF(Q338="","",COUNTIFS(tblAnalysis[Date],Q338))</f>
        <v/>
      </c>
      <c r="V338" t="str">
        <f>IF(R338="","",COUNTIFS(tblAnalysis[Date],R338))</f>
        <v/>
      </c>
      <c r="W338" s="27" t="str">
        <f t="shared" si="94"/>
        <v/>
      </c>
      <c r="X338" s="6" t="str">
        <f t="shared" si="95"/>
        <v/>
      </c>
      <c r="Y338" s="6" t="str">
        <f>IF(Q338="","",MAX(X338,_xlfn.MAXIFS(tblAnalysis[Cum P&amp;L SOL],tblAnalysis[Date],Q338)))</f>
        <v/>
      </c>
      <c r="Z338" s="6" t="str">
        <f>IF(Q338="","",MIN(X338,_xlfn.MINIFS(tblAnalysis[Cum P&amp;L SOL],tblAnalysis[Date],Q338)))</f>
        <v/>
      </c>
      <c r="AA338" s="6" t="str">
        <f t="shared" si="96"/>
        <v/>
      </c>
      <c r="AB338" s="6" t="str">
        <f t="shared" si="106"/>
        <v/>
      </c>
      <c r="AC338" s="27" t="str">
        <f t="shared" si="97"/>
        <v/>
      </c>
      <c r="AD338" s="10" t="str">
        <f t="shared" si="98"/>
        <v/>
      </c>
      <c r="AE338" s="10" t="str">
        <f t="shared" si="99"/>
        <v/>
      </c>
      <c r="AF338" s="10" t="str">
        <f t="shared" si="100"/>
        <v/>
      </c>
      <c r="AG338" s="10" t="str">
        <f t="shared" si="107"/>
        <v/>
      </c>
      <c r="AH338" t="str">
        <f t="shared" si="101"/>
        <v/>
      </c>
      <c r="AI338" t="str">
        <f t="shared" si="102"/>
        <v/>
      </c>
      <c r="AJ338" t="str">
        <f t="shared" si="108"/>
        <v/>
      </c>
      <c r="AK338" t="str" cm="1">
        <f t="array" ref="AK338">IFERROR(IF(INDEX($A:$A,ROW())="","",INDEX($A:$A,ROW())),"")</f>
        <v/>
      </c>
      <c r="AL338" t="str" cm="1">
        <f t="array" ref="AL338">IFERROR(INDEX(tblTrades[sol_invested],ROW()-1),"")</f>
        <v/>
      </c>
      <c r="AM338" s="6" t="str" cm="1">
        <f t="array" ref="AM338">IFERROR(INDEX(tblAnalysis[P&amp;L SOL],ROW()-1),"")</f>
        <v/>
      </c>
      <c r="AN338" t="str" cm="1">
        <f t="array" ref="AN338">IFERROR(IF(INDEX(tblTrades[sol_invested],ROW()-1)&gt;0.5,INDEX(tblAnalysis[Token],ROW()-1)&amp;" ("&amp;TEXT(INDEX(tblTrades[sol_invested],ROW()-1),"0.0")&amp;" SOL)",""),"")</f>
        <v/>
      </c>
      <c r="AO338" s="7"/>
      <c r="AP338" s="12" t="str" cm="1">
        <f t="array" ref="AP338">IFERROR(INDEX(tblAnalysis[Entry MC ($)],ROW()-1),"")</f>
        <v/>
      </c>
      <c r="AQ338" s="10" t="str" cm="1">
        <f t="array" ref="AQ338">IFERROR(INDEX(tblAnalysis[P&amp;L %],ROW()-1),"")</f>
        <v/>
      </c>
      <c r="AR338" t="str" cm="1">
        <f t="array" ref="AR338">IFERROR(INDEX(tblAnalysis[Hold Time (s)],ROW()-1),"")</f>
        <v/>
      </c>
      <c r="AS338" s="6" t="str" cm="1">
        <f t="array" ref="AS338">IFERROR(INDEX(tblAnalysis[P&amp;L SOL],ROW()-1),"")</f>
        <v/>
      </c>
      <c r="AT338" s="6" t="str">
        <f t="array" ref="AT338">IFERROR(INDEX(tblAnalysis[P&amp;L SOL],ROW()-1),"")</f>
        <v/>
      </c>
      <c r="AZ338" s="10"/>
      <c r="BA338" s="10"/>
      <c r="BF338" t="str">
        <f t="shared" si="103"/>
        <v/>
      </c>
      <c r="BG338" s="27" t="str">
        <f t="shared" si="104"/>
        <v/>
      </c>
      <c r="BH338" t="str">
        <f t="shared" si="105"/>
        <v/>
      </c>
      <c r="BI338" t="str">
        <f t="shared" si="109"/>
        <v/>
      </c>
      <c r="BL338" s="29" t="e">
        <f t="shared" si="92"/>
        <v>#N/A</v>
      </c>
      <c r="BM338" s="29" t="e">
        <f t="shared" si="93"/>
        <v>#N/A</v>
      </c>
    </row>
    <row r="339" spans="17:65" x14ac:dyDescent="0.35">
      <c r="Q339" s="27"/>
      <c r="R339" s="6" t="str">
        <f>IF(Q339="","",SUMIFS(tblAnalysis[P&amp;L SOL],tblAnalysis[Date],Q339))</f>
        <v/>
      </c>
      <c r="S339" s="10" t="str">
        <f>IF(Q339="","",SUMIFS(tblAnalysis[P&amp;L %],tblAnalysis[Date],Q339))</f>
        <v/>
      </c>
      <c r="T339" s="6" t="str">
        <f>IF(Q339="","",IFERROR(SUM($R$2:R339),""))</f>
        <v/>
      </c>
      <c r="U339" t="str">
        <f>IF(Q339="","",COUNTIFS(tblAnalysis[Date],Q339))</f>
        <v/>
      </c>
      <c r="V339" t="str">
        <f>IF(R339="","",COUNTIFS(tblAnalysis[Date],R339))</f>
        <v/>
      </c>
      <c r="W339" s="27" t="str">
        <f t="shared" si="94"/>
        <v/>
      </c>
      <c r="X339" s="6" t="str">
        <f t="shared" si="95"/>
        <v/>
      </c>
      <c r="Y339" s="6" t="str">
        <f>IF(Q339="","",MAX(X339,_xlfn.MAXIFS(tblAnalysis[Cum P&amp;L SOL],tblAnalysis[Date],Q339)))</f>
        <v/>
      </c>
      <c r="Z339" s="6" t="str">
        <f>IF(Q339="","",MIN(X339,_xlfn.MINIFS(tblAnalysis[Cum P&amp;L SOL],tblAnalysis[Date],Q339)))</f>
        <v/>
      </c>
      <c r="AA339" s="6" t="str">
        <f t="shared" si="96"/>
        <v/>
      </c>
      <c r="AB339" s="6" t="str">
        <f t="shared" si="106"/>
        <v/>
      </c>
      <c r="AC339" s="27" t="str">
        <f t="shared" si="97"/>
        <v/>
      </c>
      <c r="AD339" s="10" t="str">
        <f t="shared" si="98"/>
        <v/>
      </c>
      <c r="AE339" s="10" t="str">
        <f t="shared" si="99"/>
        <v/>
      </c>
      <c r="AF339" s="10" t="str">
        <f t="shared" si="100"/>
        <v/>
      </c>
      <c r="AG339" s="10" t="str">
        <f t="shared" si="107"/>
        <v/>
      </c>
      <c r="AH339" t="str">
        <f t="shared" si="101"/>
        <v/>
      </c>
      <c r="AI339" t="str">
        <f t="shared" si="102"/>
        <v/>
      </c>
      <c r="AJ339" t="str">
        <f t="shared" si="108"/>
        <v/>
      </c>
      <c r="AK339" t="str" cm="1">
        <f t="array" ref="AK339">IFERROR(IF(INDEX($A:$A,ROW())="","",INDEX($A:$A,ROW())),"")</f>
        <v/>
      </c>
      <c r="AL339" t="str" cm="1">
        <f t="array" ref="AL339">IFERROR(INDEX(tblTrades[sol_invested],ROW()-1),"")</f>
        <v/>
      </c>
      <c r="AM339" s="6" t="str" cm="1">
        <f t="array" ref="AM339">IFERROR(INDEX(tblAnalysis[P&amp;L SOL],ROW()-1),"")</f>
        <v/>
      </c>
      <c r="AN339" t="str" cm="1">
        <f t="array" ref="AN339">IFERROR(IF(INDEX(tblTrades[sol_invested],ROW()-1)&gt;0.5,INDEX(tblAnalysis[Token],ROW()-1)&amp;" ("&amp;TEXT(INDEX(tblTrades[sol_invested],ROW()-1),"0.0")&amp;" SOL)",""),"")</f>
        <v/>
      </c>
      <c r="AO339" s="7"/>
      <c r="AP339" s="12" t="str" cm="1">
        <f t="array" ref="AP339">IFERROR(INDEX(tblAnalysis[Entry MC ($)],ROW()-1),"")</f>
        <v/>
      </c>
      <c r="AQ339" s="10" t="str" cm="1">
        <f t="array" ref="AQ339">IFERROR(INDEX(tblAnalysis[P&amp;L %],ROW()-1),"")</f>
        <v/>
      </c>
      <c r="AR339" t="str" cm="1">
        <f t="array" ref="AR339">IFERROR(INDEX(tblAnalysis[Hold Time (s)],ROW()-1),"")</f>
        <v/>
      </c>
      <c r="AS339" s="6" t="str" cm="1">
        <f t="array" ref="AS339">IFERROR(INDEX(tblAnalysis[P&amp;L SOL],ROW()-1),"")</f>
        <v/>
      </c>
      <c r="AT339" s="6" t="str">
        <f t="array" ref="AT339">IFERROR(INDEX(tblAnalysis[P&amp;L SOL],ROW()-1),"")</f>
        <v/>
      </c>
      <c r="AZ339" s="10"/>
      <c r="BA339" s="10"/>
      <c r="BF339" t="str">
        <f t="shared" si="103"/>
        <v/>
      </c>
      <c r="BG339" s="27" t="str">
        <f t="shared" si="104"/>
        <v/>
      </c>
      <c r="BH339" t="str">
        <f t="shared" si="105"/>
        <v/>
      </c>
      <c r="BI339" t="str">
        <f t="shared" si="109"/>
        <v/>
      </c>
      <c r="BL339" s="29" t="e">
        <f t="shared" si="92"/>
        <v>#N/A</v>
      </c>
      <c r="BM339" s="29" t="e">
        <f t="shared" si="93"/>
        <v>#N/A</v>
      </c>
    </row>
    <row r="340" spans="17:65" x14ac:dyDescent="0.35">
      <c r="Q340" s="27"/>
      <c r="R340" s="6" t="str">
        <f>IF(Q340="","",SUMIFS(tblAnalysis[P&amp;L SOL],tblAnalysis[Date],Q340))</f>
        <v/>
      </c>
      <c r="S340" s="10" t="str">
        <f>IF(Q340="","",SUMIFS(tblAnalysis[P&amp;L %],tblAnalysis[Date],Q340))</f>
        <v/>
      </c>
      <c r="T340" s="6" t="str">
        <f>IF(Q340="","",IFERROR(SUM($R$2:R340),""))</f>
        <v/>
      </c>
      <c r="U340" t="str">
        <f>IF(Q340="","",COUNTIFS(tblAnalysis[Date],Q340))</f>
        <v/>
      </c>
      <c r="V340" t="str">
        <f>IF(R340="","",COUNTIFS(tblAnalysis[Date],R340))</f>
        <v/>
      </c>
      <c r="W340" s="27" t="str">
        <f t="shared" si="94"/>
        <v/>
      </c>
      <c r="X340" s="6" t="str">
        <f t="shared" si="95"/>
        <v/>
      </c>
      <c r="Y340" s="6" t="str">
        <f>IF(Q340="","",MAX(X340,_xlfn.MAXIFS(tblAnalysis[Cum P&amp;L SOL],tblAnalysis[Date],Q340)))</f>
        <v/>
      </c>
      <c r="Z340" s="6" t="str">
        <f>IF(Q340="","",MIN(X340,_xlfn.MINIFS(tblAnalysis[Cum P&amp;L SOL],tblAnalysis[Date],Q340)))</f>
        <v/>
      </c>
      <c r="AA340" s="6" t="str">
        <f t="shared" si="96"/>
        <v/>
      </c>
      <c r="AB340" s="6" t="str">
        <f t="shared" si="106"/>
        <v/>
      </c>
      <c r="AC340" s="27" t="str">
        <f t="shared" si="97"/>
        <v/>
      </c>
      <c r="AD340" s="10" t="str">
        <f t="shared" si="98"/>
        <v/>
      </c>
      <c r="AE340" s="10" t="str">
        <f t="shared" si="99"/>
        <v/>
      </c>
      <c r="AF340" s="10" t="str">
        <f t="shared" si="100"/>
        <v/>
      </c>
      <c r="AG340" s="10" t="str">
        <f t="shared" si="107"/>
        <v/>
      </c>
      <c r="AH340" t="str">
        <f t="shared" si="101"/>
        <v/>
      </c>
      <c r="AI340" t="str">
        <f t="shared" si="102"/>
        <v/>
      </c>
      <c r="AJ340" t="str">
        <f t="shared" si="108"/>
        <v/>
      </c>
      <c r="AK340" t="str" cm="1">
        <f t="array" ref="AK340">IFERROR(IF(INDEX($A:$A,ROW())="","",INDEX($A:$A,ROW())),"")</f>
        <v/>
      </c>
      <c r="AL340" t="str" cm="1">
        <f t="array" ref="AL340">IFERROR(INDEX(tblTrades[sol_invested],ROW()-1),"")</f>
        <v/>
      </c>
      <c r="AM340" s="6" t="str" cm="1">
        <f t="array" ref="AM340">IFERROR(INDEX(tblAnalysis[P&amp;L SOL],ROW()-1),"")</f>
        <v/>
      </c>
      <c r="AN340" t="str" cm="1">
        <f t="array" ref="AN340">IFERROR(IF(INDEX(tblTrades[sol_invested],ROW()-1)&gt;0.5,INDEX(tblAnalysis[Token],ROW()-1)&amp;" ("&amp;TEXT(INDEX(tblTrades[sol_invested],ROW()-1),"0.0")&amp;" SOL)",""),"")</f>
        <v/>
      </c>
      <c r="AO340" s="7"/>
      <c r="AP340" s="12" t="str" cm="1">
        <f t="array" ref="AP340">IFERROR(INDEX(tblAnalysis[Entry MC ($)],ROW()-1),"")</f>
        <v/>
      </c>
      <c r="AQ340" s="10" t="str" cm="1">
        <f t="array" ref="AQ340">IFERROR(INDEX(tblAnalysis[P&amp;L %],ROW()-1),"")</f>
        <v/>
      </c>
      <c r="AR340" t="str" cm="1">
        <f t="array" ref="AR340">IFERROR(INDEX(tblAnalysis[Hold Time (s)],ROW()-1),"")</f>
        <v/>
      </c>
      <c r="AS340" s="6" t="str" cm="1">
        <f t="array" ref="AS340">IFERROR(INDEX(tblAnalysis[P&amp;L SOL],ROW()-1),"")</f>
        <v/>
      </c>
      <c r="AT340" s="6" t="str">
        <f t="array" ref="AT340">IFERROR(INDEX(tblAnalysis[P&amp;L SOL],ROW()-1),"")</f>
        <v/>
      </c>
      <c r="AZ340" s="10"/>
      <c r="BA340" s="10"/>
      <c r="BF340" t="str">
        <f t="shared" si="103"/>
        <v/>
      </c>
      <c r="BG340" s="27" t="str">
        <f t="shared" si="104"/>
        <v/>
      </c>
      <c r="BH340" t="str">
        <f t="shared" si="105"/>
        <v/>
      </c>
      <c r="BI340" t="str">
        <f t="shared" si="109"/>
        <v/>
      </c>
      <c r="BL340" s="29" t="e">
        <f t="shared" si="92"/>
        <v>#N/A</v>
      </c>
      <c r="BM340" s="29" t="e">
        <f t="shared" si="93"/>
        <v>#N/A</v>
      </c>
    </row>
    <row r="341" spans="17:65" x14ac:dyDescent="0.35">
      <c r="Q341" s="27"/>
      <c r="R341" s="6" t="str">
        <f>IF(Q341="","",SUMIFS(tblAnalysis[P&amp;L SOL],tblAnalysis[Date],Q341))</f>
        <v/>
      </c>
      <c r="S341" s="10" t="str">
        <f>IF(Q341="","",SUMIFS(tblAnalysis[P&amp;L %],tblAnalysis[Date],Q341))</f>
        <v/>
      </c>
      <c r="T341" s="6" t="str">
        <f>IF(Q341="","",IFERROR(SUM($R$2:R341),""))</f>
        <v/>
      </c>
      <c r="U341" t="str">
        <f>IF(Q341="","",COUNTIFS(tblAnalysis[Date],Q341))</f>
        <v/>
      </c>
      <c r="V341" t="str">
        <f>IF(R341="","",COUNTIFS(tblAnalysis[Date],R341))</f>
        <v/>
      </c>
      <c r="W341" s="27" t="str">
        <f t="shared" si="94"/>
        <v/>
      </c>
      <c r="X341" s="6" t="str">
        <f t="shared" si="95"/>
        <v/>
      </c>
      <c r="Y341" s="6" t="str">
        <f>IF(Q341="","",MAX(X341,_xlfn.MAXIFS(tblAnalysis[Cum P&amp;L SOL],tblAnalysis[Date],Q341)))</f>
        <v/>
      </c>
      <c r="Z341" s="6" t="str">
        <f>IF(Q341="","",MIN(X341,_xlfn.MINIFS(tblAnalysis[Cum P&amp;L SOL],tblAnalysis[Date],Q341)))</f>
        <v/>
      </c>
      <c r="AA341" s="6" t="str">
        <f t="shared" si="96"/>
        <v/>
      </c>
      <c r="AB341" s="6" t="str">
        <f t="shared" si="106"/>
        <v/>
      </c>
      <c r="AC341" s="27" t="str">
        <f t="shared" si="97"/>
        <v/>
      </c>
      <c r="AD341" s="10" t="str">
        <f t="shared" si="98"/>
        <v/>
      </c>
      <c r="AE341" s="10" t="str">
        <f t="shared" si="99"/>
        <v/>
      </c>
      <c r="AF341" s="10" t="str">
        <f t="shared" si="100"/>
        <v/>
      </c>
      <c r="AG341" s="10" t="str">
        <f t="shared" si="107"/>
        <v/>
      </c>
      <c r="AH341" t="str">
        <f t="shared" si="101"/>
        <v/>
      </c>
      <c r="AI341" t="str">
        <f t="shared" si="102"/>
        <v/>
      </c>
      <c r="AJ341" t="str">
        <f t="shared" si="108"/>
        <v/>
      </c>
      <c r="AK341" t="str" cm="1">
        <f t="array" ref="AK341">IFERROR(IF(INDEX($A:$A,ROW())="","",INDEX($A:$A,ROW())),"")</f>
        <v/>
      </c>
      <c r="AL341" t="str" cm="1">
        <f t="array" ref="AL341">IFERROR(INDEX(tblTrades[sol_invested],ROW()-1),"")</f>
        <v/>
      </c>
      <c r="AM341" s="6" t="str" cm="1">
        <f t="array" ref="AM341">IFERROR(INDEX(tblAnalysis[P&amp;L SOL],ROW()-1),"")</f>
        <v/>
      </c>
      <c r="AN341" t="str" cm="1">
        <f t="array" ref="AN341">IFERROR(IF(INDEX(tblTrades[sol_invested],ROW()-1)&gt;0.5,INDEX(tblAnalysis[Token],ROW()-1)&amp;" ("&amp;TEXT(INDEX(tblTrades[sol_invested],ROW()-1),"0.0")&amp;" SOL)",""),"")</f>
        <v/>
      </c>
      <c r="AO341" s="7"/>
      <c r="AP341" s="12" t="str" cm="1">
        <f t="array" ref="AP341">IFERROR(INDEX(tblAnalysis[Entry MC ($)],ROW()-1),"")</f>
        <v/>
      </c>
      <c r="AQ341" s="10" t="str" cm="1">
        <f t="array" ref="AQ341">IFERROR(INDEX(tblAnalysis[P&amp;L %],ROW()-1),"")</f>
        <v/>
      </c>
      <c r="AR341" t="str" cm="1">
        <f t="array" ref="AR341">IFERROR(INDEX(tblAnalysis[Hold Time (s)],ROW()-1),"")</f>
        <v/>
      </c>
      <c r="AS341" s="6" t="str" cm="1">
        <f t="array" ref="AS341">IFERROR(INDEX(tblAnalysis[P&amp;L SOL],ROW()-1),"")</f>
        <v/>
      </c>
      <c r="AT341" s="6" t="str">
        <f t="array" ref="AT341">IFERROR(INDEX(tblAnalysis[P&amp;L SOL],ROW()-1),"")</f>
        <v/>
      </c>
      <c r="AZ341" s="10"/>
      <c r="BA341" s="10"/>
      <c r="BF341" t="str">
        <f t="shared" si="103"/>
        <v/>
      </c>
      <c r="BG341" s="27" t="str">
        <f t="shared" si="104"/>
        <v/>
      </c>
      <c r="BH341" t="str">
        <f t="shared" si="105"/>
        <v/>
      </c>
      <c r="BI341" t="str">
        <f t="shared" si="109"/>
        <v/>
      </c>
      <c r="BL341" s="29" t="e">
        <f t="shared" si="92"/>
        <v>#N/A</v>
      </c>
      <c r="BM341" s="29" t="e">
        <f t="shared" si="93"/>
        <v>#N/A</v>
      </c>
    </row>
    <row r="342" spans="17:65" x14ac:dyDescent="0.35">
      <c r="Q342" s="27"/>
      <c r="R342" s="6" t="str">
        <f>IF(Q342="","",SUMIFS(tblAnalysis[P&amp;L SOL],tblAnalysis[Date],Q342))</f>
        <v/>
      </c>
      <c r="S342" s="10" t="str">
        <f>IF(Q342="","",SUMIFS(tblAnalysis[P&amp;L %],tblAnalysis[Date],Q342))</f>
        <v/>
      </c>
      <c r="T342" s="6" t="str">
        <f>IF(Q342="","",IFERROR(SUM($R$2:R342),""))</f>
        <v/>
      </c>
      <c r="U342" t="str">
        <f>IF(Q342="","",COUNTIFS(tblAnalysis[Date],Q342))</f>
        <v/>
      </c>
      <c r="V342" t="str">
        <f>IF(R342="","",COUNTIFS(tblAnalysis[Date],R342))</f>
        <v/>
      </c>
      <c r="W342" s="27" t="str">
        <f t="shared" si="94"/>
        <v/>
      </c>
      <c r="X342" s="6" t="str">
        <f t="shared" si="95"/>
        <v/>
      </c>
      <c r="Y342" s="6" t="str">
        <f>IF(Q342="","",MAX(X342,_xlfn.MAXIFS(tblAnalysis[Cum P&amp;L SOL],tblAnalysis[Date],Q342)))</f>
        <v/>
      </c>
      <c r="Z342" s="6" t="str">
        <f>IF(Q342="","",MIN(X342,_xlfn.MINIFS(tblAnalysis[Cum P&amp;L SOL],tblAnalysis[Date],Q342)))</f>
        <v/>
      </c>
      <c r="AA342" s="6" t="str">
        <f t="shared" si="96"/>
        <v/>
      </c>
      <c r="AB342" s="6" t="str">
        <f t="shared" si="106"/>
        <v/>
      </c>
      <c r="AC342" s="27" t="str">
        <f t="shared" si="97"/>
        <v/>
      </c>
      <c r="AD342" s="10" t="str">
        <f t="shared" si="98"/>
        <v/>
      </c>
      <c r="AE342" s="10" t="str">
        <f t="shared" si="99"/>
        <v/>
      </c>
      <c r="AF342" s="10" t="str">
        <f t="shared" si="100"/>
        <v/>
      </c>
      <c r="AG342" s="10" t="str">
        <f t="shared" si="107"/>
        <v/>
      </c>
      <c r="AH342" t="str">
        <f t="shared" si="101"/>
        <v/>
      </c>
      <c r="AI342" t="str">
        <f t="shared" si="102"/>
        <v/>
      </c>
      <c r="AJ342" t="str">
        <f t="shared" si="108"/>
        <v/>
      </c>
      <c r="AK342" t="str" cm="1">
        <f t="array" ref="AK342">IFERROR(IF(INDEX($A:$A,ROW())="","",INDEX($A:$A,ROW())),"")</f>
        <v/>
      </c>
      <c r="AL342" t="str" cm="1">
        <f t="array" ref="AL342">IFERROR(INDEX(tblTrades[sol_invested],ROW()-1),"")</f>
        <v/>
      </c>
      <c r="AM342" s="6" t="str" cm="1">
        <f t="array" ref="AM342">IFERROR(INDEX(tblAnalysis[P&amp;L SOL],ROW()-1),"")</f>
        <v/>
      </c>
      <c r="AN342" t="str" cm="1">
        <f t="array" ref="AN342">IFERROR(IF(INDEX(tblTrades[sol_invested],ROW()-1)&gt;0.5,INDEX(tblAnalysis[Token],ROW()-1)&amp;" ("&amp;TEXT(INDEX(tblTrades[sol_invested],ROW()-1),"0.0")&amp;" SOL)",""),"")</f>
        <v/>
      </c>
      <c r="AO342" s="7"/>
      <c r="AP342" s="12" t="str" cm="1">
        <f t="array" ref="AP342">IFERROR(INDEX(tblAnalysis[Entry MC ($)],ROW()-1),"")</f>
        <v/>
      </c>
      <c r="AQ342" s="10" t="str" cm="1">
        <f t="array" ref="AQ342">IFERROR(INDEX(tblAnalysis[P&amp;L %],ROW()-1),"")</f>
        <v/>
      </c>
      <c r="AR342" t="str" cm="1">
        <f t="array" ref="AR342">IFERROR(INDEX(tblAnalysis[Hold Time (s)],ROW()-1),"")</f>
        <v/>
      </c>
      <c r="AS342" s="6" t="str" cm="1">
        <f t="array" ref="AS342">IFERROR(INDEX(tblAnalysis[P&amp;L SOL],ROW()-1),"")</f>
        <v/>
      </c>
      <c r="AT342" s="6" t="str">
        <f t="array" ref="AT342">IFERROR(INDEX(tblAnalysis[P&amp;L SOL],ROW()-1),"")</f>
        <v/>
      </c>
      <c r="AZ342" s="10"/>
      <c r="BA342" s="10"/>
      <c r="BF342" t="str">
        <f t="shared" si="103"/>
        <v/>
      </c>
      <c r="BG342" s="27" t="str">
        <f t="shared" si="104"/>
        <v/>
      </c>
      <c r="BH342" t="str">
        <f t="shared" si="105"/>
        <v/>
      </c>
      <c r="BI342" t="str">
        <f t="shared" si="109"/>
        <v/>
      </c>
      <c r="BL342" s="29" t="e">
        <f t="shared" si="92"/>
        <v>#N/A</v>
      </c>
      <c r="BM342" s="29" t="e">
        <f t="shared" si="93"/>
        <v>#N/A</v>
      </c>
    </row>
    <row r="343" spans="17:65" x14ac:dyDescent="0.35">
      <c r="Q343" s="27"/>
      <c r="R343" s="6" t="str">
        <f>IF(Q343="","",SUMIFS(tblAnalysis[P&amp;L SOL],tblAnalysis[Date],Q343))</f>
        <v/>
      </c>
      <c r="S343" s="10" t="str">
        <f>IF(Q343="","",SUMIFS(tblAnalysis[P&amp;L %],tblAnalysis[Date],Q343))</f>
        <v/>
      </c>
      <c r="T343" s="6" t="str">
        <f>IF(Q343="","",IFERROR(SUM($R$2:R343),""))</f>
        <v/>
      </c>
      <c r="U343" t="str">
        <f>IF(Q343="","",COUNTIFS(tblAnalysis[Date],Q343))</f>
        <v/>
      </c>
      <c r="V343" t="str">
        <f>IF(R343="","",COUNTIFS(tblAnalysis[Date],R343))</f>
        <v/>
      </c>
      <c r="W343" s="27" t="str">
        <f t="shared" si="94"/>
        <v/>
      </c>
      <c r="X343" s="6" t="str">
        <f t="shared" si="95"/>
        <v/>
      </c>
      <c r="Y343" s="6" t="str">
        <f>IF(Q343="","",MAX(X343,_xlfn.MAXIFS(tblAnalysis[Cum P&amp;L SOL],tblAnalysis[Date],Q343)))</f>
        <v/>
      </c>
      <c r="Z343" s="6" t="str">
        <f>IF(Q343="","",MIN(X343,_xlfn.MINIFS(tblAnalysis[Cum P&amp;L SOL],tblAnalysis[Date],Q343)))</f>
        <v/>
      </c>
      <c r="AA343" s="6" t="str">
        <f t="shared" si="96"/>
        <v/>
      </c>
      <c r="AB343" s="6" t="str">
        <f t="shared" si="106"/>
        <v/>
      </c>
      <c r="AC343" s="27" t="str">
        <f t="shared" si="97"/>
        <v/>
      </c>
      <c r="AD343" s="10" t="str">
        <f t="shared" si="98"/>
        <v/>
      </c>
      <c r="AE343" s="10" t="str">
        <f t="shared" si="99"/>
        <v/>
      </c>
      <c r="AF343" s="10" t="str">
        <f t="shared" si="100"/>
        <v/>
      </c>
      <c r="AG343" s="10" t="str">
        <f t="shared" si="107"/>
        <v/>
      </c>
      <c r="AH343" t="str">
        <f t="shared" si="101"/>
        <v/>
      </c>
      <c r="AI343" t="str">
        <f t="shared" si="102"/>
        <v/>
      </c>
      <c r="AJ343" t="str">
        <f t="shared" si="108"/>
        <v/>
      </c>
      <c r="AK343" t="str" cm="1">
        <f t="array" ref="AK343">IFERROR(IF(INDEX($A:$A,ROW())="","",INDEX($A:$A,ROW())),"")</f>
        <v/>
      </c>
      <c r="AL343" t="str" cm="1">
        <f t="array" ref="AL343">IFERROR(INDEX(tblTrades[sol_invested],ROW()-1),"")</f>
        <v/>
      </c>
      <c r="AM343" s="6" t="str" cm="1">
        <f t="array" ref="AM343">IFERROR(INDEX(tblAnalysis[P&amp;L SOL],ROW()-1),"")</f>
        <v/>
      </c>
      <c r="AN343" t="str" cm="1">
        <f t="array" ref="AN343">IFERROR(IF(INDEX(tblTrades[sol_invested],ROW()-1)&gt;0.5,INDEX(tblAnalysis[Token],ROW()-1)&amp;" ("&amp;TEXT(INDEX(tblTrades[sol_invested],ROW()-1),"0.0")&amp;" SOL)",""),"")</f>
        <v/>
      </c>
      <c r="AO343" s="7"/>
      <c r="AP343" s="12" t="str" cm="1">
        <f t="array" ref="AP343">IFERROR(INDEX(tblAnalysis[Entry MC ($)],ROW()-1),"")</f>
        <v/>
      </c>
      <c r="AQ343" s="10" t="str" cm="1">
        <f t="array" ref="AQ343">IFERROR(INDEX(tblAnalysis[P&amp;L %],ROW()-1),"")</f>
        <v/>
      </c>
      <c r="AR343" t="str" cm="1">
        <f t="array" ref="AR343">IFERROR(INDEX(tblAnalysis[Hold Time (s)],ROW()-1),"")</f>
        <v/>
      </c>
      <c r="AS343" s="6" t="str" cm="1">
        <f t="array" ref="AS343">IFERROR(INDEX(tblAnalysis[P&amp;L SOL],ROW()-1),"")</f>
        <v/>
      </c>
      <c r="AT343" s="6" t="str">
        <f t="array" ref="AT343">IFERROR(INDEX(tblAnalysis[P&amp;L SOL],ROW()-1),"")</f>
        <v/>
      </c>
      <c r="AZ343" s="10"/>
      <c r="BA343" s="10"/>
      <c r="BF343" t="str">
        <f t="shared" si="103"/>
        <v/>
      </c>
      <c r="BG343" s="27" t="str">
        <f t="shared" si="104"/>
        <v/>
      </c>
      <c r="BH343" t="str">
        <f t="shared" si="105"/>
        <v/>
      </c>
      <c r="BI343" t="str">
        <f t="shared" si="109"/>
        <v/>
      </c>
      <c r="BL343" s="29" t="e">
        <f t="shared" si="92"/>
        <v>#N/A</v>
      </c>
      <c r="BM343" s="29" t="e">
        <f t="shared" si="93"/>
        <v>#N/A</v>
      </c>
    </row>
    <row r="344" spans="17:65" x14ac:dyDescent="0.35">
      <c r="Q344" s="27"/>
      <c r="R344" s="6" t="str">
        <f>IF(Q344="","",SUMIFS(tblAnalysis[P&amp;L SOL],tblAnalysis[Date],Q344))</f>
        <v/>
      </c>
      <c r="S344" s="10" t="str">
        <f>IF(Q344="","",SUMIFS(tblAnalysis[P&amp;L %],tblAnalysis[Date],Q344))</f>
        <v/>
      </c>
      <c r="T344" s="6" t="str">
        <f>IF(Q344="","",IFERROR(SUM($R$2:R344),""))</f>
        <v/>
      </c>
      <c r="U344" t="str">
        <f>IF(Q344="","",COUNTIFS(tblAnalysis[Date],Q344))</f>
        <v/>
      </c>
      <c r="V344" t="str">
        <f>IF(R344="","",COUNTIFS(tblAnalysis[Date],R344))</f>
        <v/>
      </c>
      <c r="W344" s="27" t="str">
        <f t="shared" si="94"/>
        <v/>
      </c>
      <c r="X344" s="6" t="str">
        <f t="shared" si="95"/>
        <v/>
      </c>
      <c r="Y344" s="6" t="str">
        <f>IF(Q344="","",MAX(X344,_xlfn.MAXIFS(tblAnalysis[Cum P&amp;L SOL],tblAnalysis[Date],Q344)))</f>
        <v/>
      </c>
      <c r="Z344" s="6" t="str">
        <f>IF(Q344="","",MIN(X344,_xlfn.MINIFS(tblAnalysis[Cum P&amp;L SOL],tblAnalysis[Date],Q344)))</f>
        <v/>
      </c>
      <c r="AA344" s="6" t="str">
        <f t="shared" si="96"/>
        <v/>
      </c>
      <c r="AB344" s="6" t="str">
        <f t="shared" si="106"/>
        <v/>
      </c>
      <c r="AC344" s="27" t="str">
        <f t="shared" si="97"/>
        <v/>
      </c>
      <c r="AD344" s="10" t="str">
        <f t="shared" si="98"/>
        <v/>
      </c>
      <c r="AE344" s="10" t="str">
        <f t="shared" si="99"/>
        <v/>
      </c>
      <c r="AF344" s="10" t="str">
        <f t="shared" si="100"/>
        <v/>
      </c>
      <c r="AG344" s="10" t="str">
        <f t="shared" si="107"/>
        <v/>
      </c>
      <c r="AH344" t="str">
        <f t="shared" si="101"/>
        <v/>
      </c>
      <c r="AI344" t="str">
        <f t="shared" si="102"/>
        <v/>
      </c>
      <c r="AJ344" t="str">
        <f t="shared" si="108"/>
        <v/>
      </c>
      <c r="AK344" t="str" cm="1">
        <f t="array" ref="AK344">IFERROR(IF(INDEX($A:$A,ROW())="","",INDEX($A:$A,ROW())),"")</f>
        <v/>
      </c>
      <c r="AL344" t="str" cm="1">
        <f t="array" ref="AL344">IFERROR(INDEX(tblTrades[sol_invested],ROW()-1),"")</f>
        <v/>
      </c>
      <c r="AM344" s="6" t="str" cm="1">
        <f t="array" ref="AM344">IFERROR(INDEX(tblAnalysis[P&amp;L SOL],ROW()-1),"")</f>
        <v/>
      </c>
      <c r="AN344" t="str" cm="1">
        <f t="array" ref="AN344">IFERROR(IF(INDEX(tblTrades[sol_invested],ROW()-1)&gt;0.5,INDEX(tblAnalysis[Token],ROW()-1)&amp;" ("&amp;TEXT(INDEX(tblTrades[sol_invested],ROW()-1),"0.0")&amp;" SOL)",""),"")</f>
        <v/>
      </c>
      <c r="AO344" s="7"/>
      <c r="AP344" s="12" t="str" cm="1">
        <f t="array" ref="AP344">IFERROR(INDEX(tblAnalysis[Entry MC ($)],ROW()-1),"")</f>
        <v/>
      </c>
      <c r="AQ344" s="10" t="str" cm="1">
        <f t="array" ref="AQ344">IFERROR(INDEX(tblAnalysis[P&amp;L %],ROW()-1),"")</f>
        <v/>
      </c>
      <c r="AR344" t="str" cm="1">
        <f t="array" ref="AR344">IFERROR(INDEX(tblAnalysis[Hold Time (s)],ROW()-1),"")</f>
        <v/>
      </c>
      <c r="AS344" s="6" t="str" cm="1">
        <f t="array" ref="AS344">IFERROR(INDEX(tblAnalysis[P&amp;L SOL],ROW()-1),"")</f>
        <v/>
      </c>
      <c r="AT344" s="6" t="str">
        <f t="array" ref="AT344">IFERROR(INDEX(tblAnalysis[P&amp;L SOL],ROW()-1),"")</f>
        <v/>
      </c>
      <c r="AZ344" s="10"/>
      <c r="BA344" s="10"/>
      <c r="BF344" t="str">
        <f t="shared" si="103"/>
        <v/>
      </c>
      <c r="BG344" s="27" t="str">
        <f t="shared" si="104"/>
        <v/>
      </c>
      <c r="BH344" t="str">
        <f t="shared" si="105"/>
        <v/>
      </c>
      <c r="BI344" t="str">
        <f t="shared" si="109"/>
        <v/>
      </c>
      <c r="BL344" s="29" t="e">
        <f t="shared" si="92"/>
        <v>#N/A</v>
      </c>
      <c r="BM344" s="29" t="e">
        <f t="shared" si="93"/>
        <v>#N/A</v>
      </c>
    </row>
    <row r="345" spans="17:65" x14ac:dyDescent="0.35">
      <c r="Q345" s="27"/>
      <c r="R345" s="6" t="str">
        <f>IF(Q345="","",SUMIFS(tblAnalysis[P&amp;L SOL],tblAnalysis[Date],Q345))</f>
        <v/>
      </c>
      <c r="S345" s="10" t="str">
        <f>IF(Q345="","",SUMIFS(tblAnalysis[P&amp;L %],tblAnalysis[Date],Q345))</f>
        <v/>
      </c>
      <c r="T345" s="6" t="str">
        <f>IF(Q345="","",IFERROR(SUM($R$2:R345),""))</f>
        <v/>
      </c>
      <c r="U345" t="str">
        <f>IF(Q345="","",COUNTIFS(tblAnalysis[Date],Q345))</f>
        <v/>
      </c>
      <c r="V345" t="str">
        <f>IF(R345="","",COUNTIFS(tblAnalysis[Date],R345))</f>
        <v/>
      </c>
      <c r="W345" s="27" t="str">
        <f t="shared" si="94"/>
        <v/>
      </c>
      <c r="X345" s="6" t="str">
        <f t="shared" si="95"/>
        <v/>
      </c>
      <c r="Y345" s="6" t="str">
        <f>IF(Q345="","",MAX(X345,_xlfn.MAXIFS(tblAnalysis[Cum P&amp;L SOL],tblAnalysis[Date],Q345)))</f>
        <v/>
      </c>
      <c r="Z345" s="6" t="str">
        <f>IF(Q345="","",MIN(X345,_xlfn.MINIFS(tblAnalysis[Cum P&amp;L SOL],tblAnalysis[Date],Q345)))</f>
        <v/>
      </c>
      <c r="AA345" s="6" t="str">
        <f t="shared" si="96"/>
        <v/>
      </c>
      <c r="AB345" s="6" t="str">
        <f t="shared" si="106"/>
        <v/>
      </c>
      <c r="AC345" s="27" t="str">
        <f t="shared" si="97"/>
        <v/>
      </c>
      <c r="AD345" s="10" t="str">
        <f t="shared" si="98"/>
        <v/>
      </c>
      <c r="AE345" s="10" t="str">
        <f t="shared" si="99"/>
        <v/>
      </c>
      <c r="AF345" s="10" t="str">
        <f t="shared" si="100"/>
        <v/>
      </c>
      <c r="AG345" s="10" t="str">
        <f t="shared" si="107"/>
        <v/>
      </c>
      <c r="AH345" t="str">
        <f t="shared" si="101"/>
        <v/>
      </c>
      <c r="AI345" t="str">
        <f t="shared" si="102"/>
        <v/>
      </c>
      <c r="AJ345" t="str">
        <f t="shared" si="108"/>
        <v/>
      </c>
      <c r="AK345" t="str" cm="1">
        <f t="array" ref="AK345">IFERROR(IF(INDEX($A:$A,ROW())="","",INDEX($A:$A,ROW())),"")</f>
        <v/>
      </c>
      <c r="AL345" t="str" cm="1">
        <f t="array" ref="AL345">IFERROR(INDEX(tblTrades[sol_invested],ROW()-1),"")</f>
        <v/>
      </c>
      <c r="AM345" s="6" t="str" cm="1">
        <f t="array" ref="AM345">IFERROR(INDEX(tblAnalysis[P&amp;L SOL],ROW()-1),"")</f>
        <v/>
      </c>
      <c r="AN345" t="str" cm="1">
        <f t="array" ref="AN345">IFERROR(IF(INDEX(tblTrades[sol_invested],ROW()-1)&gt;0.5,INDEX(tblAnalysis[Token],ROW()-1)&amp;" ("&amp;TEXT(INDEX(tblTrades[sol_invested],ROW()-1),"0.0")&amp;" SOL)",""),"")</f>
        <v/>
      </c>
      <c r="AO345" s="7"/>
      <c r="AP345" s="12" t="str" cm="1">
        <f t="array" ref="AP345">IFERROR(INDEX(tblAnalysis[Entry MC ($)],ROW()-1),"")</f>
        <v/>
      </c>
      <c r="AQ345" s="10" t="str" cm="1">
        <f t="array" ref="AQ345">IFERROR(INDEX(tblAnalysis[P&amp;L %],ROW()-1),"")</f>
        <v/>
      </c>
      <c r="AR345" t="str" cm="1">
        <f t="array" ref="AR345">IFERROR(INDEX(tblAnalysis[Hold Time (s)],ROW()-1),"")</f>
        <v/>
      </c>
      <c r="AS345" s="6" t="str" cm="1">
        <f t="array" ref="AS345">IFERROR(INDEX(tblAnalysis[P&amp;L SOL],ROW()-1),"")</f>
        <v/>
      </c>
      <c r="AT345" s="6" t="str">
        <f t="array" ref="AT345">IFERROR(INDEX(tblAnalysis[P&amp;L SOL],ROW()-1),"")</f>
        <v/>
      </c>
      <c r="AZ345" s="10"/>
      <c r="BA345" s="10"/>
      <c r="BF345" t="str">
        <f t="shared" si="103"/>
        <v/>
      </c>
      <c r="BG345" s="27" t="str">
        <f t="shared" si="104"/>
        <v/>
      </c>
      <c r="BH345" t="str">
        <f t="shared" si="105"/>
        <v/>
      </c>
      <c r="BI345" t="str">
        <f t="shared" si="109"/>
        <v/>
      </c>
      <c r="BL345" s="29" t="e">
        <f t="shared" si="92"/>
        <v>#N/A</v>
      </c>
      <c r="BM345" s="29" t="e">
        <f t="shared" si="93"/>
        <v>#N/A</v>
      </c>
    </row>
    <row r="346" spans="17:65" x14ac:dyDescent="0.35">
      <c r="Q346" s="27"/>
      <c r="R346" s="6" t="str">
        <f>IF(Q346="","",SUMIFS(tblAnalysis[P&amp;L SOL],tblAnalysis[Date],Q346))</f>
        <v/>
      </c>
      <c r="S346" s="10" t="str">
        <f>IF(Q346="","",SUMIFS(tblAnalysis[P&amp;L %],tblAnalysis[Date],Q346))</f>
        <v/>
      </c>
      <c r="T346" s="6" t="str">
        <f>IF(Q346="","",IFERROR(SUM($R$2:R346),""))</f>
        <v/>
      </c>
      <c r="U346" t="str">
        <f>IF(Q346="","",COUNTIFS(tblAnalysis[Date],Q346))</f>
        <v/>
      </c>
      <c r="V346" t="str">
        <f>IF(R346="","",COUNTIFS(tblAnalysis[Date],R346))</f>
        <v/>
      </c>
      <c r="W346" s="27" t="str">
        <f t="shared" si="94"/>
        <v/>
      </c>
      <c r="X346" s="6" t="str">
        <f t="shared" si="95"/>
        <v/>
      </c>
      <c r="Y346" s="6" t="str">
        <f>IF(Q346="","",MAX(X346,_xlfn.MAXIFS(tblAnalysis[Cum P&amp;L SOL],tblAnalysis[Date],Q346)))</f>
        <v/>
      </c>
      <c r="Z346" s="6" t="str">
        <f>IF(Q346="","",MIN(X346,_xlfn.MINIFS(tblAnalysis[Cum P&amp;L SOL],tblAnalysis[Date],Q346)))</f>
        <v/>
      </c>
      <c r="AA346" s="6" t="str">
        <f t="shared" si="96"/>
        <v/>
      </c>
      <c r="AB346" s="6" t="str">
        <f t="shared" si="106"/>
        <v/>
      </c>
      <c r="AC346" s="27" t="str">
        <f t="shared" si="97"/>
        <v/>
      </c>
      <c r="AD346" s="10" t="str">
        <f t="shared" si="98"/>
        <v/>
      </c>
      <c r="AE346" s="10" t="str">
        <f t="shared" si="99"/>
        <v/>
      </c>
      <c r="AF346" s="10" t="str">
        <f t="shared" si="100"/>
        <v/>
      </c>
      <c r="AG346" s="10" t="str">
        <f t="shared" si="107"/>
        <v/>
      </c>
      <c r="AH346" t="str">
        <f t="shared" si="101"/>
        <v/>
      </c>
      <c r="AI346" t="str">
        <f t="shared" si="102"/>
        <v/>
      </c>
      <c r="AJ346" t="str">
        <f t="shared" si="108"/>
        <v/>
      </c>
      <c r="AK346" t="str" cm="1">
        <f t="array" ref="AK346">IFERROR(IF(INDEX($A:$A,ROW())="","",INDEX($A:$A,ROW())),"")</f>
        <v/>
      </c>
      <c r="AL346" t="str" cm="1">
        <f t="array" ref="AL346">IFERROR(INDEX(tblTrades[sol_invested],ROW()-1),"")</f>
        <v/>
      </c>
      <c r="AM346" s="6" t="str" cm="1">
        <f t="array" ref="AM346">IFERROR(INDEX(tblAnalysis[P&amp;L SOL],ROW()-1),"")</f>
        <v/>
      </c>
      <c r="AN346" t="str" cm="1">
        <f t="array" ref="AN346">IFERROR(IF(INDEX(tblTrades[sol_invested],ROW()-1)&gt;0.5,INDEX(tblAnalysis[Token],ROW()-1)&amp;" ("&amp;TEXT(INDEX(tblTrades[sol_invested],ROW()-1),"0.0")&amp;" SOL)",""),"")</f>
        <v/>
      </c>
      <c r="AO346" s="7"/>
      <c r="AP346" s="12" t="str" cm="1">
        <f t="array" ref="AP346">IFERROR(INDEX(tblAnalysis[Entry MC ($)],ROW()-1),"")</f>
        <v/>
      </c>
      <c r="AQ346" s="10" t="str" cm="1">
        <f t="array" ref="AQ346">IFERROR(INDEX(tblAnalysis[P&amp;L %],ROW()-1),"")</f>
        <v/>
      </c>
      <c r="AR346" t="str" cm="1">
        <f t="array" ref="AR346">IFERROR(INDEX(tblAnalysis[Hold Time (s)],ROW()-1),"")</f>
        <v/>
      </c>
      <c r="AS346" s="6" t="str" cm="1">
        <f t="array" ref="AS346">IFERROR(INDEX(tblAnalysis[P&amp;L SOL],ROW()-1),"")</f>
        <v/>
      </c>
      <c r="AT346" s="6" t="str">
        <f t="array" ref="AT346">IFERROR(INDEX(tblAnalysis[P&amp;L SOL],ROW()-1),"")</f>
        <v/>
      </c>
      <c r="AZ346" s="10"/>
      <c r="BA346" s="10"/>
      <c r="BF346" t="str">
        <f t="shared" si="103"/>
        <v/>
      </c>
      <c r="BG346" s="27" t="str">
        <f t="shared" si="104"/>
        <v/>
      </c>
      <c r="BH346" t="str">
        <f t="shared" si="105"/>
        <v/>
      </c>
      <c r="BI346" t="str">
        <f t="shared" si="109"/>
        <v/>
      </c>
      <c r="BL346" s="29" t="e">
        <f t="shared" si="92"/>
        <v>#N/A</v>
      </c>
      <c r="BM346" s="29" t="e">
        <f t="shared" si="93"/>
        <v>#N/A</v>
      </c>
    </row>
    <row r="347" spans="17:65" x14ac:dyDescent="0.35">
      <c r="Q347" s="27"/>
      <c r="R347" s="6" t="str">
        <f>IF(Q347="","",SUMIFS(tblAnalysis[P&amp;L SOL],tblAnalysis[Date],Q347))</f>
        <v/>
      </c>
      <c r="S347" s="10" t="str">
        <f>IF(Q347="","",SUMIFS(tblAnalysis[P&amp;L %],tblAnalysis[Date],Q347))</f>
        <v/>
      </c>
      <c r="T347" s="6" t="str">
        <f>IF(Q347="","",IFERROR(SUM($R$2:R347),""))</f>
        <v/>
      </c>
      <c r="U347" t="str">
        <f>IF(Q347="","",COUNTIFS(tblAnalysis[Date],Q347))</f>
        <v/>
      </c>
      <c r="V347" t="str">
        <f>IF(R347="","",COUNTIFS(tblAnalysis[Date],R347))</f>
        <v/>
      </c>
      <c r="W347" s="27" t="str">
        <f t="shared" si="94"/>
        <v/>
      </c>
      <c r="X347" s="6" t="str">
        <f t="shared" si="95"/>
        <v/>
      </c>
      <c r="Y347" s="6" t="str">
        <f>IF(Q347="","",MAX(X347,_xlfn.MAXIFS(tblAnalysis[Cum P&amp;L SOL],tblAnalysis[Date],Q347)))</f>
        <v/>
      </c>
      <c r="Z347" s="6" t="str">
        <f>IF(Q347="","",MIN(X347,_xlfn.MINIFS(tblAnalysis[Cum P&amp;L SOL],tblAnalysis[Date],Q347)))</f>
        <v/>
      </c>
      <c r="AA347" s="6" t="str">
        <f t="shared" si="96"/>
        <v/>
      </c>
      <c r="AB347" s="6" t="str">
        <f t="shared" si="106"/>
        <v/>
      </c>
      <c r="AC347" s="27" t="str">
        <f t="shared" si="97"/>
        <v/>
      </c>
      <c r="AD347" s="10" t="str">
        <f t="shared" si="98"/>
        <v/>
      </c>
      <c r="AE347" s="10" t="str">
        <f t="shared" si="99"/>
        <v/>
      </c>
      <c r="AF347" s="10" t="str">
        <f t="shared" si="100"/>
        <v/>
      </c>
      <c r="AG347" s="10" t="str">
        <f t="shared" si="107"/>
        <v/>
      </c>
      <c r="AH347" t="str">
        <f t="shared" si="101"/>
        <v/>
      </c>
      <c r="AI347" t="str">
        <f t="shared" si="102"/>
        <v/>
      </c>
      <c r="AJ347" t="str">
        <f t="shared" si="108"/>
        <v/>
      </c>
      <c r="AK347" t="str" cm="1">
        <f t="array" ref="AK347">IFERROR(IF(INDEX($A:$A,ROW())="","",INDEX($A:$A,ROW())),"")</f>
        <v/>
      </c>
      <c r="AL347" t="str" cm="1">
        <f t="array" ref="AL347">IFERROR(INDEX(tblTrades[sol_invested],ROW()-1),"")</f>
        <v/>
      </c>
      <c r="AM347" s="6" t="str" cm="1">
        <f t="array" ref="AM347">IFERROR(INDEX(tblAnalysis[P&amp;L SOL],ROW()-1),"")</f>
        <v/>
      </c>
      <c r="AN347" t="str" cm="1">
        <f t="array" ref="AN347">IFERROR(IF(INDEX(tblTrades[sol_invested],ROW()-1)&gt;0.5,INDEX(tblAnalysis[Token],ROW()-1)&amp;" ("&amp;TEXT(INDEX(tblTrades[sol_invested],ROW()-1),"0.0")&amp;" SOL)",""),"")</f>
        <v/>
      </c>
      <c r="AO347" s="7"/>
      <c r="AP347" s="12" t="str" cm="1">
        <f t="array" ref="AP347">IFERROR(INDEX(tblAnalysis[Entry MC ($)],ROW()-1),"")</f>
        <v/>
      </c>
      <c r="AQ347" s="10" t="str" cm="1">
        <f t="array" ref="AQ347">IFERROR(INDEX(tblAnalysis[P&amp;L %],ROW()-1),"")</f>
        <v/>
      </c>
      <c r="AR347" t="str" cm="1">
        <f t="array" ref="AR347">IFERROR(INDEX(tblAnalysis[Hold Time (s)],ROW()-1),"")</f>
        <v/>
      </c>
      <c r="AS347" s="6" t="str" cm="1">
        <f t="array" ref="AS347">IFERROR(INDEX(tblAnalysis[P&amp;L SOL],ROW()-1),"")</f>
        <v/>
      </c>
      <c r="AT347" s="6" t="str">
        <f t="array" ref="AT347">IFERROR(INDEX(tblAnalysis[P&amp;L SOL],ROW()-1),"")</f>
        <v/>
      </c>
      <c r="AZ347" s="10"/>
      <c r="BA347" s="10"/>
      <c r="BF347" t="str">
        <f t="shared" si="103"/>
        <v/>
      </c>
      <c r="BG347" s="27" t="str">
        <f t="shared" si="104"/>
        <v/>
      </c>
      <c r="BH347" t="str">
        <f t="shared" si="105"/>
        <v/>
      </c>
      <c r="BI347" t="str">
        <f t="shared" si="109"/>
        <v/>
      </c>
      <c r="BL347" s="29" t="e">
        <f t="shared" si="92"/>
        <v>#N/A</v>
      </c>
      <c r="BM347" s="29" t="e">
        <f t="shared" si="93"/>
        <v>#N/A</v>
      </c>
    </row>
    <row r="348" spans="17:65" x14ac:dyDescent="0.35">
      <c r="Q348" s="27"/>
      <c r="R348" s="6" t="str">
        <f>IF(Q348="","",SUMIFS(tblAnalysis[P&amp;L SOL],tblAnalysis[Date],Q348))</f>
        <v/>
      </c>
      <c r="S348" s="10" t="str">
        <f>IF(Q348="","",SUMIFS(tblAnalysis[P&amp;L %],tblAnalysis[Date],Q348))</f>
        <v/>
      </c>
      <c r="T348" s="6" t="str">
        <f>IF(Q348="","",IFERROR(SUM($R$2:R348),""))</f>
        <v/>
      </c>
      <c r="U348" t="str">
        <f>IF(Q348="","",COUNTIFS(tblAnalysis[Date],Q348))</f>
        <v/>
      </c>
      <c r="V348" t="str">
        <f>IF(R348="","",COUNTIFS(tblAnalysis[Date],R348))</f>
        <v/>
      </c>
      <c r="W348" s="27" t="str">
        <f t="shared" si="94"/>
        <v/>
      </c>
      <c r="X348" s="6" t="str">
        <f t="shared" si="95"/>
        <v/>
      </c>
      <c r="Y348" s="6" t="str">
        <f>IF(Q348="","",MAX(X348,_xlfn.MAXIFS(tblAnalysis[Cum P&amp;L SOL],tblAnalysis[Date],Q348)))</f>
        <v/>
      </c>
      <c r="Z348" s="6" t="str">
        <f>IF(Q348="","",MIN(X348,_xlfn.MINIFS(tblAnalysis[Cum P&amp;L SOL],tblAnalysis[Date],Q348)))</f>
        <v/>
      </c>
      <c r="AA348" s="6" t="str">
        <f t="shared" si="96"/>
        <v/>
      </c>
      <c r="AB348" s="6" t="str">
        <f t="shared" si="106"/>
        <v/>
      </c>
      <c r="AC348" s="27" t="str">
        <f t="shared" si="97"/>
        <v/>
      </c>
      <c r="AD348" s="10" t="str">
        <f t="shared" si="98"/>
        <v/>
      </c>
      <c r="AE348" s="10" t="str">
        <f t="shared" si="99"/>
        <v/>
      </c>
      <c r="AF348" s="10" t="str">
        <f t="shared" si="100"/>
        <v/>
      </c>
      <c r="AG348" s="10" t="str">
        <f t="shared" si="107"/>
        <v/>
      </c>
      <c r="AH348" t="str">
        <f t="shared" si="101"/>
        <v/>
      </c>
      <c r="AI348" t="str">
        <f t="shared" si="102"/>
        <v/>
      </c>
      <c r="AJ348" t="str">
        <f t="shared" si="108"/>
        <v/>
      </c>
      <c r="AK348" t="str" cm="1">
        <f t="array" ref="AK348">IFERROR(IF(INDEX($A:$A,ROW())="","",INDEX($A:$A,ROW())),"")</f>
        <v/>
      </c>
      <c r="AL348" t="str" cm="1">
        <f t="array" ref="AL348">IFERROR(INDEX(tblTrades[sol_invested],ROW()-1),"")</f>
        <v/>
      </c>
      <c r="AM348" s="6" t="str" cm="1">
        <f t="array" ref="AM348">IFERROR(INDEX(tblAnalysis[P&amp;L SOL],ROW()-1),"")</f>
        <v/>
      </c>
      <c r="AN348" t="str" cm="1">
        <f t="array" ref="AN348">IFERROR(IF(INDEX(tblTrades[sol_invested],ROW()-1)&gt;0.5,INDEX(tblAnalysis[Token],ROW()-1)&amp;" ("&amp;TEXT(INDEX(tblTrades[sol_invested],ROW()-1),"0.0")&amp;" SOL)",""),"")</f>
        <v/>
      </c>
      <c r="AO348" s="7"/>
      <c r="AP348" s="12" t="str" cm="1">
        <f t="array" ref="AP348">IFERROR(INDEX(tblAnalysis[Entry MC ($)],ROW()-1),"")</f>
        <v/>
      </c>
      <c r="AQ348" s="10" t="str" cm="1">
        <f t="array" ref="AQ348">IFERROR(INDEX(tblAnalysis[P&amp;L %],ROW()-1),"")</f>
        <v/>
      </c>
      <c r="AR348" t="str" cm="1">
        <f t="array" ref="AR348">IFERROR(INDEX(tblAnalysis[Hold Time (s)],ROW()-1),"")</f>
        <v/>
      </c>
      <c r="AS348" s="6" t="str" cm="1">
        <f t="array" ref="AS348">IFERROR(INDEX(tblAnalysis[P&amp;L SOL],ROW()-1),"")</f>
        <v/>
      </c>
      <c r="AT348" s="6" t="str">
        <f t="array" ref="AT348">IFERROR(INDEX(tblAnalysis[P&amp;L SOL],ROW()-1),"")</f>
        <v/>
      </c>
      <c r="AZ348" s="10"/>
      <c r="BA348" s="10"/>
      <c r="BF348" t="str">
        <f t="shared" si="103"/>
        <v/>
      </c>
      <c r="BG348" s="27" t="str">
        <f t="shared" si="104"/>
        <v/>
      </c>
      <c r="BH348" t="str">
        <f t="shared" si="105"/>
        <v/>
      </c>
      <c r="BI348" t="str">
        <f t="shared" si="109"/>
        <v/>
      </c>
      <c r="BL348" s="29" t="e">
        <f t="shared" si="92"/>
        <v>#N/A</v>
      </c>
      <c r="BM348" s="29" t="e">
        <f t="shared" si="93"/>
        <v>#N/A</v>
      </c>
    </row>
    <row r="349" spans="17:65" x14ac:dyDescent="0.35">
      <c r="Q349" s="27"/>
      <c r="R349" s="6" t="str">
        <f>IF(Q349="","",SUMIFS(tblAnalysis[P&amp;L SOL],tblAnalysis[Date],Q349))</f>
        <v/>
      </c>
      <c r="S349" s="10" t="str">
        <f>IF(Q349="","",SUMIFS(tblAnalysis[P&amp;L %],tblAnalysis[Date],Q349))</f>
        <v/>
      </c>
      <c r="T349" s="6" t="str">
        <f>IF(Q349="","",IFERROR(SUM($R$2:R349),""))</f>
        <v/>
      </c>
      <c r="U349" t="str">
        <f>IF(Q349="","",COUNTIFS(tblAnalysis[Date],Q349))</f>
        <v/>
      </c>
      <c r="V349" t="str">
        <f>IF(R349="","",COUNTIFS(tblAnalysis[Date],R349))</f>
        <v/>
      </c>
      <c r="W349" s="27" t="str">
        <f t="shared" si="94"/>
        <v/>
      </c>
      <c r="X349" s="6" t="str">
        <f t="shared" si="95"/>
        <v/>
      </c>
      <c r="Y349" s="6" t="str">
        <f>IF(Q349="","",MAX(X349,_xlfn.MAXIFS(tblAnalysis[Cum P&amp;L SOL],tblAnalysis[Date],Q349)))</f>
        <v/>
      </c>
      <c r="Z349" s="6" t="str">
        <f>IF(Q349="","",MIN(X349,_xlfn.MINIFS(tblAnalysis[Cum P&amp;L SOL],tblAnalysis[Date],Q349)))</f>
        <v/>
      </c>
      <c r="AA349" s="6" t="str">
        <f t="shared" si="96"/>
        <v/>
      </c>
      <c r="AB349" s="6" t="str">
        <f t="shared" si="106"/>
        <v/>
      </c>
      <c r="AC349" s="27" t="str">
        <f t="shared" si="97"/>
        <v/>
      </c>
      <c r="AD349" s="10" t="str">
        <f t="shared" si="98"/>
        <v/>
      </c>
      <c r="AE349" s="10" t="str">
        <f t="shared" si="99"/>
        <v/>
      </c>
      <c r="AF349" s="10" t="str">
        <f t="shared" si="100"/>
        <v/>
      </c>
      <c r="AG349" s="10" t="str">
        <f t="shared" si="107"/>
        <v/>
      </c>
      <c r="AH349" t="str">
        <f t="shared" si="101"/>
        <v/>
      </c>
      <c r="AI349" t="str">
        <f t="shared" si="102"/>
        <v/>
      </c>
      <c r="AJ349" t="str">
        <f t="shared" si="108"/>
        <v/>
      </c>
      <c r="AK349" t="str" cm="1">
        <f t="array" ref="AK349">IFERROR(IF(INDEX($A:$A,ROW())="","",INDEX($A:$A,ROW())),"")</f>
        <v/>
      </c>
      <c r="AL349" t="str" cm="1">
        <f t="array" ref="AL349">IFERROR(INDEX(tblTrades[sol_invested],ROW()-1),"")</f>
        <v/>
      </c>
      <c r="AM349" s="6" t="str" cm="1">
        <f t="array" ref="AM349">IFERROR(INDEX(tblAnalysis[P&amp;L SOL],ROW()-1),"")</f>
        <v/>
      </c>
      <c r="AN349" t="str" cm="1">
        <f t="array" ref="AN349">IFERROR(IF(INDEX(tblTrades[sol_invested],ROW()-1)&gt;0.5,INDEX(tblAnalysis[Token],ROW()-1)&amp;" ("&amp;TEXT(INDEX(tblTrades[sol_invested],ROW()-1),"0.0")&amp;" SOL)",""),"")</f>
        <v/>
      </c>
      <c r="AO349" s="7"/>
      <c r="AP349" s="12" t="str" cm="1">
        <f t="array" ref="AP349">IFERROR(INDEX(tblAnalysis[Entry MC ($)],ROW()-1),"")</f>
        <v/>
      </c>
      <c r="AQ349" s="10" t="str" cm="1">
        <f t="array" ref="AQ349">IFERROR(INDEX(tblAnalysis[P&amp;L %],ROW()-1),"")</f>
        <v/>
      </c>
      <c r="AR349" t="str" cm="1">
        <f t="array" ref="AR349">IFERROR(INDEX(tblAnalysis[Hold Time (s)],ROW()-1),"")</f>
        <v/>
      </c>
      <c r="AS349" s="6" t="str" cm="1">
        <f t="array" ref="AS349">IFERROR(INDEX(tblAnalysis[P&amp;L SOL],ROW()-1),"")</f>
        <v/>
      </c>
      <c r="AT349" s="6" t="str">
        <f t="array" ref="AT349">IFERROR(INDEX(tblAnalysis[P&amp;L SOL],ROW()-1),"")</f>
        <v/>
      </c>
      <c r="AZ349" s="10"/>
      <c r="BA349" s="10"/>
      <c r="BF349" t="str">
        <f t="shared" si="103"/>
        <v/>
      </c>
      <c r="BG349" s="27" t="str">
        <f t="shared" si="104"/>
        <v/>
      </c>
      <c r="BH349" t="str">
        <f t="shared" si="105"/>
        <v/>
      </c>
      <c r="BI349" t="str">
        <f t="shared" si="109"/>
        <v/>
      </c>
      <c r="BL349" s="29" t="e">
        <f t="shared" si="92"/>
        <v>#N/A</v>
      </c>
      <c r="BM349" s="29" t="e">
        <f t="shared" si="93"/>
        <v>#N/A</v>
      </c>
    </row>
    <row r="350" spans="17:65" x14ac:dyDescent="0.35">
      <c r="Q350" s="27"/>
      <c r="R350" s="6" t="str">
        <f>IF(Q350="","",SUMIFS(tblAnalysis[P&amp;L SOL],tblAnalysis[Date],Q350))</f>
        <v/>
      </c>
      <c r="S350" s="10" t="str">
        <f>IF(Q350="","",SUMIFS(tblAnalysis[P&amp;L %],tblAnalysis[Date],Q350))</f>
        <v/>
      </c>
      <c r="T350" s="6" t="str">
        <f>IF(Q350="","",IFERROR(SUM($R$2:R350),""))</f>
        <v/>
      </c>
      <c r="U350" t="str">
        <f>IF(Q350="","",COUNTIFS(tblAnalysis[Date],Q350))</f>
        <v/>
      </c>
      <c r="V350" t="str">
        <f>IF(R350="","",COUNTIFS(tblAnalysis[Date],R350))</f>
        <v/>
      </c>
      <c r="W350" s="27" t="str">
        <f t="shared" si="94"/>
        <v/>
      </c>
      <c r="X350" s="6" t="str">
        <f t="shared" si="95"/>
        <v/>
      </c>
      <c r="Y350" s="6" t="str">
        <f>IF(Q350="","",MAX(X350,_xlfn.MAXIFS(tblAnalysis[Cum P&amp;L SOL],tblAnalysis[Date],Q350)))</f>
        <v/>
      </c>
      <c r="Z350" s="6" t="str">
        <f>IF(Q350="","",MIN(X350,_xlfn.MINIFS(tblAnalysis[Cum P&amp;L SOL],tblAnalysis[Date],Q350)))</f>
        <v/>
      </c>
      <c r="AA350" s="6" t="str">
        <f t="shared" si="96"/>
        <v/>
      </c>
      <c r="AB350" s="6" t="str">
        <f t="shared" si="106"/>
        <v/>
      </c>
      <c r="AC350" s="27" t="str">
        <f t="shared" si="97"/>
        <v/>
      </c>
      <c r="AD350" s="10" t="str">
        <f t="shared" si="98"/>
        <v/>
      </c>
      <c r="AE350" s="10" t="str">
        <f t="shared" si="99"/>
        <v/>
      </c>
      <c r="AF350" s="10" t="str">
        <f t="shared" si="100"/>
        <v/>
      </c>
      <c r="AG350" s="10" t="str">
        <f t="shared" si="107"/>
        <v/>
      </c>
      <c r="AH350" t="str">
        <f t="shared" si="101"/>
        <v/>
      </c>
      <c r="AI350" t="str">
        <f t="shared" si="102"/>
        <v/>
      </c>
      <c r="AJ350" t="str">
        <f t="shared" si="108"/>
        <v/>
      </c>
      <c r="AK350" t="str" cm="1">
        <f t="array" ref="AK350">IFERROR(IF(INDEX($A:$A,ROW())="","",INDEX($A:$A,ROW())),"")</f>
        <v/>
      </c>
      <c r="AL350" t="str" cm="1">
        <f t="array" ref="AL350">IFERROR(INDEX(tblTrades[sol_invested],ROW()-1),"")</f>
        <v/>
      </c>
      <c r="AM350" s="6" t="str" cm="1">
        <f t="array" ref="AM350">IFERROR(INDEX(tblAnalysis[P&amp;L SOL],ROW()-1),"")</f>
        <v/>
      </c>
      <c r="AN350" t="str" cm="1">
        <f t="array" ref="AN350">IFERROR(IF(INDEX(tblTrades[sol_invested],ROW()-1)&gt;0.5,INDEX(tblAnalysis[Token],ROW()-1)&amp;" ("&amp;TEXT(INDEX(tblTrades[sol_invested],ROW()-1),"0.0")&amp;" SOL)",""),"")</f>
        <v/>
      </c>
      <c r="AO350" s="7"/>
      <c r="AP350" s="12" t="str" cm="1">
        <f t="array" ref="AP350">IFERROR(INDEX(tblAnalysis[Entry MC ($)],ROW()-1),"")</f>
        <v/>
      </c>
      <c r="AQ350" s="10" t="str" cm="1">
        <f t="array" ref="AQ350">IFERROR(INDEX(tblAnalysis[P&amp;L %],ROW()-1),"")</f>
        <v/>
      </c>
      <c r="AR350" t="str" cm="1">
        <f t="array" ref="AR350">IFERROR(INDEX(tblAnalysis[Hold Time (s)],ROW()-1),"")</f>
        <v/>
      </c>
      <c r="AS350" s="6" t="str" cm="1">
        <f t="array" ref="AS350">IFERROR(INDEX(tblAnalysis[P&amp;L SOL],ROW()-1),"")</f>
        <v/>
      </c>
      <c r="AT350" s="6" t="str">
        <f t="array" ref="AT350">IFERROR(INDEX(tblAnalysis[P&amp;L SOL],ROW()-1),"")</f>
        <v/>
      </c>
      <c r="AZ350" s="10"/>
      <c r="BA350" s="10"/>
      <c r="BF350" t="str">
        <f t="shared" si="103"/>
        <v/>
      </c>
      <c r="BG350" s="27" t="str">
        <f t="shared" si="104"/>
        <v/>
      </c>
      <c r="BH350" t="str">
        <f t="shared" si="105"/>
        <v/>
      </c>
      <c r="BI350" t="str">
        <f t="shared" si="109"/>
        <v/>
      </c>
      <c r="BL350" s="29" t="e">
        <f t="shared" si="92"/>
        <v>#N/A</v>
      </c>
      <c r="BM350" s="29" t="e">
        <f t="shared" si="93"/>
        <v>#N/A</v>
      </c>
    </row>
    <row r="351" spans="17:65" x14ac:dyDescent="0.35">
      <c r="Q351" s="27"/>
      <c r="R351" s="6" t="str">
        <f>IF(Q351="","",SUMIFS(tblAnalysis[P&amp;L SOL],tblAnalysis[Date],Q351))</f>
        <v/>
      </c>
      <c r="S351" s="10" t="str">
        <f>IF(Q351="","",SUMIFS(tblAnalysis[P&amp;L %],tblAnalysis[Date],Q351))</f>
        <v/>
      </c>
      <c r="T351" s="6" t="str">
        <f>IF(Q351="","",IFERROR(SUM($R$2:R351),""))</f>
        <v/>
      </c>
      <c r="U351" t="str">
        <f>IF(Q351="","",COUNTIFS(tblAnalysis[Date],Q351))</f>
        <v/>
      </c>
      <c r="V351" t="str">
        <f>IF(R351="","",COUNTIFS(tblAnalysis[Date],R351))</f>
        <v/>
      </c>
      <c r="W351" s="27" t="str">
        <f t="shared" si="94"/>
        <v/>
      </c>
      <c r="X351" s="6" t="str">
        <f t="shared" si="95"/>
        <v/>
      </c>
      <c r="Y351" s="6" t="str">
        <f>IF(Q351="","",MAX(X351,_xlfn.MAXIFS(tblAnalysis[Cum P&amp;L SOL],tblAnalysis[Date],Q351)))</f>
        <v/>
      </c>
      <c r="Z351" s="6" t="str">
        <f>IF(Q351="","",MIN(X351,_xlfn.MINIFS(tblAnalysis[Cum P&amp;L SOL],tblAnalysis[Date],Q351)))</f>
        <v/>
      </c>
      <c r="AA351" s="6" t="str">
        <f t="shared" si="96"/>
        <v/>
      </c>
      <c r="AB351" s="6" t="str">
        <f t="shared" si="106"/>
        <v/>
      </c>
      <c r="AC351" s="27" t="str">
        <f t="shared" si="97"/>
        <v/>
      </c>
      <c r="AD351" s="10" t="str">
        <f t="shared" si="98"/>
        <v/>
      </c>
      <c r="AE351" s="10" t="str">
        <f t="shared" si="99"/>
        <v/>
      </c>
      <c r="AF351" s="10" t="str">
        <f t="shared" si="100"/>
        <v/>
      </c>
      <c r="AG351" s="10" t="str">
        <f t="shared" si="107"/>
        <v/>
      </c>
      <c r="AH351" t="str">
        <f t="shared" si="101"/>
        <v/>
      </c>
      <c r="AI351" t="str">
        <f t="shared" si="102"/>
        <v/>
      </c>
      <c r="AJ351" t="str">
        <f t="shared" si="108"/>
        <v/>
      </c>
      <c r="AK351" t="str" cm="1">
        <f t="array" ref="AK351">IFERROR(IF(INDEX($A:$A,ROW())="","",INDEX($A:$A,ROW())),"")</f>
        <v/>
      </c>
      <c r="AL351" t="str" cm="1">
        <f t="array" ref="AL351">IFERROR(INDEX(tblTrades[sol_invested],ROW()-1),"")</f>
        <v/>
      </c>
      <c r="AM351" s="6" t="str" cm="1">
        <f t="array" ref="AM351">IFERROR(INDEX(tblAnalysis[P&amp;L SOL],ROW()-1),"")</f>
        <v/>
      </c>
      <c r="AN351" t="str" cm="1">
        <f t="array" ref="AN351">IFERROR(IF(INDEX(tblTrades[sol_invested],ROW()-1)&gt;0.5,INDEX(tblAnalysis[Token],ROW()-1)&amp;" ("&amp;TEXT(INDEX(tblTrades[sol_invested],ROW()-1),"0.0")&amp;" SOL)",""),"")</f>
        <v/>
      </c>
      <c r="AO351" s="7"/>
      <c r="AP351" s="12" t="str" cm="1">
        <f t="array" ref="AP351">IFERROR(INDEX(tblAnalysis[Entry MC ($)],ROW()-1),"")</f>
        <v/>
      </c>
      <c r="AQ351" s="10" t="str" cm="1">
        <f t="array" ref="AQ351">IFERROR(INDEX(tblAnalysis[P&amp;L %],ROW()-1),"")</f>
        <v/>
      </c>
      <c r="AR351" t="str" cm="1">
        <f t="array" ref="AR351">IFERROR(INDEX(tblAnalysis[Hold Time (s)],ROW()-1),"")</f>
        <v/>
      </c>
      <c r="AS351" s="6" t="str" cm="1">
        <f t="array" ref="AS351">IFERROR(INDEX(tblAnalysis[P&amp;L SOL],ROW()-1),"")</f>
        <v/>
      </c>
      <c r="AT351" s="6" t="str">
        <f t="array" ref="AT351">IFERROR(INDEX(tblAnalysis[P&amp;L SOL],ROW()-1),"")</f>
        <v/>
      </c>
      <c r="AZ351" s="10"/>
      <c r="BA351" s="10"/>
      <c r="BF351" t="str">
        <f t="shared" si="103"/>
        <v/>
      </c>
      <c r="BG351" s="27" t="str">
        <f t="shared" si="104"/>
        <v/>
      </c>
      <c r="BH351" t="str">
        <f t="shared" si="105"/>
        <v/>
      </c>
      <c r="BI351" t="str">
        <f t="shared" si="109"/>
        <v/>
      </c>
      <c r="BL351" s="29" t="e">
        <f t="shared" si="92"/>
        <v>#N/A</v>
      </c>
      <c r="BM351" s="29" t="e">
        <f t="shared" si="93"/>
        <v>#N/A</v>
      </c>
    </row>
    <row r="352" spans="17:65" x14ac:dyDescent="0.35">
      <c r="Q352" s="27"/>
      <c r="R352" s="6" t="str">
        <f>IF(Q352="","",SUMIFS(tblAnalysis[P&amp;L SOL],tblAnalysis[Date],Q352))</f>
        <v/>
      </c>
      <c r="S352" s="10" t="str">
        <f>IF(Q352="","",SUMIFS(tblAnalysis[P&amp;L %],tblAnalysis[Date],Q352))</f>
        <v/>
      </c>
      <c r="T352" s="6" t="str">
        <f>IF(Q352="","",IFERROR(SUM($R$2:R352),""))</f>
        <v/>
      </c>
      <c r="U352" t="str">
        <f>IF(Q352="","",COUNTIFS(tblAnalysis[Date],Q352))</f>
        <v/>
      </c>
      <c r="V352" t="str">
        <f>IF(R352="","",COUNTIFS(tblAnalysis[Date],R352))</f>
        <v/>
      </c>
      <c r="W352" s="27" t="str">
        <f t="shared" si="94"/>
        <v/>
      </c>
      <c r="X352" s="6" t="str">
        <f t="shared" si="95"/>
        <v/>
      </c>
      <c r="Y352" s="6" t="str">
        <f>IF(Q352="","",MAX(X352,_xlfn.MAXIFS(tblAnalysis[Cum P&amp;L SOL],tblAnalysis[Date],Q352)))</f>
        <v/>
      </c>
      <c r="Z352" s="6" t="str">
        <f>IF(Q352="","",MIN(X352,_xlfn.MINIFS(tblAnalysis[Cum P&amp;L SOL],tblAnalysis[Date],Q352)))</f>
        <v/>
      </c>
      <c r="AA352" s="6" t="str">
        <f t="shared" si="96"/>
        <v/>
      </c>
      <c r="AB352" s="6" t="str">
        <f t="shared" si="106"/>
        <v/>
      </c>
      <c r="AC352" s="27" t="str">
        <f t="shared" si="97"/>
        <v/>
      </c>
      <c r="AD352" s="10" t="str">
        <f t="shared" si="98"/>
        <v/>
      </c>
      <c r="AE352" s="10" t="str">
        <f t="shared" si="99"/>
        <v/>
      </c>
      <c r="AF352" s="10" t="str">
        <f t="shared" si="100"/>
        <v/>
      </c>
      <c r="AG352" s="10" t="str">
        <f t="shared" si="107"/>
        <v/>
      </c>
      <c r="AH352" t="str">
        <f t="shared" si="101"/>
        <v/>
      </c>
      <c r="AI352" t="str">
        <f t="shared" si="102"/>
        <v/>
      </c>
      <c r="AJ352" t="str">
        <f t="shared" si="108"/>
        <v/>
      </c>
      <c r="AK352" t="str" cm="1">
        <f t="array" ref="AK352">IFERROR(IF(INDEX($A:$A,ROW())="","",INDEX($A:$A,ROW())),"")</f>
        <v/>
      </c>
      <c r="AL352" t="str" cm="1">
        <f t="array" ref="AL352">IFERROR(INDEX(tblTrades[sol_invested],ROW()-1),"")</f>
        <v/>
      </c>
      <c r="AM352" s="6" t="str" cm="1">
        <f t="array" ref="AM352">IFERROR(INDEX(tblAnalysis[P&amp;L SOL],ROW()-1),"")</f>
        <v/>
      </c>
      <c r="AN352" t="str" cm="1">
        <f t="array" ref="AN352">IFERROR(IF(INDEX(tblTrades[sol_invested],ROW()-1)&gt;0.5,INDEX(tblAnalysis[Token],ROW()-1)&amp;" ("&amp;TEXT(INDEX(tblTrades[sol_invested],ROW()-1),"0.0")&amp;" SOL)",""),"")</f>
        <v/>
      </c>
      <c r="AO352" s="7"/>
      <c r="AP352" s="12" t="str" cm="1">
        <f t="array" ref="AP352">IFERROR(INDEX(tblAnalysis[Entry MC ($)],ROW()-1),"")</f>
        <v/>
      </c>
      <c r="AQ352" s="10" t="str" cm="1">
        <f t="array" ref="AQ352">IFERROR(INDEX(tblAnalysis[P&amp;L %],ROW()-1),"")</f>
        <v/>
      </c>
      <c r="AR352" t="str" cm="1">
        <f t="array" ref="AR352">IFERROR(INDEX(tblAnalysis[Hold Time (s)],ROW()-1),"")</f>
        <v/>
      </c>
      <c r="AS352" s="6" t="str" cm="1">
        <f t="array" ref="AS352">IFERROR(INDEX(tblAnalysis[P&amp;L SOL],ROW()-1),"")</f>
        <v/>
      </c>
      <c r="AT352" s="6" t="str">
        <f t="array" ref="AT352">IFERROR(INDEX(tblAnalysis[P&amp;L SOL],ROW()-1),"")</f>
        <v/>
      </c>
      <c r="AZ352" s="10"/>
      <c r="BA352" s="10"/>
      <c r="BF352" t="str">
        <f t="shared" si="103"/>
        <v/>
      </c>
      <c r="BG352" s="27" t="str">
        <f t="shared" si="104"/>
        <v/>
      </c>
      <c r="BH352" t="str">
        <f t="shared" si="105"/>
        <v/>
      </c>
      <c r="BI352" t="str">
        <f t="shared" si="109"/>
        <v/>
      </c>
      <c r="BL352" s="29" t="e">
        <f t="shared" si="92"/>
        <v>#N/A</v>
      </c>
      <c r="BM352" s="29" t="e">
        <f t="shared" si="93"/>
        <v>#N/A</v>
      </c>
    </row>
    <row r="353" spans="17:65" x14ac:dyDescent="0.35">
      <c r="Q353" s="27"/>
      <c r="R353" s="6" t="str">
        <f>IF(Q353="","",SUMIFS(tblAnalysis[P&amp;L SOL],tblAnalysis[Date],Q353))</f>
        <v/>
      </c>
      <c r="S353" s="10" t="str">
        <f>IF(Q353="","",SUMIFS(tblAnalysis[P&amp;L %],tblAnalysis[Date],Q353))</f>
        <v/>
      </c>
      <c r="T353" s="6" t="str">
        <f>IF(Q353="","",IFERROR(SUM($R$2:R353),""))</f>
        <v/>
      </c>
      <c r="U353" t="str">
        <f>IF(Q353="","",COUNTIFS(tblAnalysis[Date],Q353))</f>
        <v/>
      </c>
      <c r="V353" t="str">
        <f>IF(R353="","",COUNTIFS(tblAnalysis[Date],R353))</f>
        <v/>
      </c>
      <c r="W353" s="27" t="str">
        <f t="shared" si="94"/>
        <v/>
      </c>
      <c r="X353" s="6" t="str">
        <f t="shared" si="95"/>
        <v/>
      </c>
      <c r="Y353" s="6" t="str">
        <f>IF(Q353="","",MAX(X353,_xlfn.MAXIFS(tblAnalysis[Cum P&amp;L SOL],tblAnalysis[Date],Q353)))</f>
        <v/>
      </c>
      <c r="Z353" s="6" t="str">
        <f>IF(Q353="","",MIN(X353,_xlfn.MINIFS(tblAnalysis[Cum P&amp;L SOL],tblAnalysis[Date],Q353)))</f>
        <v/>
      </c>
      <c r="AA353" s="6" t="str">
        <f t="shared" si="96"/>
        <v/>
      </c>
      <c r="AB353" s="6" t="str">
        <f t="shared" si="106"/>
        <v/>
      </c>
      <c r="AC353" s="27" t="str">
        <f t="shared" si="97"/>
        <v/>
      </c>
      <c r="AD353" s="10" t="str">
        <f t="shared" si="98"/>
        <v/>
      </c>
      <c r="AE353" s="10" t="str">
        <f t="shared" si="99"/>
        <v/>
      </c>
      <c r="AF353" s="10" t="str">
        <f t="shared" si="100"/>
        <v/>
      </c>
      <c r="AG353" s="10" t="str">
        <f t="shared" si="107"/>
        <v/>
      </c>
      <c r="AH353" t="str">
        <f t="shared" si="101"/>
        <v/>
      </c>
      <c r="AI353" t="str">
        <f t="shared" si="102"/>
        <v/>
      </c>
      <c r="AJ353" t="str">
        <f t="shared" si="108"/>
        <v/>
      </c>
      <c r="AK353" t="str" cm="1">
        <f t="array" ref="AK353">IFERROR(IF(INDEX($A:$A,ROW())="","",INDEX($A:$A,ROW())),"")</f>
        <v/>
      </c>
      <c r="AL353" t="str" cm="1">
        <f t="array" ref="AL353">IFERROR(INDEX(tblTrades[sol_invested],ROW()-1),"")</f>
        <v/>
      </c>
      <c r="AM353" s="6" t="str" cm="1">
        <f t="array" ref="AM353">IFERROR(INDEX(tblAnalysis[P&amp;L SOL],ROW()-1),"")</f>
        <v/>
      </c>
      <c r="AN353" t="str" cm="1">
        <f t="array" ref="AN353">IFERROR(IF(INDEX(tblTrades[sol_invested],ROW()-1)&gt;0.5,INDEX(tblAnalysis[Token],ROW()-1)&amp;" ("&amp;TEXT(INDEX(tblTrades[sol_invested],ROW()-1),"0.0")&amp;" SOL)",""),"")</f>
        <v/>
      </c>
      <c r="AO353" s="7"/>
      <c r="AP353" s="12" t="str" cm="1">
        <f t="array" ref="AP353">IFERROR(INDEX(tblAnalysis[Entry MC ($)],ROW()-1),"")</f>
        <v/>
      </c>
      <c r="AQ353" s="10" t="str" cm="1">
        <f t="array" ref="AQ353">IFERROR(INDEX(tblAnalysis[P&amp;L %],ROW()-1),"")</f>
        <v/>
      </c>
      <c r="AR353" t="str" cm="1">
        <f t="array" ref="AR353">IFERROR(INDEX(tblAnalysis[Hold Time (s)],ROW()-1),"")</f>
        <v/>
      </c>
      <c r="AS353" s="6" t="str" cm="1">
        <f t="array" ref="AS353">IFERROR(INDEX(tblAnalysis[P&amp;L SOL],ROW()-1),"")</f>
        <v/>
      </c>
      <c r="AT353" s="6" t="str">
        <f t="array" ref="AT353">IFERROR(INDEX(tblAnalysis[P&amp;L SOL],ROW()-1),"")</f>
        <v/>
      </c>
      <c r="AZ353" s="10"/>
      <c r="BA353" s="10"/>
      <c r="BF353" t="str">
        <f t="shared" si="103"/>
        <v/>
      </c>
      <c r="BG353" s="27" t="str">
        <f t="shared" si="104"/>
        <v/>
      </c>
      <c r="BH353" t="str">
        <f t="shared" si="105"/>
        <v/>
      </c>
      <c r="BI353" t="str">
        <f t="shared" si="109"/>
        <v/>
      </c>
      <c r="BL353" s="29" t="e">
        <f t="shared" si="92"/>
        <v>#N/A</v>
      </c>
      <c r="BM353" s="29" t="e">
        <f t="shared" si="93"/>
        <v>#N/A</v>
      </c>
    </row>
    <row r="354" spans="17:65" x14ac:dyDescent="0.35">
      <c r="Q354" s="27"/>
      <c r="R354" s="6" t="str">
        <f>IF(Q354="","",SUMIFS(tblAnalysis[P&amp;L SOL],tblAnalysis[Date],Q354))</f>
        <v/>
      </c>
      <c r="S354" s="10" t="str">
        <f>IF(Q354="","",SUMIFS(tblAnalysis[P&amp;L %],tblAnalysis[Date],Q354))</f>
        <v/>
      </c>
      <c r="T354" s="6" t="str">
        <f>IF(Q354="","",IFERROR(SUM($R$2:R354),""))</f>
        <v/>
      </c>
      <c r="U354" t="str">
        <f>IF(Q354="","",COUNTIFS(tblAnalysis[Date],Q354))</f>
        <v/>
      </c>
      <c r="V354" t="str">
        <f>IF(R354="","",COUNTIFS(tblAnalysis[Date],R354))</f>
        <v/>
      </c>
      <c r="W354" s="27" t="str">
        <f t="shared" si="94"/>
        <v/>
      </c>
      <c r="X354" s="6" t="str">
        <f t="shared" si="95"/>
        <v/>
      </c>
      <c r="Y354" s="6" t="str">
        <f>IF(Q354="","",MAX(X354,_xlfn.MAXIFS(tblAnalysis[Cum P&amp;L SOL],tblAnalysis[Date],Q354)))</f>
        <v/>
      </c>
      <c r="Z354" s="6" t="str">
        <f>IF(Q354="","",MIN(X354,_xlfn.MINIFS(tblAnalysis[Cum P&amp;L SOL],tblAnalysis[Date],Q354)))</f>
        <v/>
      </c>
      <c r="AA354" s="6" t="str">
        <f t="shared" si="96"/>
        <v/>
      </c>
      <c r="AB354" s="6" t="str">
        <f t="shared" si="106"/>
        <v/>
      </c>
      <c r="AC354" s="27" t="str">
        <f t="shared" si="97"/>
        <v/>
      </c>
      <c r="AD354" s="10" t="str">
        <f t="shared" si="98"/>
        <v/>
      </c>
      <c r="AE354" s="10" t="str">
        <f t="shared" si="99"/>
        <v/>
      </c>
      <c r="AF354" s="10" t="str">
        <f t="shared" si="100"/>
        <v/>
      </c>
      <c r="AG354" s="10" t="str">
        <f t="shared" si="107"/>
        <v/>
      </c>
      <c r="AH354" t="str">
        <f t="shared" si="101"/>
        <v/>
      </c>
      <c r="AI354" t="str">
        <f t="shared" si="102"/>
        <v/>
      </c>
      <c r="AJ354" t="str">
        <f t="shared" si="108"/>
        <v/>
      </c>
      <c r="AK354" t="str" cm="1">
        <f t="array" ref="AK354">IFERROR(IF(INDEX($A:$A,ROW())="","",INDEX($A:$A,ROW())),"")</f>
        <v/>
      </c>
      <c r="AL354" t="str" cm="1">
        <f t="array" ref="AL354">IFERROR(INDEX(tblTrades[sol_invested],ROW()-1),"")</f>
        <v/>
      </c>
      <c r="AM354" s="6" t="str" cm="1">
        <f t="array" ref="AM354">IFERROR(INDEX(tblAnalysis[P&amp;L SOL],ROW()-1),"")</f>
        <v/>
      </c>
      <c r="AN354" t="str" cm="1">
        <f t="array" ref="AN354">IFERROR(IF(INDEX(tblTrades[sol_invested],ROW()-1)&gt;0.5,INDEX(tblAnalysis[Token],ROW()-1)&amp;" ("&amp;TEXT(INDEX(tblTrades[sol_invested],ROW()-1),"0.0")&amp;" SOL)",""),"")</f>
        <v/>
      </c>
      <c r="AO354" s="7"/>
      <c r="AP354" s="12" t="str" cm="1">
        <f t="array" ref="AP354">IFERROR(INDEX(tblAnalysis[Entry MC ($)],ROW()-1),"")</f>
        <v/>
      </c>
      <c r="AQ354" s="10" t="str" cm="1">
        <f t="array" ref="AQ354">IFERROR(INDEX(tblAnalysis[P&amp;L %],ROW()-1),"")</f>
        <v/>
      </c>
      <c r="AR354" t="str" cm="1">
        <f t="array" ref="AR354">IFERROR(INDEX(tblAnalysis[Hold Time (s)],ROW()-1),"")</f>
        <v/>
      </c>
      <c r="AS354" s="6" t="str" cm="1">
        <f t="array" ref="AS354">IFERROR(INDEX(tblAnalysis[P&amp;L SOL],ROW()-1),"")</f>
        <v/>
      </c>
      <c r="AT354" s="6" t="str">
        <f t="array" ref="AT354">IFERROR(INDEX(tblAnalysis[P&amp;L SOL],ROW()-1),"")</f>
        <v/>
      </c>
      <c r="AZ354" s="10"/>
      <c r="BA354" s="10"/>
      <c r="BF354" t="str">
        <f t="shared" si="103"/>
        <v/>
      </c>
      <c r="BG354" s="27" t="str">
        <f t="shared" si="104"/>
        <v/>
      </c>
      <c r="BH354" t="str">
        <f t="shared" si="105"/>
        <v/>
      </c>
      <c r="BI354" t="str">
        <f t="shared" si="109"/>
        <v/>
      </c>
      <c r="BL354" s="29" t="e">
        <f t="shared" si="92"/>
        <v>#N/A</v>
      </c>
      <c r="BM354" s="29" t="e">
        <f t="shared" si="93"/>
        <v>#N/A</v>
      </c>
    </row>
    <row r="355" spans="17:65" x14ac:dyDescent="0.35">
      <c r="Q355" s="27"/>
      <c r="R355" s="6" t="str">
        <f>IF(Q355="","",SUMIFS(tblAnalysis[P&amp;L SOL],tblAnalysis[Date],Q355))</f>
        <v/>
      </c>
      <c r="S355" s="10" t="str">
        <f>IF(Q355="","",SUMIFS(tblAnalysis[P&amp;L %],tblAnalysis[Date],Q355))</f>
        <v/>
      </c>
      <c r="T355" s="6" t="str">
        <f>IF(Q355="","",IFERROR(SUM($R$2:R355),""))</f>
        <v/>
      </c>
      <c r="U355" t="str">
        <f>IF(Q355="","",COUNTIFS(tblAnalysis[Date],Q355))</f>
        <v/>
      </c>
      <c r="V355" t="str">
        <f>IF(R355="","",COUNTIFS(tblAnalysis[Date],R355))</f>
        <v/>
      </c>
      <c r="W355" s="27" t="str">
        <f t="shared" si="94"/>
        <v/>
      </c>
      <c r="X355" s="6" t="str">
        <f t="shared" si="95"/>
        <v/>
      </c>
      <c r="Y355" s="6" t="str">
        <f>IF(Q355="","",MAX(X355,_xlfn.MAXIFS(tblAnalysis[Cum P&amp;L SOL],tblAnalysis[Date],Q355)))</f>
        <v/>
      </c>
      <c r="Z355" s="6" t="str">
        <f>IF(Q355="","",MIN(X355,_xlfn.MINIFS(tblAnalysis[Cum P&amp;L SOL],tblAnalysis[Date],Q355)))</f>
        <v/>
      </c>
      <c r="AA355" s="6" t="str">
        <f t="shared" si="96"/>
        <v/>
      </c>
      <c r="AB355" s="6" t="str">
        <f t="shared" si="106"/>
        <v/>
      </c>
      <c r="AC355" s="27" t="str">
        <f t="shared" si="97"/>
        <v/>
      </c>
      <c r="AD355" s="10" t="str">
        <f t="shared" si="98"/>
        <v/>
      </c>
      <c r="AE355" s="10" t="str">
        <f t="shared" si="99"/>
        <v/>
      </c>
      <c r="AF355" s="10" t="str">
        <f t="shared" si="100"/>
        <v/>
      </c>
      <c r="AG355" s="10" t="str">
        <f t="shared" si="107"/>
        <v/>
      </c>
      <c r="AH355" t="str">
        <f t="shared" si="101"/>
        <v/>
      </c>
      <c r="AI355" t="str">
        <f t="shared" si="102"/>
        <v/>
      </c>
      <c r="AJ355" t="str">
        <f t="shared" si="108"/>
        <v/>
      </c>
      <c r="AK355" t="str" cm="1">
        <f t="array" ref="AK355">IFERROR(IF(INDEX($A:$A,ROW())="","",INDEX($A:$A,ROW())),"")</f>
        <v/>
      </c>
      <c r="AL355" t="str" cm="1">
        <f t="array" ref="AL355">IFERROR(INDEX(tblTrades[sol_invested],ROW()-1),"")</f>
        <v/>
      </c>
      <c r="AM355" s="6" t="str" cm="1">
        <f t="array" ref="AM355">IFERROR(INDEX(tblAnalysis[P&amp;L SOL],ROW()-1),"")</f>
        <v/>
      </c>
      <c r="AN355" t="str" cm="1">
        <f t="array" ref="AN355">IFERROR(IF(INDEX(tblTrades[sol_invested],ROW()-1)&gt;0.5,INDEX(tblAnalysis[Token],ROW()-1)&amp;" ("&amp;TEXT(INDEX(tblTrades[sol_invested],ROW()-1),"0.0")&amp;" SOL)",""),"")</f>
        <v/>
      </c>
      <c r="AO355" s="7"/>
      <c r="AP355" s="12" t="str" cm="1">
        <f t="array" ref="AP355">IFERROR(INDEX(tblAnalysis[Entry MC ($)],ROW()-1),"")</f>
        <v/>
      </c>
      <c r="AQ355" s="10" t="str" cm="1">
        <f t="array" ref="AQ355">IFERROR(INDEX(tblAnalysis[P&amp;L %],ROW()-1),"")</f>
        <v/>
      </c>
      <c r="AR355" t="str" cm="1">
        <f t="array" ref="AR355">IFERROR(INDEX(tblAnalysis[Hold Time (s)],ROW()-1),"")</f>
        <v/>
      </c>
      <c r="AS355" s="6" t="str" cm="1">
        <f t="array" ref="AS355">IFERROR(INDEX(tblAnalysis[P&amp;L SOL],ROW()-1),"")</f>
        <v/>
      </c>
      <c r="AT355" s="6" t="str">
        <f t="array" ref="AT355">IFERROR(INDEX(tblAnalysis[P&amp;L SOL],ROW()-1),"")</f>
        <v/>
      </c>
      <c r="AZ355" s="10"/>
      <c r="BA355" s="10"/>
      <c r="BF355" t="str">
        <f t="shared" si="103"/>
        <v/>
      </c>
      <c r="BG355" s="27" t="str">
        <f t="shared" si="104"/>
        <v/>
      </c>
      <c r="BH355" t="str">
        <f t="shared" si="105"/>
        <v/>
      </c>
      <c r="BI355" t="str">
        <f t="shared" si="109"/>
        <v/>
      </c>
      <c r="BL355" s="29" t="e">
        <f t="shared" si="92"/>
        <v>#N/A</v>
      </c>
      <c r="BM355" s="29" t="e">
        <f t="shared" si="93"/>
        <v>#N/A</v>
      </c>
    </row>
    <row r="356" spans="17:65" x14ac:dyDescent="0.35">
      <c r="Q356" s="27"/>
      <c r="R356" s="6" t="str">
        <f>IF(Q356="","",SUMIFS(tblAnalysis[P&amp;L SOL],tblAnalysis[Date],Q356))</f>
        <v/>
      </c>
      <c r="S356" s="10" t="str">
        <f>IF(Q356="","",SUMIFS(tblAnalysis[P&amp;L %],tblAnalysis[Date],Q356))</f>
        <v/>
      </c>
      <c r="T356" s="6" t="str">
        <f>IF(Q356="","",IFERROR(SUM($R$2:R356),""))</f>
        <v/>
      </c>
      <c r="U356" t="str">
        <f>IF(Q356="","",COUNTIFS(tblAnalysis[Date],Q356))</f>
        <v/>
      </c>
      <c r="V356" t="str">
        <f>IF(R356="","",COUNTIFS(tblAnalysis[Date],R356))</f>
        <v/>
      </c>
      <c r="W356" s="27" t="str">
        <f t="shared" si="94"/>
        <v/>
      </c>
      <c r="X356" s="6" t="str">
        <f t="shared" si="95"/>
        <v/>
      </c>
      <c r="Y356" s="6" t="str">
        <f>IF(Q356="","",MAX(X356,_xlfn.MAXIFS(tblAnalysis[Cum P&amp;L SOL],tblAnalysis[Date],Q356)))</f>
        <v/>
      </c>
      <c r="Z356" s="6" t="str">
        <f>IF(Q356="","",MIN(X356,_xlfn.MINIFS(tblAnalysis[Cum P&amp;L SOL],tblAnalysis[Date],Q356)))</f>
        <v/>
      </c>
      <c r="AA356" s="6" t="str">
        <f t="shared" si="96"/>
        <v/>
      </c>
      <c r="AB356" s="6" t="str">
        <f t="shared" si="106"/>
        <v/>
      </c>
      <c r="AC356" s="27" t="str">
        <f t="shared" si="97"/>
        <v/>
      </c>
      <c r="AD356" s="10" t="str">
        <f t="shared" si="98"/>
        <v/>
      </c>
      <c r="AE356" s="10" t="str">
        <f t="shared" si="99"/>
        <v/>
      </c>
      <c r="AF356" s="10" t="str">
        <f t="shared" si="100"/>
        <v/>
      </c>
      <c r="AG356" s="10" t="str">
        <f t="shared" si="107"/>
        <v/>
      </c>
      <c r="AH356" t="str">
        <f t="shared" si="101"/>
        <v/>
      </c>
      <c r="AI356" t="str">
        <f t="shared" si="102"/>
        <v/>
      </c>
      <c r="AJ356" t="str">
        <f t="shared" si="108"/>
        <v/>
      </c>
      <c r="AK356" t="str" cm="1">
        <f t="array" ref="AK356">IFERROR(IF(INDEX($A:$A,ROW())="","",INDEX($A:$A,ROW())),"")</f>
        <v/>
      </c>
      <c r="AL356" t="str" cm="1">
        <f t="array" ref="AL356">IFERROR(INDEX(tblTrades[sol_invested],ROW()-1),"")</f>
        <v/>
      </c>
      <c r="AM356" s="6" t="str" cm="1">
        <f t="array" ref="AM356">IFERROR(INDEX(tblAnalysis[P&amp;L SOL],ROW()-1),"")</f>
        <v/>
      </c>
      <c r="AN356" t="str" cm="1">
        <f t="array" ref="AN356">IFERROR(IF(INDEX(tblTrades[sol_invested],ROW()-1)&gt;0.5,INDEX(tblAnalysis[Token],ROW()-1)&amp;" ("&amp;TEXT(INDEX(tblTrades[sol_invested],ROW()-1),"0.0")&amp;" SOL)",""),"")</f>
        <v/>
      </c>
      <c r="AO356" s="7"/>
      <c r="AP356" s="12" t="str" cm="1">
        <f t="array" ref="AP356">IFERROR(INDEX(tblAnalysis[Entry MC ($)],ROW()-1),"")</f>
        <v/>
      </c>
      <c r="AQ356" s="10" t="str" cm="1">
        <f t="array" ref="AQ356">IFERROR(INDEX(tblAnalysis[P&amp;L %],ROW()-1),"")</f>
        <v/>
      </c>
      <c r="AR356" t="str" cm="1">
        <f t="array" ref="AR356">IFERROR(INDEX(tblAnalysis[Hold Time (s)],ROW()-1),"")</f>
        <v/>
      </c>
      <c r="AS356" s="6" t="str" cm="1">
        <f t="array" ref="AS356">IFERROR(INDEX(tblAnalysis[P&amp;L SOL],ROW()-1),"")</f>
        <v/>
      </c>
      <c r="AT356" s="6" t="str">
        <f t="array" ref="AT356">IFERROR(INDEX(tblAnalysis[P&amp;L SOL],ROW()-1),"")</f>
        <v/>
      </c>
      <c r="AZ356" s="10"/>
      <c r="BA356" s="10"/>
      <c r="BF356" t="str">
        <f t="shared" si="103"/>
        <v/>
      </c>
      <c r="BG356" s="27" t="str">
        <f t="shared" si="104"/>
        <v/>
      </c>
      <c r="BH356" t="str">
        <f t="shared" si="105"/>
        <v/>
      </c>
      <c r="BI356" t="str">
        <f t="shared" si="109"/>
        <v/>
      </c>
      <c r="BL356" s="29" t="e">
        <f t="shared" si="92"/>
        <v>#N/A</v>
      </c>
      <c r="BM356" s="29" t="e">
        <f t="shared" si="93"/>
        <v>#N/A</v>
      </c>
    </row>
    <row r="357" spans="17:65" x14ac:dyDescent="0.35">
      <c r="Q357" s="27"/>
      <c r="R357" s="6" t="str">
        <f>IF(Q357="","",SUMIFS(tblAnalysis[P&amp;L SOL],tblAnalysis[Date],Q357))</f>
        <v/>
      </c>
      <c r="S357" s="10" t="str">
        <f>IF(Q357="","",SUMIFS(tblAnalysis[P&amp;L %],tblAnalysis[Date],Q357))</f>
        <v/>
      </c>
      <c r="T357" s="6" t="str">
        <f>IF(Q357="","",IFERROR(SUM($R$2:R357),""))</f>
        <v/>
      </c>
      <c r="U357" t="str">
        <f>IF(Q357="","",COUNTIFS(tblAnalysis[Date],Q357))</f>
        <v/>
      </c>
      <c r="V357" t="str">
        <f>IF(R357="","",COUNTIFS(tblAnalysis[Date],R357))</f>
        <v/>
      </c>
      <c r="W357" s="27" t="str">
        <f t="shared" si="94"/>
        <v/>
      </c>
      <c r="X357" s="6" t="str">
        <f t="shared" si="95"/>
        <v/>
      </c>
      <c r="Y357" s="6" t="str">
        <f>IF(Q357="","",MAX(X357,_xlfn.MAXIFS(tblAnalysis[Cum P&amp;L SOL],tblAnalysis[Date],Q357)))</f>
        <v/>
      </c>
      <c r="Z357" s="6" t="str">
        <f>IF(Q357="","",MIN(X357,_xlfn.MINIFS(tblAnalysis[Cum P&amp;L SOL],tblAnalysis[Date],Q357)))</f>
        <v/>
      </c>
      <c r="AA357" s="6" t="str">
        <f t="shared" si="96"/>
        <v/>
      </c>
      <c r="AB357" s="6" t="str">
        <f t="shared" si="106"/>
        <v/>
      </c>
      <c r="AC357" s="27" t="str">
        <f t="shared" si="97"/>
        <v/>
      </c>
      <c r="AD357" s="10" t="str">
        <f t="shared" si="98"/>
        <v/>
      </c>
      <c r="AE357" s="10" t="str">
        <f t="shared" si="99"/>
        <v/>
      </c>
      <c r="AF357" s="10" t="str">
        <f t="shared" si="100"/>
        <v/>
      </c>
      <c r="AG357" s="10" t="str">
        <f t="shared" si="107"/>
        <v/>
      </c>
      <c r="AH357" t="str">
        <f t="shared" si="101"/>
        <v/>
      </c>
      <c r="AI357" t="str">
        <f t="shared" si="102"/>
        <v/>
      </c>
      <c r="AJ357" t="str">
        <f t="shared" si="108"/>
        <v/>
      </c>
      <c r="AK357" t="str" cm="1">
        <f t="array" ref="AK357">IFERROR(IF(INDEX($A:$A,ROW())="","",INDEX($A:$A,ROW())),"")</f>
        <v/>
      </c>
      <c r="AL357" t="str" cm="1">
        <f t="array" ref="AL357">IFERROR(INDEX(tblTrades[sol_invested],ROW()-1),"")</f>
        <v/>
      </c>
      <c r="AM357" s="6" t="str" cm="1">
        <f t="array" ref="AM357">IFERROR(INDEX(tblAnalysis[P&amp;L SOL],ROW()-1),"")</f>
        <v/>
      </c>
      <c r="AN357" t="str" cm="1">
        <f t="array" ref="AN357">IFERROR(IF(INDEX(tblTrades[sol_invested],ROW()-1)&gt;0.5,INDEX(tblAnalysis[Token],ROW()-1)&amp;" ("&amp;TEXT(INDEX(tblTrades[sol_invested],ROW()-1),"0.0")&amp;" SOL)",""),"")</f>
        <v/>
      </c>
      <c r="AO357" s="7"/>
      <c r="AP357" s="12" t="str" cm="1">
        <f t="array" ref="AP357">IFERROR(INDEX(tblAnalysis[Entry MC ($)],ROW()-1),"")</f>
        <v/>
      </c>
      <c r="AQ357" s="10" t="str" cm="1">
        <f t="array" ref="AQ357">IFERROR(INDEX(tblAnalysis[P&amp;L %],ROW()-1),"")</f>
        <v/>
      </c>
      <c r="AR357" t="str" cm="1">
        <f t="array" ref="AR357">IFERROR(INDEX(tblAnalysis[Hold Time (s)],ROW()-1),"")</f>
        <v/>
      </c>
      <c r="AS357" s="6" t="str" cm="1">
        <f t="array" ref="AS357">IFERROR(INDEX(tblAnalysis[P&amp;L SOL],ROW()-1),"")</f>
        <v/>
      </c>
      <c r="AT357" s="6" t="str">
        <f t="array" ref="AT357">IFERROR(INDEX(tblAnalysis[P&amp;L SOL],ROW()-1),"")</f>
        <v/>
      </c>
      <c r="AZ357" s="10"/>
      <c r="BA357" s="10"/>
      <c r="BF357" t="str">
        <f t="shared" si="103"/>
        <v/>
      </c>
      <c r="BG357" s="27" t="str">
        <f t="shared" si="104"/>
        <v/>
      </c>
      <c r="BH357" t="str">
        <f t="shared" si="105"/>
        <v/>
      </c>
      <c r="BI357" t="str">
        <f t="shared" si="109"/>
        <v/>
      </c>
      <c r="BL357" s="29" t="e">
        <f t="shared" si="92"/>
        <v>#N/A</v>
      </c>
      <c r="BM357" s="29" t="e">
        <f t="shared" si="93"/>
        <v>#N/A</v>
      </c>
    </row>
    <row r="358" spans="17:65" x14ac:dyDescent="0.35">
      <c r="Q358" s="27"/>
      <c r="R358" s="6" t="str">
        <f>IF(Q358="","",SUMIFS(tblAnalysis[P&amp;L SOL],tblAnalysis[Date],Q358))</f>
        <v/>
      </c>
      <c r="S358" s="10" t="str">
        <f>IF(Q358="","",SUMIFS(tblAnalysis[P&amp;L %],tblAnalysis[Date],Q358))</f>
        <v/>
      </c>
      <c r="T358" s="6" t="str">
        <f>IF(Q358="","",IFERROR(SUM($R$2:R358),""))</f>
        <v/>
      </c>
      <c r="U358" t="str">
        <f>IF(Q358="","",COUNTIFS(tblAnalysis[Date],Q358))</f>
        <v/>
      </c>
      <c r="V358" t="str">
        <f>IF(R358="","",COUNTIFS(tblAnalysis[Date],R358))</f>
        <v/>
      </c>
      <c r="W358" s="27" t="str">
        <f t="shared" si="94"/>
        <v/>
      </c>
      <c r="X358" s="6" t="str">
        <f t="shared" si="95"/>
        <v/>
      </c>
      <c r="Y358" s="6" t="str">
        <f>IF(Q358="","",MAX(X358,_xlfn.MAXIFS(tblAnalysis[Cum P&amp;L SOL],tblAnalysis[Date],Q358)))</f>
        <v/>
      </c>
      <c r="Z358" s="6" t="str">
        <f>IF(Q358="","",MIN(X358,_xlfn.MINIFS(tblAnalysis[Cum P&amp;L SOL],tblAnalysis[Date],Q358)))</f>
        <v/>
      </c>
      <c r="AA358" s="6" t="str">
        <f t="shared" si="96"/>
        <v/>
      </c>
      <c r="AB358" s="6" t="str">
        <f t="shared" si="106"/>
        <v/>
      </c>
      <c r="AC358" s="27" t="str">
        <f t="shared" si="97"/>
        <v/>
      </c>
      <c r="AD358" s="10" t="str">
        <f t="shared" si="98"/>
        <v/>
      </c>
      <c r="AE358" s="10" t="str">
        <f t="shared" si="99"/>
        <v/>
      </c>
      <c r="AF358" s="10" t="str">
        <f t="shared" si="100"/>
        <v/>
      </c>
      <c r="AG358" s="10" t="str">
        <f t="shared" si="107"/>
        <v/>
      </c>
      <c r="AH358" t="str">
        <f t="shared" si="101"/>
        <v/>
      </c>
      <c r="AI358" t="str">
        <f t="shared" si="102"/>
        <v/>
      </c>
      <c r="AJ358" t="str">
        <f t="shared" si="108"/>
        <v/>
      </c>
      <c r="AK358" t="str" cm="1">
        <f t="array" ref="AK358">IFERROR(IF(INDEX($A:$A,ROW())="","",INDEX($A:$A,ROW())),"")</f>
        <v/>
      </c>
      <c r="AL358" t="str" cm="1">
        <f t="array" ref="AL358">IFERROR(INDEX(tblTrades[sol_invested],ROW()-1),"")</f>
        <v/>
      </c>
      <c r="AM358" s="6" t="str" cm="1">
        <f t="array" ref="AM358">IFERROR(INDEX(tblAnalysis[P&amp;L SOL],ROW()-1),"")</f>
        <v/>
      </c>
      <c r="AN358" t="str" cm="1">
        <f t="array" ref="AN358">IFERROR(IF(INDEX(tblTrades[sol_invested],ROW()-1)&gt;0.5,INDEX(tblAnalysis[Token],ROW()-1)&amp;" ("&amp;TEXT(INDEX(tblTrades[sol_invested],ROW()-1),"0.0")&amp;" SOL)",""),"")</f>
        <v/>
      </c>
      <c r="AO358" s="7"/>
      <c r="AP358" s="12" t="str" cm="1">
        <f t="array" ref="AP358">IFERROR(INDEX(tblAnalysis[Entry MC ($)],ROW()-1),"")</f>
        <v/>
      </c>
      <c r="AQ358" s="10" t="str" cm="1">
        <f t="array" ref="AQ358">IFERROR(INDEX(tblAnalysis[P&amp;L %],ROW()-1),"")</f>
        <v/>
      </c>
      <c r="AR358" t="str" cm="1">
        <f t="array" ref="AR358">IFERROR(INDEX(tblAnalysis[Hold Time (s)],ROW()-1),"")</f>
        <v/>
      </c>
      <c r="AS358" s="6" t="str" cm="1">
        <f t="array" ref="AS358">IFERROR(INDEX(tblAnalysis[P&amp;L SOL],ROW()-1),"")</f>
        <v/>
      </c>
      <c r="AT358" s="6" t="str">
        <f t="array" ref="AT358">IFERROR(INDEX(tblAnalysis[P&amp;L SOL],ROW()-1),"")</f>
        <v/>
      </c>
      <c r="AZ358" s="10"/>
      <c r="BA358" s="10"/>
      <c r="BF358" t="str">
        <f t="shared" si="103"/>
        <v/>
      </c>
      <c r="BG358" s="27" t="str">
        <f t="shared" si="104"/>
        <v/>
      </c>
      <c r="BH358" t="str">
        <f t="shared" si="105"/>
        <v/>
      </c>
      <c r="BI358" t="str">
        <f t="shared" si="109"/>
        <v/>
      </c>
      <c r="BL358" s="29" t="e">
        <f t="shared" si="92"/>
        <v>#N/A</v>
      </c>
      <c r="BM358" s="29" t="e">
        <f t="shared" si="93"/>
        <v>#N/A</v>
      </c>
    </row>
    <row r="359" spans="17:65" x14ac:dyDescent="0.35">
      <c r="Q359" s="27"/>
      <c r="R359" s="6" t="str">
        <f>IF(Q359="","",SUMIFS(tblAnalysis[P&amp;L SOL],tblAnalysis[Date],Q359))</f>
        <v/>
      </c>
      <c r="S359" s="10" t="str">
        <f>IF(Q359="","",SUMIFS(tblAnalysis[P&amp;L %],tblAnalysis[Date],Q359))</f>
        <v/>
      </c>
      <c r="T359" s="6" t="str">
        <f>IF(Q359="","",IFERROR(SUM($R$2:R359),""))</f>
        <v/>
      </c>
      <c r="U359" t="str">
        <f>IF(Q359="","",COUNTIFS(tblAnalysis[Date],Q359))</f>
        <v/>
      </c>
      <c r="V359" t="str">
        <f>IF(R359="","",COUNTIFS(tblAnalysis[Date],R359))</f>
        <v/>
      </c>
      <c r="W359" s="27" t="str">
        <f t="shared" si="94"/>
        <v/>
      </c>
      <c r="X359" s="6" t="str">
        <f t="shared" si="95"/>
        <v/>
      </c>
      <c r="Y359" s="6" t="str">
        <f>IF(Q359="","",MAX(X359,_xlfn.MAXIFS(tblAnalysis[Cum P&amp;L SOL],tblAnalysis[Date],Q359)))</f>
        <v/>
      </c>
      <c r="Z359" s="6" t="str">
        <f>IF(Q359="","",MIN(X359,_xlfn.MINIFS(tblAnalysis[Cum P&amp;L SOL],tblAnalysis[Date],Q359)))</f>
        <v/>
      </c>
      <c r="AA359" s="6" t="str">
        <f t="shared" si="96"/>
        <v/>
      </c>
      <c r="AB359" s="6" t="str">
        <f t="shared" si="106"/>
        <v/>
      </c>
      <c r="AC359" s="27" t="str">
        <f t="shared" si="97"/>
        <v/>
      </c>
      <c r="AD359" s="10" t="str">
        <f t="shared" si="98"/>
        <v/>
      </c>
      <c r="AE359" s="10" t="str">
        <f t="shared" si="99"/>
        <v/>
      </c>
      <c r="AF359" s="10" t="str">
        <f t="shared" si="100"/>
        <v/>
      </c>
      <c r="AG359" s="10" t="str">
        <f t="shared" si="107"/>
        <v/>
      </c>
      <c r="AH359" t="str">
        <f t="shared" si="101"/>
        <v/>
      </c>
      <c r="AI359" t="str">
        <f t="shared" si="102"/>
        <v/>
      </c>
      <c r="AJ359" t="str">
        <f t="shared" si="108"/>
        <v/>
      </c>
      <c r="AK359" t="str" cm="1">
        <f t="array" ref="AK359">IFERROR(IF(INDEX($A:$A,ROW())="","",INDEX($A:$A,ROW())),"")</f>
        <v/>
      </c>
      <c r="AL359" t="str" cm="1">
        <f t="array" ref="AL359">IFERROR(INDEX(tblTrades[sol_invested],ROW()-1),"")</f>
        <v/>
      </c>
      <c r="AM359" s="6" t="str" cm="1">
        <f t="array" ref="AM359">IFERROR(INDEX(tblAnalysis[P&amp;L SOL],ROW()-1),"")</f>
        <v/>
      </c>
      <c r="AN359" t="str" cm="1">
        <f t="array" ref="AN359">IFERROR(IF(INDEX(tblTrades[sol_invested],ROW()-1)&gt;0.5,INDEX(tblAnalysis[Token],ROW()-1)&amp;" ("&amp;TEXT(INDEX(tblTrades[sol_invested],ROW()-1),"0.0")&amp;" SOL)",""),"")</f>
        <v/>
      </c>
      <c r="AO359" s="7"/>
      <c r="AP359" s="12" t="str" cm="1">
        <f t="array" ref="AP359">IFERROR(INDEX(tblAnalysis[Entry MC ($)],ROW()-1),"")</f>
        <v/>
      </c>
      <c r="AQ359" s="10" t="str" cm="1">
        <f t="array" ref="AQ359">IFERROR(INDEX(tblAnalysis[P&amp;L %],ROW()-1),"")</f>
        <v/>
      </c>
      <c r="AR359" t="str" cm="1">
        <f t="array" ref="AR359">IFERROR(INDEX(tblAnalysis[Hold Time (s)],ROW()-1),"")</f>
        <v/>
      </c>
      <c r="AS359" s="6" t="str" cm="1">
        <f t="array" ref="AS359">IFERROR(INDEX(tblAnalysis[P&amp;L SOL],ROW()-1),"")</f>
        <v/>
      </c>
      <c r="AT359" s="6" t="str">
        <f t="array" ref="AT359">IFERROR(INDEX(tblAnalysis[P&amp;L SOL],ROW()-1),"")</f>
        <v/>
      </c>
      <c r="AZ359" s="10"/>
      <c r="BA359" s="10"/>
      <c r="BF359" t="str">
        <f t="shared" si="103"/>
        <v/>
      </c>
      <c r="BG359" s="27" t="str">
        <f t="shared" si="104"/>
        <v/>
      </c>
      <c r="BH359" t="str">
        <f t="shared" si="105"/>
        <v/>
      </c>
      <c r="BI359" t="str">
        <f t="shared" si="109"/>
        <v/>
      </c>
      <c r="BL359" s="29" t="e">
        <f t="shared" si="92"/>
        <v>#N/A</v>
      </c>
      <c r="BM359" s="29" t="e">
        <f t="shared" si="93"/>
        <v>#N/A</v>
      </c>
    </row>
    <row r="360" spans="17:65" x14ac:dyDescent="0.35">
      <c r="Q360" s="27"/>
      <c r="R360" s="6" t="str">
        <f>IF(Q360="","",SUMIFS(tblAnalysis[P&amp;L SOL],tblAnalysis[Date],Q360))</f>
        <v/>
      </c>
      <c r="S360" s="10" t="str">
        <f>IF(Q360="","",SUMIFS(tblAnalysis[P&amp;L %],tblAnalysis[Date],Q360))</f>
        <v/>
      </c>
      <c r="T360" s="6" t="str">
        <f>IF(Q360="","",IFERROR(SUM($R$2:R360),""))</f>
        <v/>
      </c>
      <c r="U360" t="str">
        <f>IF(Q360="","",COUNTIFS(tblAnalysis[Date],Q360))</f>
        <v/>
      </c>
      <c r="V360" t="str">
        <f>IF(R360="","",COUNTIFS(tblAnalysis[Date],R360))</f>
        <v/>
      </c>
      <c r="W360" s="27" t="str">
        <f t="shared" si="94"/>
        <v/>
      </c>
      <c r="X360" s="6" t="str">
        <f t="shared" si="95"/>
        <v/>
      </c>
      <c r="Y360" s="6" t="str">
        <f>IF(Q360="","",MAX(X360,_xlfn.MAXIFS(tblAnalysis[Cum P&amp;L SOL],tblAnalysis[Date],Q360)))</f>
        <v/>
      </c>
      <c r="Z360" s="6" t="str">
        <f>IF(Q360="","",MIN(X360,_xlfn.MINIFS(tblAnalysis[Cum P&amp;L SOL],tblAnalysis[Date],Q360)))</f>
        <v/>
      </c>
      <c r="AA360" s="6" t="str">
        <f t="shared" si="96"/>
        <v/>
      </c>
      <c r="AB360" s="6" t="str">
        <f t="shared" si="106"/>
        <v/>
      </c>
      <c r="AC360" s="27" t="str">
        <f t="shared" si="97"/>
        <v/>
      </c>
      <c r="AD360" s="10" t="str">
        <f t="shared" si="98"/>
        <v/>
      </c>
      <c r="AE360" s="10" t="str">
        <f t="shared" si="99"/>
        <v/>
      </c>
      <c r="AF360" s="10" t="str">
        <f t="shared" si="100"/>
        <v/>
      </c>
      <c r="AG360" s="10" t="str">
        <f t="shared" si="107"/>
        <v/>
      </c>
      <c r="AH360" t="str">
        <f t="shared" si="101"/>
        <v/>
      </c>
      <c r="AI360" t="str">
        <f t="shared" si="102"/>
        <v/>
      </c>
      <c r="AJ360" t="str">
        <f t="shared" si="108"/>
        <v/>
      </c>
      <c r="AK360" t="str" cm="1">
        <f t="array" ref="AK360">IFERROR(IF(INDEX($A:$A,ROW())="","",INDEX($A:$A,ROW())),"")</f>
        <v/>
      </c>
      <c r="AL360" t="str" cm="1">
        <f t="array" ref="AL360">IFERROR(INDEX(tblTrades[sol_invested],ROW()-1),"")</f>
        <v/>
      </c>
      <c r="AM360" s="6" t="str" cm="1">
        <f t="array" ref="AM360">IFERROR(INDEX(tblAnalysis[P&amp;L SOL],ROW()-1),"")</f>
        <v/>
      </c>
      <c r="AN360" t="str" cm="1">
        <f t="array" ref="AN360">IFERROR(IF(INDEX(tblTrades[sol_invested],ROW()-1)&gt;0.5,INDEX(tblAnalysis[Token],ROW()-1)&amp;" ("&amp;TEXT(INDEX(tblTrades[sol_invested],ROW()-1),"0.0")&amp;" SOL)",""),"")</f>
        <v/>
      </c>
      <c r="AO360" s="7"/>
      <c r="AP360" s="12" t="str" cm="1">
        <f t="array" ref="AP360">IFERROR(INDEX(tblAnalysis[Entry MC ($)],ROW()-1),"")</f>
        <v/>
      </c>
      <c r="AQ360" s="10" t="str" cm="1">
        <f t="array" ref="AQ360">IFERROR(INDEX(tblAnalysis[P&amp;L %],ROW()-1),"")</f>
        <v/>
      </c>
      <c r="AR360" t="str" cm="1">
        <f t="array" ref="AR360">IFERROR(INDEX(tblAnalysis[Hold Time (s)],ROW()-1),"")</f>
        <v/>
      </c>
      <c r="AS360" s="6" t="str" cm="1">
        <f t="array" ref="AS360">IFERROR(INDEX(tblAnalysis[P&amp;L SOL],ROW()-1),"")</f>
        <v/>
      </c>
      <c r="AT360" s="6" t="str">
        <f t="array" ref="AT360">IFERROR(INDEX(tblAnalysis[P&amp;L SOL],ROW()-1),"")</f>
        <v/>
      </c>
      <c r="AZ360" s="10"/>
      <c r="BA360" s="10"/>
      <c r="BF360" t="str">
        <f t="shared" si="103"/>
        <v/>
      </c>
      <c r="BG360" s="27" t="str">
        <f t="shared" si="104"/>
        <v/>
      </c>
      <c r="BH360" t="str">
        <f t="shared" si="105"/>
        <v/>
      </c>
      <c r="BI360" t="str">
        <f t="shared" si="109"/>
        <v/>
      </c>
      <c r="BL360" s="29" t="e">
        <f t="shared" ref="BL360:BL423" si="110">IF(ISNUMBER(G350),IF(G350&gt;0,G350,NA()),NA())</f>
        <v>#N/A</v>
      </c>
      <c r="BM360" s="29" t="e">
        <f t="shared" ref="BM360:BM423" si="111">IF(ISNUMBER(G350),IF(G350&lt;=0,G350,NA()),NA())</f>
        <v>#N/A</v>
      </c>
    </row>
    <row r="361" spans="17:65" x14ac:dyDescent="0.35">
      <c r="Q361" s="27"/>
      <c r="R361" s="6" t="str">
        <f>IF(Q361="","",SUMIFS(tblAnalysis[P&amp;L SOL],tblAnalysis[Date],Q361))</f>
        <v/>
      </c>
      <c r="S361" s="10" t="str">
        <f>IF(Q361="","",SUMIFS(tblAnalysis[P&amp;L %],tblAnalysis[Date],Q361))</f>
        <v/>
      </c>
      <c r="T361" s="6" t="str">
        <f>IF(Q361="","",IFERROR(SUM($R$2:R361),""))</f>
        <v/>
      </c>
      <c r="U361" t="str">
        <f>IF(Q361="","",COUNTIFS(tblAnalysis[Date],Q361))</f>
        <v/>
      </c>
      <c r="V361" t="str">
        <f>IF(R361="","",COUNTIFS(tblAnalysis[Date],R361))</f>
        <v/>
      </c>
      <c r="W361" s="27" t="str">
        <f t="shared" si="94"/>
        <v/>
      </c>
      <c r="X361" s="6" t="str">
        <f t="shared" si="95"/>
        <v/>
      </c>
      <c r="Y361" s="6" t="str">
        <f>IF(Q361="","",MAX(X361,_xlfn.MAXIFS(tblAnalysis[Cum P&amp;L SOL],tblAnalysis[Date],Q361)))</f>
        <v/>
      </c>
      <c r="Z361" s="6" t="str">
        <f>IF(Q361="","",MIN(X361,_xlfn.MINIFS(tblAnalysis[Cum P&amp;L SOL],tblAnalysis[Date],Q361)))</f>
        <v/>
      </c>
      <c r="AA361" s="6" t="str">
        <f t="shared" si="96"/>
        <v/>
      </c>
      <c r="AB361" s="6" t="str">
        <f t="shared" ref="AB361:AB392" si="112">IF(R361="","",U361)</f>
        <v/>
      </c>
      <c r="AC361" s="27" t="str">
        <f t="shared" si="97"/>
        <v/>
      </c>
      <c r="AD361" s="10" t="str">
        <f t="shared" si="98"/>
        <v/>
      </c>
      <c r="AE361" s="10" t="str">
        <f t="shared" si="99"/>
        <v/>
      </c>
      <c r="AF361" s="10" t="str">
        <f t="shared" si="100"/>
        <v/>
      </c>
      <c r="AG361" s="10" t="str">
        <f t="shared" ref="AG361:AG392" si="113">IF(R361="","",(AB361-Y361)/$BK$1)</f>
        <v/>
      </c>
      <c r="AH361" t="str">
        <f t="shared" si="101"/>
        <v/>
      </c>
      <c r="AI361" t="str">
        <f t="shared" si="102"/>
        <v/>
      </c>
      <c r="AJ361" t="str">
        <f t="shared" ref="AJ361:AJ392" si="114">IF(R361="","",IF(AB361&lt;Y361,V361,0))</f>
        <v/>
      </c>
      <c r="AK361" t="str" cm="1">
        <f t="array" ref="AK361">IFERROR(IF(INDEX($A:$A,ROW())="","",INDEX($A:$A,ROW())),"")</f>
        <v/>
      </c>
      <c r="AL361" t="str" cm="1">
        <f t="array" ref="AL361">IFERROR(INDEX(tblTrades[sol_invested],ROW()-1),"")</f>
        <v/>
      </c>
      <c r="AM361" s="6" t="str" cm="1">
        <f t="array" ref="AM361">IFERROR(INDEX(tblAnalysis[P&amp;L SOL],ROW()-1),"")</f>
        <v/>
      </c>
      <c r="AN361" t="str" cm="1">
        <f t="array" ref="AN361">IFERROR(IF(INDEX(tblTrades[sol_invested],ROW()-1)&gt;0.5,INDEX(tblAnalysis[Token],ROW()-1)&amp;" ("&amp;TEXT(INDEX(tblTrades[sol_invested],ROW()-1),"0.0")&amp;" SOL)",""),"")</f>
        <v/>
      </c>
      <c r="AO361" s="7"/>
      <c r="AP361" s="12" t="str" cm="1">
        <f t="array" ref="AP361">IFERROR(INDEX(tblAnalysis[Entry MC ($)],ROW()-1),"")</f>
        <v/>
      </c>
      <c r="AQ361" s="10" t="str" cm="1">
        <f t="array" ref="AQ361">IFERROR(INDEX(tblAnalysis[P&amp;L %],ROW()-1),"")</f>
        <v/>
      </c>
      <c r="AR361" t="str" cm="1">
        <f t="array" ref="AR361">IFERROR(INDEX(tblAnalysis[Hold Time (s)],ROW()-1),"")</f>
        <v/>
      </c>
      <c r="AS361" s="6" t="str" cm="1">
        <f t="array" ref="AS361">IFERROR(INDEX(tblAnalysis[P&amp;L SOL],ROW()-1),"")</f>
        <v/>
      </c>
      <c r="AT361" s="6" t="str">
        <f t="array" ref="AT361">IFERROR(INDEX(tblAnalysis[P&amp;L SOL],ROW()-1),"")</f>
        <v/>
      </c>
      <c r="AZ361" s="10"/>
      <c r="BA361" s="10"/>
      <c r="BF361" t="str">
        <f t="shared" si="103"/>
        <v/>
      </c>
      <c r="BG361" s="27" t="str">
        <f t="shared" si="104"/>
        <v/>
      </c>
      <c r="BH361" t="str">
        <f t="shared" si="105"/>
        <v/>
      </c>
      <c r="BI361" t="str">
        <f t="shared" ref="BI361:BI392" si="115">IF(X361="","",-2.5)</f>
        <v/>
      </c>
      <c r="BL361" s="29" t="e">
        <f t="shared" si="110"/>
        <v>#N/A</v>
      </c>
      <c r="BM361" s="29" t="e">
        <f t="shared" si="111"/>
        <v>#N/A</v>
      </c>
    </row>
    <row r="362" spans="17:65" x14ac:dyDescent="0.35">
      <c r="Q362" s="27"/>
      <c r="R362" s="6" t="str">
        <f>IF(Q362="","",SUMIFS(tblAnalysis[P&amp;L SOL],tblAnalysis[Date],Q362))</f>
        <v/>
      </c>
      <c r="S362" s="10" t="str">
        <f>IF(Q362="","",SUMIFS(tblAnalysis[P&amp;L %],tblAnalysis[Date],Q362))</f>
        <v/>
      </c>
      <c r="T362" s="6" t="str">
        <f>IF(Q362="","",IFERROR(SUM($R$2:R362),""))</f>
        <v/>
      </c>
      <c r="U362" t="str">
        <f>IF(Q362="","",COUNTIFS(tblAnalysis[Date],Q362))</f>
        <v/>
      </c>
      <c r="V362" t="str">
        <f>IF(R362="","",COUNTIFS(tblAnalysis[Date],R362))</f>
        <v/>
      </c>
      <c r="W362" s="27" t="str">
        <f t="shared" si="94"/>
        <v/>
      </c>
      <c r="X362" s="6" t="str">
        <f t="shared" si="95"/>
        <v/>
      </c>
      <c r="Y362" s="6" t="str">
        <f>IF(Q362="","",MAX(X362,_xlfn.MAXIFS(tblAnalysis[Cum P&amp;L SOL],tblAnalysis[Date],Q362)))</f>
        <v/>
      </c>
      <c r="Z362" s="6" t="str">
        <f>IF(Q362="","",MIN(X362,_xlfn.MINIFS(tblAnalysis[Cum P&amp;L SOL],tblAnalysis[Date],Q362)))</f>
        <v/>
      </c>
      <c r="AA362" s="6" t="str">
        <f t="shared" si="96"/>
        <v/>
      </c>
      <c r="AB362" s="6" t="str">
        <f t="shared" si="112"/>
        <v/>
      </c>
      <c r="AC362" s="27" t="str">
        <f t="shared" si="97"/>
        <v/>
      </c>
      <c r="AD362" s="10" t="str">
        <f t="shared" si="98"/>
        <v/>
      </c>
      <c r="AE362" s="10" t="str">
        <f t="shared" si="99"/>
        <v/>
      </c>
      <c r="AF362" s="10" t="str">
        <f t="shared" si="100"/>
        <v/>
      </c>
      <c r="AG362" s="10" t="str">
        <f t="shared" si="113"/>
        <v/>
      </c>
      <c r="AH362" t="str">
        <f t="shared" si="101"/>
        <v/>
      </c>
      <c r="AI362" t="str">
        <f t="shared" si="102"/>
        <v/>
      </c>
      <c r="AJ362" t="str">
        <f t="shared" si="114"/>
        <v/>
      </c>
      <c r="AK362" t="str" cm="1">
        <f t="array" ref="AK362">IFERROR(IF(INDEX($A:$A,ROW())="","",INDEX($A:$A,ROW())),"")</f>
        <v/>
      </c>
      <c r="AL362" t="str" cm="1">
        <f t="array" ref="AL362">IFERROR(INDEX(tblTrades[sol_invested],ROW()-1),"")</f>
        <v/>
      </c>
      <c r="AM362" s="6" t="str" cm="1">
        <f t="array" ref="AM362">IFERROR(INDEX(tblAnalysis[P&amp;L SOL],ROW()-1),"")</f>
        <v/>
      </c>
      <c r="AN362" t="str" cm="1">
        <f t="array" ref="AN362">IFERROR(IF(INDEX(tblTrades[sol_invested],ROW()-1)&gt;0.5,INDEX(tblAnalysis[Token],ROW()-1)&amp;" ("&amp;TEXT(INDEX(tblTrades[sol_invested],ROW()-1),"0.0")&amp;" SOL)",""),"")</f>
        <v/>
      </c>
      <c r="AO362" s="7"/>
      <c r="AP362" s="12" t="str" cm="1">
        <f t="array" ref="AP362">IFERROR(INDEX(tblAnalysis[Entry MC ($)],ROW()-1),"")</f>
        <v/>
      </c>
      <c r="AQ362" s="10" t="str" cm="1">
        <f t="array" ref="AQ362">IFERROR(INDEX(tblAnalysis[P&amp;L %],ROW()-1),"")</f>
        <v/>
      </c>
      <c r="AR362" t="str" cm="1">
        <f t="array" ref="AR362">IFERROR(INDEX(tblAnalysis[Hold Time (s)],ROW()-1),"")</f>
        <v/>
      </c>
      <c r="AS362" s="6" t="str" cm="1">
        <f t="array" ref="AS362">IFERROR(INDEX(tblAnalysis[P&amp;L SOL],ROW()-1),"")</f>
        <v/>
      </c>
      <c r="AT362" s="6" t="str">
        <f t="array" ref="AT362">IFERROR(INDEX(tblAnalysis[P&amp;L SOL],ROW()-1),"")</f>
        <v/>
      </c>
      <c r="AZ362" s="10"/>
      <c r="BA362" s="10"/>
      <c r="BF362" t="str">
        <f t="shared" si="103"/>
        <v/>
      </c>
      <c r="BG362" s="27" t="str">
        <f t="shared" si="104"/>
        <v/>
      </c>
      <c r="BH362" t="str">
        <f t="shared" si="105"/>
        <v/>
      </c>
      <c r="BI362" t="str">
        <f t="shared" si="115"/>
        <v/>
      </c>
      <c r="BL362" s="29" t="e">
        <f t="shared" si="110"/>
        <v>#N/A</v>
      </c>
      <c r="BM362" s="29" t="e">
        <f t="shared" si="111"/>
        <v>#N/A</v>
      </c>
    </row>
    <row r="363" spans="17:65" x14ac:dyDescent="0.35">
      <c r="Q363" s="27"/>
      <c r="R363" s="6" t="str">
        <f>IF(Q363="","",SUMIFS(tblAnalysis[P&amp;L SOL],tblAnalysis[Date],Q363))</f>
        <v/>
      </c>
      <c r="S363" s="10" t="str">
        <f>IF(Q363="","",SUMIFS(tblAnalysis[P&amp;L %],tblAnalysis[Date],Q363))</f>
        <v/>
      </c>
      <c r="T363" s="6" t="str">
        <f>IF(Q363="","",IFERROR(SUM($R$2:R363),""))</f>
        <v/>
      </c>
      <c r="U363" t="str">
        <f>IF(Q363="","",COUNTIFS(tblAnalysis[Date],Q363))</f>
        <v/>
      </c>
      <c r="V363" t="str">
        <f>IF(R363="","",COUNTIFS(tblAnalysis[Date],R363))</f>
        <v/>
      </c>
      <c r="W363" s="27" t="str">
        <f t="shared" si="94"/>
        <v/>
      </c>
      <c r="X363" s="6" t="str">
        <f t="shared" si="95"/>
        <v/>
      </c>
      <c r="Y363" s="6" t="str">
        <f>IF(Q363="","",MAX(X363,_xlfn.MAXIFS(tblAnalysis[Cum P&amp;L SOL],tblAnalysis[Date],Q363)))</f>
        <v/>
      </c>
      <c r="Z363" s="6" t="str">
        <f>IF(Q363="","",MIN(X363,_xlfn.MINIFS(tblAnalysis[Cum P&amp;L SOL],tblAnalysis[Date],Q363)))</f>
        <v/>
      </c>
      <c r="AA363" s="6" t="str">
        <f t="shared" si="96"/>
        <v/>
      </c>
      <c r="AB363" s="6" t="str">
        <f t="shared" si="112"/>
        <v/>
      </c>
      <c r="AC363" s="27" t="str">
        <f t="shared" si="97"/>
        <v/>
      </c>
      <c r="AD363" s="10" t="str">
        <f t="shared" si="98"/>
        <v/>
      </c>
      <c r="AE363" s="10" t="str">
        <f t="shared" si="99"/>
        <v/>
      </c>
      <c r="AF363" s="10" t="str">
        <f t="shared" si="100"/>
        <v/>
      </c>
      <c r="AG363" s="10" t="str">
        <f t="shared" si="113"/>
        <v/>
      </c>
      <c r="AH363" t="str">
        <f t="shared" si="101"/>
        <v/>
      </c>
      <c r="AI363" t="str">
        <f t="shared" si="102"/>
        <v/>
      </c>
      <c r="AJ363" t="str">
        <f t="shared" si="114"/>
        <v/>
      </c>
      <c r="AK363" t="str" cm="1">
        <f t="array" ref="AK363">IFERROR(IF(INDEX($A:$A,ROW())="","",INDEX($A:$A,ROW())),"")</f>
        <v/>
      </c>
      <c r="AL363" t="str" cm="1">
        <f t="array" ref="AL363">IFERROR(INDEX(tblTrades[sol_invested],ROW()-1),"")</f>
        <v/>
      </c>
      <c r="AM363" s="6" t="str" cm="1">
        <f t="array" ref="AM363">IFERROR(INDEX(tblAnalysis[P&amp;L SOL],ROW()-1),"")</f>
        <v/>
      </c>
      <c r="AN363" t="str" cm="1">
        <f t="array" ref="AN363">IFERROR(IF(INDEX(tblTrades[sol_invested],ROW()-1)&gt;0.5,INDEX(tblAnalysis[Token],ROW()-1)&amp;" ("&amp;TEXT(INDEX(tblTrades[sol_invested],ROW()-1),"0.0")&amp;" SOL)",""),"")</f>
        <v/>
      </c>
      <c r="AO363" s="7"/>
      <c r="AP363" s="12" t="str" cm="1">
        <f t="array" ref="AP363">IFERROR(INDEX(tblAnalysis[Entry MC ($)],ROW()-1),"")</f>
        <v/>
      </c>
      <c r="AQ363" s="10" t="str" cm="1">
        <f t="array" ref="AQ363">IFERROR(INDEX(tblAnalysis[P&amp;L %],ROW()-1),"")</f>
        <v/>
      </c>
      <c r="AR363" t="str" cm="1">
        <f t="array" ref="AR363">IFERROR(INDEX(tblAnalysis[Hold Time (s)],ROW()-1),"")</f>
        <v/>
      </c>
      <c r="AS363" s="6" t="str" cm="1">
        <f t="array" ref="AS363">IFERROR(INDEX(tblAnalysis[P&amp;L SOL],ROW()-1),"")</f>
        <v/>
      </c>
      <c r="AT363" s="6" t="str">
        <f t="array" ref="AT363">IFERROR(INDEX(tblAnalysis[P&amp;L SOL],ROW()-1),"")</f>
        <v/>
      </c>
      <c r="AZ363" s="10"/>
      <c r="BA363" s="10"/>
      <c r="BF363" t="str">
        <f t="shared" si="103"/>
        <v/>
      </c>
      <c r="BG363" s="27" t="str">
        <f t="shared" si="104"/>
        <v/>
      </c>
      <c r="BH363" t="str">
        <f t="shared" si="105"/>
        <v/>
      </c>
      <c r="BI363" t="str">
        <f t="shared" si="115"/>
        <v/>
      </c>
      <c r="BL363" s="29" t="e">
        <f t="shared" si="110"/>
        <v>#N/A</v>
      </c>
      <c r="BM363" s="29" t="e">
        <f t="shared" si="111"/>
        <v>#N/A</v>
      </c>
    </row>
    <row r="364" spans="17:65" x14ac:dyDescent="0.35">
      <c r="Q364" s="27"/>
      <c r="R364" s="6" t="str">
        <f>IF(Q364="","",SUMIFS(tblAnalysis[P&amp;L SOL],tblAnalysis[Date],Q364))</f>
        <v/>
      </c>
      <c r="S364" s="10" t="str">
        <f>IF(Q364="","",SUMIFS(tblAnalysis[P&amp;L %],tblAnalysis[Date],Q364))</f>
        <v/>
      </c>
      <c r="T364" s="6" t="str">
        <f>IF(Q364="","",IFERROR(SUM($R$2:R364),""))</f>
        <v/>
      </c>
      <c r="U364" t="str">
        <f>IF(Q364="","",COUNTIFS(tblAnalysis[Date],Q364))</f>
        <v/>
      </c>
      <c r="V364" t="str">
        <f>IF(R364="","",COUNTIFS(tblAnalysis[Date],R364))</f>
        <v/>
      </c>
      <c r="W364" s="27" t="str">
        <f t="shared" si="94"/>
        <v/>
      </c>
      <c r="X364" s="6" t="str">
        <f t="shared" si="95"/>
        <v/>
      </c>
      <c r="Y364" s="6" t="str">
        <f>IF(Q364="","",MAX(X364,_xlfn.MAXIFS(tblAnalysis[Cum P&amp;L SOL],tblAnalysis[Date],Q364)))</f>
        <v/>
      </c>
      <c r="Z364" s="6" t="str">
        <f>IF(Q364="","",MIN(X364,_xlfn.MINIFS(tblAnalysis[Cum P&amp;L SOL],tblAnalysis[Date],Q364)))</f>
        <v/>
      </c>
      <c r="AA364" s="6" t="str">
        <f t="shared" si="96"/>
        <v/>
      </c>
      <c r="AB364" s="6" t="str">
        <f t="shared" si="112"/>
        <v/>
      </c>
      <c r="AC364" s="27" t="str">
        <f t="shared" si="97"/>
        <v/>
      </c>
      <c r="AD364" s="10" t="str">
        <f t="shared" si="98"/>
        <v/>
      </c>
      <c r="AE364" s="10" t="str">
        <f t="shared" si="99"/>
        <v/>
      </c>
      <c r="AF364" s="10" t="str">
        <f t="shared" si="100"/>
        <v/>
      </c>
      <c r="AG364" s="10" t="str">
        <f t="shared" si="113"/>
        <v/>
      </c>
      <c r="AH364" t="str">
        <f t="shared" si="101"/>
        <v/>
      </c>
      <c r="AI364" t="str">
        <f t="shared" si="102"/>
        <v/>
      </c>
      <c r="AJ364" t="str">
        <f t="shared" si="114"/>
        <v/>
      </c>
      <c r="AK364" t="str" cm="1">
        <f t="array" ref="AK364">IFERROR(IF(INDEX($A:$A,ROW())="","",INDEX($A:$A,ROW())),"")</f>
        <v/>
      </c>
      <c r="AL364" t="str" cm="1">
        <f t="array" ref="AL364">IFERROR(INDEX(tblTrades[sol_invested],ROW()-1),"")</f>
        <v/>
      </c>
      <c r="AM364" s="6" t="str" cm="1">
        <f t="array" ref="AM364">IFERROR(INDEX(tblAnalysis[P&amp;L SOL],ROW()-1),"")</f>
        <v/>
      </c>
      <c r="AN364" t="str" cm="1">
        <f t="array" ref="AN364">IFERROR(IF(INDEX(tblTrades[sol_invested],ROW()-1)&gt;0.5,INDEX(tblAnalysis[Token],ROW()-1)&amp;" ("&amp;TEXT(INDEX(tblTrades[sol_invested],ROW()-1),"0.0")&amp;" SOL)",""),"")</f>
        <v/>
      </c>
      <c r="AO364" s="7"/>
      <c r="AP364" s="12" t="str" cm="1">
        <f t="array" ref="AP364">IFERROR(INDEX(tblAnalysis[Entry MC ($)],ROW()-1),"")</f>
        <v/>
      </c>
      <c r="AQ364" s="10" t="str" cm="1">
        <f t="array" ref="AQ364">IFERROR(INDEX(tblAnalysis[P&amp;L %],ROW()-1),"")</f>
        <v/>
      </c>
      <c r="AR364" t="str" cm="1">
        <f t="array" ref="AR364">IFERROR(INDEX(tblAnalysis[Hold Time (s)],ROW()-1),"")</f>
        <v/>
      </c>
      <c r="AS364" s="6" t="str" cm="1">
        <f t="array" ref="AS364">IFERROR(INDEX(tblAnalysis[P&amp;L SOL],ROW()-1),"")</f>
        <v/>
      </c>
      <c r="AT364" s="6" t="str">
        <f t="array" ref="AT364">IFERROR(INDEX(tblAnalysis[P&amp;L SOL],ROW()-1),"")</f>
        <v/>
      </c>
      <c r="AZ364" s="10"/>
      <c r="BA364" s="10"/>
      <c r="BF364" t="str">
        <f t="shared" si="103"/>
        <v/>
      </c>
      <c r="BG364" s="27" t="str">
        <f t="shared" si="104"/>
        <v/>
      </c>
      <c r="BH364" t="str">
        <f t="shared" si="105"/>
        <v/>
      </c>
      <c r="BI364" t="str">
        <f t="shared" si="115"/>
        <v/>
      </c>
      <c r="BL364" s="29" t="e">
        <f t="shared" si="110"/>
        <v>#N/A</v>
      </c>
      <c r="BM364" s="29" t="e">
        <f t="shared" si="111"/>
        <v>#N/A</v>
      </c>
    </row>
    <row r="365" spans="17:65" x14ac:dyDescent="0.35">
      <c r="Q365" s="27"/>
      <c r="R365" s="6" t="str">
        <f>IF(Q365="","",SUMIFS(tblAnalysis[P&amp;L SOL],tblAnalysis[Date],Q365))</f>
        <v/>
      </c>
      <c r="S365" s="10" t="str">
        <f>IF(Q365="","",SUMIFS(tblAnalysis[P&amp;L %],tblAnalysis[Date],Q365))</f>
        <v/>
      </c>
      <c r="T365" s="6" t="str">
        <f>IF(Q365="","",IFERROR(SUM($R$2:R365),""))</f>
        <v/>
      </c>
      <c r="U365" t="str">
        <f>IF(Q365="","",COUNTIFS(tblAnalysis[Date],Q365))</f>
        <v/>
      </c>
      <c r="V365" t="str">
        <f>IF(R365="","",COUNTIFS(tblAnalysis[Date],R365))</f>
        <v/>
      </c>
      <c r="W365" s="27" t="str">
        <f t="shared" si="94"/>
        <v/>
      </c>
      <c r="X365" s="6" t="str">
        <f t="shared" si="95"/>
        <v/>
      </c>
      <c r="Y365" s="6" t="str">
        <f>IF(Q365="","",MAX(X365,_xlfn.MAXIFS(tblAnalysis[Cum P&amp;L SOL],tblAnalysis[Date],Q365)))</f>
        <v/>
      </c>
      <c r="Z365" s="6" t="str">
        <f>IF(Q365="","",MIN(X365,_xlfn.MINIFS(tblAnalysis[Cum P&amp;L SOL],tblAnalysis[Date],Q365)))</f>
        <v/>
      </c>
      <c r="AA365" s="6" t="str">
        <f t="shared" si="96"/>
        <v/>
      </c>
      <c r="AB365" s="6" t="str">
        <f t="shared" si="112"/>
        <v/>
      </c>
      <c r="AC365" s="27" t="str">
        <f t="shared" si="97"/>
        <v/>
      </c>
      <c r="AD365" s="10" t="str">
        <f t="shared" si="98"/>
        <v/>
      </c>
      <c r="AE365" s="10" t="str">
        <f t="shared" si="99"/>
        <v/>
      </c>
      <c r="AF365" s="10" t="str">
        <f t="shared" si="100"/>
        <v/>
      </c>
      <c r="AG365" s="10" t="str">
        <f t="shared" si="113"/>
        <v/>
      </c>
      <c r="AH365" t="str">
        <f t="shared" si="101"/>
        <v/>
      </c>
      <c r="AI365" t="str">
        <f t="shared" si="102"/>
        <v/>
      </c>
      <c r="AJ365" t="str">
        <f t="shared" si="114"/>
        <v/>
      </c>
      <c r="AK365" t="str" cm="1">
        <f t="array" ref="AK365">IFERROR(IF(INDEX($A:$A,ROW())="","",INDEX($A:$A,ROW())),"")</f>
        <v/>
      </c>
      <c r="AL365" t="str" cm="1">
        <f t="array" ref="AL365">IFERROR(INDEX(tblTrades[sol_invested],ROW()-1),"")</f>
        <v/>
      </c>
      <c r="AM365" s="6" t="str" cm="1">
        <f t="array" ref="AM365">IFERROR(INDEX(tblAnalysis[P&amp;L SOL],ROW()-1),"")</f>
        <v/>
      </c>
      <c r="AN365" t="str" cm="1">
        <f t="array" ref="AN365">IFERROR(IF(INDEX(tblTrades[sol_invested],ROW()-1)&gt;0.5,INDEX(tblAnalysis[Token],ROW()-1)&amp;" ("&amp;TEXT(INDEX(tblTrades[sol_invested],ROW()-1),"0.0")&amp;" SOL)",""),"")</f>
        <v/>
      </c>
      <c r="AO365" s="7"/>
      <c r="AP365" s="12" t="str" cm="1">
        <f t="array" ref="AP365">IFERROR(INDEX(tblAnalysis[Entry MC ($)],ROW()-1),"")</f>
        <v/>
      </c>
      <c r="AQ365" s="10" t="str" cm="1">
        <f t="array" ref="AQ365">IFERROR(INDEX(tblAnalysis[P&amp;L %],ROW()-1),"")</f>
        <v/>
      </c>
      <c r="AR365" t="str" cm="1">
        <f t="array" ref="AR365">IFERROR(INDEX(tblAnalysis[Hold Time (s)],ROW()-1),"")</f>
        <v/>
      </c>
      <c r="AS365" s="6" t="str" cm="1">
        <f t="array" ref="AS365">IFERROR(INDEX(tblAnalysis[P&amp;L SOL],ROW()-1),"")</f>
        <v/>
      </c>
      <c r="AT365" s="6" t="str">
        <f t="array" ref="AT365">IFERROR(INDEX(tblAnalysis[P&amp;L SOL],ROW()-1),"")</f>
        <v/>
      </c>
      <c r="AZ365" s="10"/>
      <c r="BA365" s="10"/>
      <c r="BF365" t="str">
        <f t="shared" si="103"/>
        <v/>
      </c>
      <c r="BG365" s="27" t="str">
        <f t="shared" si="104"/>
        <v/>
      </c>
      <c r="BH365" t="str">
        <f t="shared" si="105"/>
        <v/>
      </c>
      <c r="BI365" t="str">
        <f t="shared" si="115"/>
        <v/>
      </c>
      <c r="BL365" s="29" t="e">
        <f t="shared" si="110"/>
        <v>#N/A</v>
      </c>
      <c r="BM365" s="29" t="e">
        <f t="shared" si="111"/>
        <v>#N/A</v>
      </c>
    </row>
    <row r="366" spans="17:65" x14ac:dyDescent="0.35">
      <c r="Q366" s="27"/>
      <c r="R366" s="6" t="str">
        <f>IF(Q366="","",SUMIFS(tblAnalysis[P&amp;L SOL],tblAnalysis[Date],Q366))</f>
        <v/>
      </c>
      <c r="S366" s="10" t="str">
        <f>IF(Q366="","",SUMIFS(tblAnalysis[P&amp;L %],tblAnalysis[Date],Q366))</f>
        <v/>
      </c>
      <c r="T366" s="6" t="str">
        <f>IF(Q366="","",IFERROR(SUM($R$2:R366),""))</f>
        <v/>
      </c>
      <c r="U366" t="str">
        <f>IF(Q366="","",COUNTIFS(tblAnalysis[Date],Q366))</f>
        <v/>
      </c>
      <c r="V366" t="str">
        <f>IF(R366="","",COUNTIFS(tblAnalysis[Date],R366))</f>
        <v/>
      </c>
      <c r="W366" s="27" t="str">
        <f t="shared" si="94"/>
        <v/>
      </c>
      <c r="X366" s="6" t="str">
        <f t="shared" si="95"/>
        <v/>
      </c>
      <c r="Y366" s="6" t="str">
        <f>IF(Q366="","",MAX(X366,_xlfn.MAXIFS(tblAnalysis[Cum P&amp;L SOL],tblAnalysis[Date],Q366)))</f>
        <v/>
      </c>
      <c r="Z366" s="6" t="str">
        <f>IF(Q366="","",MIN(X366,_xlfn.MINIFS(tblAnalysis[Cum P&amp;L SOL],tblAnalysis[Date],Q366)))</f>
        <v/>
      </c>
      <c r="AA366" s="6" t="str">
        <f t="shared" si="96"/>
        <v/>
      </c>
      <c r="AB366" s="6" t="str">
        <f t="shared" si="112"/>
        <v/>
      </c>
      <c r="AC366" s="27" t="str">
        <f t="shared" si="97"/>
        <v/>
      </c>
      <c r="AD366" s="10" t="str">
        <f t="shared" si="98"/>
        <v/>
      </c>
      <c r="AE366" s="10" t="str">
        <f t="shared" si="99"/>
        <v/>
      </c>
      <c r="AF366" s="10" t="str">
        <f t="shared" si="100"/>
        <v/>
      </c>
      <c r="AG366" s="10" t="str">
        <f t="shared" si="113"/>
        <v/>
      </c>
      <c r="AH366" t="str">
        <f t="shared" si="101"/>
        <v/>
      </c>
      <c r="AI366" t="str">
        <f t="shared" si="102"/>
        <v/>
      </c>
      <c r="AJ366" t="str">
        <f t="shared" si="114"/>
        <v/>
      </c>
      <c r="AK366" t="str" cm="1">
        <f t="array" ref="AK366">IFERROR(IF(INDEX($A:$A,ROW())="","",INDEX($A:$A,ROW())),"")</f>
        <v/>
      </c>
      <c r="AL366" t="str" cm="1">
        <f t="array" ref="AL366">IFERROR(INDEX(tblTrades[sol_invested],ROW()-1),"")</f>
        <v/>
      </c>
      <c r="AM366" s="6" t="str" cm="1">
        <f t="array" ref="AM366">IFERROR(INDEX(tblAnalysis[P&amp;L SOL],ROW()-1),"")</f>
        <v/>
      </c>
      <c r="AN366" t="str" cm="1">
        <f t="array" ref="AN366">IFERROR(IF(INDEX(tblTrades[sol_invested],ROW()-1)&gt;0.5,INDEX(tblAnalysis[Token],ROW()-1)&amp;" ("&amp;TEXT(INDEX(tblTrades[sol_invested],ROW()-1),"0.0")&amp;" SOL)",""),"")</f>
        <v/>
      </c>
      <c r="AO366" s="7"/>
      <c r="AP366" s="12" t="str" cm="1">
        <f t="array" ref="AP366">IFERROR(INDEX(tblAnalysis[Entry MC ($)],ROW()-1),"")</f>
        <v/>
      </c>
      <c r="AQ366" s="10" t="str" cm="1">
        <f t="array" ref="AQ366">IFERROR(INDEX(tblAnalysis[P&amp;L %],ROW()-1),"")</f>
        <v/>
      </c>
      <c r="AR366" t="str" cm="1">
        <f t="array" ref="AR366">IFERROR(INDEX(tblAnalysis[Hold Time (s)],ROW()-1),"")</f>
        <v/>
      </c>
      <c r="AS366" s="6" t="str" cm="1">
        <f t="array" ref="AS366">IFERROR(INDEX(tblAnalysis[P&amp;L SOL],ROW()-1),"")</f>
        <v/>
      </c>
      <c r="AT366" s="6" t="str">
        <f t="array" ref="AT366">IFERROR(INDEX(tblAnalysis[P&amp;L SOL],ROW()-1),"")</f>
        <v/>
      </c>
      <c r="AZ366" s="10"/>
      <c r="BA366" s="10"/>
      <c r="BF366" t="str">
        <f t="shared" si="103"/>
        <v/>
      </c>
      <c r="BG366" s="27" t="str">
        <f t="shared" si="104"/>
        <v/>
      </c>
      <c r="BH366" t="str">
        <f t="shared" si="105"/>
        <v/>
      </c>
      <c r="BI366" t="str">
        <f t="shared" si="115"/>
        <v/>
      </c>
      <c r="BL366" s="29" t="e">
        <f t="shared" si="110"/>
        <v>#N/A</v>
      </c>
      <c r="BM366" s="29" t="e">
        <f t="shared" si="111"/>
        <v>#N/A</v>
      </c>
    </row>
    <row r="367" spans="17:65" x14ac:dyDescent="0.35">
      <c r="Q367" s="27"/>
      <c r="R367" s="6" t="str">
        <f>IF(Q367="","",SUMIFS(tblAnalysis[P&amp;L SOL],tblAnalysis[Date],Q367))</f>
        <v/>
      </c>
      <c r="S367" s="10" t="str">
        <f>IF(Q367="","",SUMIFS(tblAnalysis[P&amp;L %],tblAnalysis[Date],Q367))</f>
        <v/>
      </c>
      <c r="T367" s="6" t="str">
        <f>IF(Q367="","",IFERROR(SUM($R$2:R367),""))</f>
        <v/>
      </c>
      <c r="U367" t="str">
        <f>IF(Q367="","",COUNTIFS(tblAnalysis[Date],Q367))</f>
        <v/>
      </c>
      <c r="V367" t="str">
        <f>IF(R367="","",COUNTIFS(tblAnalysis[Date],R367))</f>
        <v/>
      </c>
      <c r="W367" s="27" t="str">
        <f t="shared" si="94"/>
        <v/>
      </c>
      <c r="X367" s="6" t="str">
        <f t="shared" si="95"/>
        <v/>
      </c>
      <c r="Y367" s="6" t="str">
        <f>IF(Q367="","",MAX(X367,_xlfn.MAXIFS(tblAnalysis[Cum P&amp;L SOL],tblAnalysis[Date],Q367)))</f>
        <v/>
      </c>
      <c r="Z367" s="6" t="str">
        <f>IF(Q367="","",MIN(X367,_xlfn.MINIFS(tblAnalysis[Cum P&amp;L SOL],tblAnalysis[Date],Q367)))</f>
        <v/>
      </c>
      <c r="AA367" s="6" t="str">
        <f t="shared" si="96"/>
        <v/>
      </c>
      <c r="AB367" s="6" t="str">
        <f t="shared" si="112"/>
        <v/>
      </c>
      <c r="AC367" s="27" t="str">
        <f t="shared" si="97"/>
        <v/>
      </c>
      <c r="AD367" s="10" t="str">
        <f t="shared" si="98"/>
        <v/>
      </c>
      <c r="AE367" s="10" t="str">
        <f t="shared" si="99"/>
        <v/>
      </c>
      <c r="AF367" s="10" t="str">
        <f t="shared" si="100"/>
        <v/>
      </c>
      <c r="AG367" s="10" t="str">
        <f t="shared" si="113"/>
        <v/>
      </c>
      <c r="AH367" t="str">
        <f t="shared" si="101"/>
        <v/>
      </c>
      <c r="AI367" t="str">
        <f t="shared" si="102"/>
        <v/>
      </c>
      <c r="AJ367" t="str">
        <f t="shared" si="114"/>
        <v/>
      </c>
      <c r="AK367" t="str" cm="1">
        <f t="array" ref="AK367">IFERROR(IF(INDEX($A:$A,ROW())="","",INDEX($A:$A,ROW())),"")</f>
        <v/>
      </c>
      <c r="AL367" t="str" cm="1">
        <f t="array" ref="AL367">IFERROR(INDEX(tblTrades[sol_invested],ROW()-1),"")</f>
        <v/>
      </c>
      <c r="AM367" s="6" t="str" cm="1">
        <f t="array" ref="AM367">IFERROR(INDEX(tblAnalysis[P&amp;L SOL],ROW()-1),"")</f>
        <v/>
      </c>
      <c r="AN367" t="str" cm="1">
        <f t="array" ref="AN367">IFERROR(IF(INDEX(tblTrades[sol_invested],ROW()-1)&gt;0.5,INDEX(tblAnalysis[Token],ROW()-1)&amp;" ("&amp;TEXT(INDEX(tblTrades[sol_invested],ROW()-1),"0.0")&amp;" SOL)",""),"")</f>
        <v/>
      </c>
      <c r="AO367" s="7"/>
      <c r="AP367" s="12" t="str" cm="1">
        <f t="array" ref="AP367">IFERROR(INDEX(tblAnalysis[Entry MC ($)],ROW()-1),"")</f>
        <v/>
      </c>
      <c r="AQ367" s="10" t="str" cm="1">
        <f t="array" ref="AQ367">IFERROR(INDEX(tblAnalysis[P&amp;L %],ROW()-1),"")</f>
        <v/>
      </c>
      <c r="AR367" t="str" cm="1">
        <f t="array" ref="AR367">IFERROR(INDEX(tblAnalysis[Hold Time (s)],ROW()-1),"")</f>
        <v/>
      </c>
      <c r="AS367" s="6" t="str" cm="1">
        <f t="array" ref="AS367">IFERROR(INDEX(tblAnalysis[P&amp;L SOL],ROW()-1),"")</f>
        <v/>
      </c>
      <c r="AT367" s="6" t="str">
        <f t="array" ref="AT367">IFERROR(INDEX(tblAnalysis[P&amp;L SOL],ROW()-1),"")</f>
        <v/>
      </c>
      <c r="AZ367" s="10"/>
      <c r="BA367" s="10"/>
      <c r="BF367" t="str">
        <f t="shared" si="103"/>
        <v/>
      </c>
      <c r="BG367" s="27" t="str">
        <f t="shared" si="104"/>
        <v/>
      </c>
      <c r="BH367" t="str">
        <f t="shared" si="105"/>
        <v/>
      </c>
      <c r="BI367" t="str">
        <f t="shared" si="115"/>
        <v/>
      </c>
      <c r="BL367" s="29" t="e">
        <f t="shared" si="110"/>
        <v>#N/A</v>
      </c>
      <c r="BM367" s="29" t="e">
        <f t="shared" si="111"/>
        <v>#N/A</v>
      </c>
    </row>
    <row r="368" spans="17:65" x14ac:dyDescent="0.35">
      <c r="Q368" s="27"/>
      <c r="R368" s="6" t="str">
        <f>IF(Q368="","",SUMIFS(tblAnalysis[P&amp;L SOL],tblAnalysis[Date],Q368))</f>
        <v/>
      </c>
      <c r="S368" s="10" t="str">
        <f>IF(Q368="","",SUMIFS(tblAnalysis[P&amp;L %],tblAnalysis[Date],Q368))</f>
        <v/>
      </c>
      <c r="T368" s="6" t="str">
        <f>IF(Q368="","",IFERROR(SUM($R$2:R368),""))</f>
        <v/>
      </c>
      <c r="U368" t="str">
        <f>IF(Q368="","",COUNTIFS(tblAnalysis[Date],Q368))</f>
        <v/>
      </c>
      <c r="V368" t="str">
        <f>IF(R368="","",COUNTIFS(tblAnalysis[Date],R368))</f>
        <v/>
      </c>
      <c r="W368" s="27" t="str">
        <f t="shared" si="94"/>
        <v/>
      </c>
      <c r="X368" s="6" t="str">
        <f t="shared" si="95"/>
        <v/>
      </c>
      <c r="Y368" s="6" t="str">
        <f>IF(Q368="","",MAX(X368,_xlfn.MAXIFS(tblAnalysis[Cum P&amp;L SOL],tblAnalysis[Date],Q368)))</f>
        <v/>
      </c>
      <c r="Z368" s="6" t="str">
        <f>IF(Q368="","",MIN(X368,_xlfn.MINIFS(tblAnalysis[Cum P&amp;L SOL],tblAnalysis[Date],Q368)))</f>
        <v/>
      </c>
      <c r="AA368" s="6" t="str">
        <f t="shared" si="96"/>
        <v/>
      </c>
      <c r="AB368" s="6" t="str">
        <f t="shared" si="112"/>
        <v/>
      </c>
      <c r="AC368" s="27" t="str">
        <f t="shared" si="97"/>
        <v/>
      </c>
      <c r="AD368" s="10" t="str">
        <f t="shared" si="98"/>
        <v/>
      </c>
      <c r="AE368" s="10" t="str">
        <f t="shared" si="99"/>
        <v/>
      </c>
      <c r="AF368" s="10" t="str">
        <f t="shared" si="100"/>
        <v/>
      </c>
      <c r="AG368" s="10" t="str">
        <f t="shared" si="113"/>
        <v/>
      </c>
      <c r="AH368" t="str">
        <f t="shared" si="101"/>
        <v/>
      </c>
      <c r="AI368" t="str">
        <f t="shared" si="102"/>
        <v/>
      </c>
      <c r="AJ368" t="str">
        <f t="shared" si="114"/>
        <v/>
      </c>
      <c r="AK368" t="str" cm="1">
        <f t="array" ref="AK368">IFERROR(IF(INDEX($A:$A,ROW())="","",INDEX($A:$A,ROW())),"")</f>
        <v/>
      </c>
      <c r="AL368" t="str" cm="1">
        <f t="array" ref="AL368">IFERROR(INDEX(tblTrades[sol_invested],ROW()-1),"")</f>
        <v/>
      </c>
      <c r="AM368" s="6" t="str" cm="1">
        <f t="array" ref="AM368">IFERROR(INDEX(tblAnalysis[P&amp;L SOL],ROW()-1),"")</f>
        <v/>
      </c>
      <c r="AN368" t="str" cm="1">
        <f t="array" ref="AN368">IFERROR(IF(INDEX(tblTrades[sol_invested],ROW()-1)&gt;0.5,INDEX(tblAnalysis[Token],ROW()-1)&amp;" ("&amp;TEXT(INDEX(tblTrades[sol_invested],ROW()-1),"0.0")&amp;" SOL)",""),"")</f>
        <v/>
      </c>
      <c r="AO368" s="7"/>
      <c r="AP368" s="12" t="str" cm="1">
        <f t="array" ref="AP368">IFERROR(INDEX(tblAnalysis[Entry MC ($)],ROW()-1),"")</f>
        <v/>
      </c>
      <c r="AQ368" s="10" t="str" cm="1">
        <f t="array" ref="AQ368">IFERROR(INDEX(tblAnalysis[P&amp;L %],ROW()-1),"")</f>
        <v/>
      </c>
      <c r="AR368" t="str" cm="1">
        <f t="array" ref="AR368">IFERROR(INDEX(tblAnalysis[Hold Time (s)],ROW()-1),"")</f>
        <v/>
      </c>
      <c r="AS368" s="6" t="str" cm="1">
        <f t="array" ref="AS368">IFERROR(INDEX(tblAnalysis[P&amp;L SOL],ROW()-1),"")</f>
        <v/>
      </c>
      <c r="AT368" s="6" t="str">
        <f t="array" ref="AT368">IFERROR(INDEX(tblAnalysis[P&amp;L SOL],ROW()-1),"")</f>
        <v/>
      </c>
      <c r="AZ368" s="10"/>
      <c r="BA368" s="10"/>
      <c r="BF368" t="str">
        <f t="shared" si="103"/>
        <v/>
      </c>
      <c r="BG368" s="27" t="str">
        <f t="shared" si="104"/>
        <v/>
      </c>
      <c r="BH368" t="str">
        <f t="shared" si="105"/>
        <v/>
      </c>
      <c r="BI368" t="str">
        <f t="shared" si="115"/>
        <v/>
      </c>
      <c r="BL368" s="29" t="e">
        <f t="shared" si="110"/>
        <v>#N/A</v>
      </c>
      <c r="BM368" s="29" t="e">
        <f t="shared" si="111"/>
        <v>#N/A</v>
      </c>
    </row>
    <row r="369" spans="17:65" x14ac:dyDescent="0.35">
      <c r="Q369" s="27"/>
      <c r="R369" s="6" t="str">
        <f>IF(Q369="","",SUMIFS(tblAnalysis[P&amp;L SOL],tblAnalysis[Date],Q369))</f>
        <v/>
      </c>
      <c r="S369" s="10" t="str">
        <f>IF(Q369="","",SUMIFS(tblAnalysis[P&amp;L %],tblAnalysis[Date],Q369))</f>
        <v/>
      </c>
      <c r="T369" s="6" t="str">
        <f>IF(Q369="","",IFERROR(SUM($R$2:R369),""))</f>
        <v/>
      </c>
      <c r="U369" t="str">
        <f>IF(Q369="","",COUNTIFS(tblAnalysis[Date],Q369))</f>
        <v/>
      </c>
      <c r="V369" t="str">
        <f>IF(R369="","",COUNTIFS(tblAnalysis[Date],R369))</f>
        <v/>
      </c>
      <c r="W369" s="27" t="str">
        <f t="shared" si="94"/>
        <v/>
      </c>
      <c r="X369" s="6" t="str">
        <f t="shared" si="95"/>
        <v/>
      </c>
      <c r="Y369" s="6" t="str">
        <f>IF(Q369="","",MAX(X369,_xlfn.MAXIFS(tblAnalysis[Cum P&amp;L SOL],tblAnalysis[Date],Q369)))</f>
        <v/>
      </c>
      <c r="Z369" s="6" t="str">
        <f>IF(Q369="","",MIN(X369,_xlfn.MINIFS(tblAnalysis[Cum P&amp;L SOL],tblAnalysis[Date],Q369)))</f>
        <v/>
      </c>
      <c r="AA369" s="6" t="str">
        <f t="shared" si="96"/>
        <v/>
      </c>
      <c r="AB369" s="6" t="str">
        <f t="shared" si="112"/>
        <v/>
      </c>
      <c r="AC369" s="27" t="str">
        <f t="shared" si="97"/>
        <v/>
      </c>
      <c r="AD369" s="10" t="str">
        <f t="shared" si="98"/>
        <v/>
      </c>
      <c r="AE369" s="10" t="str">
        <f t="shared" si="99"/>
        <v/>
      </c>
      <c r="AF369" s="10" t="str">
        <f t="shared" si="100"/>
        <v/>
      </c>
      <c r="AG369" s="10" t="str">
        <f t="shared" si="113"/>
        <v/>
      </c>
      <c r="AH369" t="str">
        <f t="shared" si="101"/>
        <v/>
      </c>
      <c r="AI369" t="str">
        <f t="shared" si="102"/>
        <v/>
      </c>
      <c r="AJ369" t="str">
        <f t="shared" si="114"/>
        <v/>
      </c>
      <c r="AK369" t="str" cm="1">
        <f t="array" ref="AK369">IFERROR(IF(INDEX($A:$A,ROW())="","",INDEX($A:$A,ROW())),"")</f>
        <v/>
      </c>
      <c r="AL369" t="str" cm="1">
        <f t="array" ref="AL369">IFERROR(INDEX(tblTrades[sol_invested],ROW()-1),"")</f>
        <v/>
      </c>
      <c r="AM369" s="6" t="str" cm="1">
        <f t="array" ref="AM369">IFERROR(INDEX(tblAnalysis[P&amp;L SOL],ROW()-1),"")</f>
        <v/>
      </c>
      <c r="AN369" t="str" cm="1">
        <f t="array" ref="AN369">IFERROR(IF(INDEX(tblTrades[sol_invested],ROW()-1)&gt;0.5,INDEX(tblAnalysis[Token],ROW()-1)&amp;" ("&amp;TEXT(INDEX(tblTrades[sol_invested],ROW()-1),"0.0")&amp;" SOL)",""),"")</f>
        <v/>
      </c>
      <c r="AO369" s="7"/>
      <c r="AP369" s="12" t="str" cm="1">
        <f t="array" ref="AP369">IFERROR(INDEX(tblAnalysis[Entry MC ($)],ROW()-1),"")</f>
        <v/>
      </c>
      <c r="AQ369" s="10" t="str" cm="1">
        <f t="array" ref="AQ369">IFERROR(INDEX(tblAnalysis[P&amp;L %],ROW()-1),"")</f>
        <v/>
      </c>
      <c r="AR369" t="str" cm="1">
        <f t="array" ref="AR369">IFERROR(INDEX(tblAnalysis[Hold Time (s)],ROW()-1),"")</f>
        <v/>
      </c>
      <c r="AS369" s="6" t="str" cm="1">
        <f t="array" ref="AS369">IFERROR(INDEX(tblAnalysis[P&amp;L SOL],ROW()-1),"")</f>
        <v/>
      </c>
      <c r="AT369" s="6" t="str">
        <f t="array" ref="AT369">IFERROR(INDEX(tblAnalysis[P&amp;L SOL],ROW()-1),"")</f>
        <v/>
      </c>
      <c r="AZ369" s="10"/>
      <c r="BA369" s="10"/>
      <c r="BF369" t="str">
        <f t="shared" si="103"/>
        <v/>
      </c>
      <c r="BG369" s="27" t="str">
        <f t="shared" si="104"/>
        <v/>
      </c>
      <c r="BH369" t="str">
        <f t="shared" si="105"/>
        <v/>
      </c>
      <c r="BI369" t="str">
        <f t="shared" si="115"/>
        <v/>
      </c>
      <c r="BL369" s="29" t="e">
        <f t="shared" si="110"/>
        <v>#N/A</v>
      </c>
      <c r="BM369" s="29" t="e">
        <f t="shared" si="111"/>
        <v>#N/A</v>
      </c>
    </row>
    <row r="370" spans="17:65" x14ac:dyDescent="0.35">
      <c r="Q370" s="27"/>
      <c r="R370" s="6" t="str">
        <f>IF(Q370="","",SUMIFS(tblAnalysis[P&amp;L SOL],tblAnalysis[Date],Q370))</f>
        <v/>
      </c>
      <c r="S370" s="10" t="str">
        <f>IF(Q370="","",SUMIFS(tblAnalysis[P&amp;L %],tblAnalysis[Date],Q370))</f>
        <v/>
      </c>
      <c r="T370" s="6" t="str">
        <f>IF(Q370="","",IFERROR(SUM($R$2:R370),""))</f>
        <v/>
      </c>
      <c r="U370" t="str">
        <f>IF(Q370="","",COUNTIFS(tblAnalysis[Date],Q370))</f>
        <v/>
      </c>
      <c r="V370" t="str">
        <f>IF(R370="","",COUNTIFS(tblAnalysis[Date],R370))</f>
        <v/>
      </c>
      <c r="W370" s="27" t="str">
        <f t="shared" si="94"/>
        <v/>
      </c>
      <c r="X370" s="6" t="str">
        <f t="shared" si="95"/>
        <v/>
      </c>
      <c r="Y370" s="6" t="str">
        <f>IF(Q370="","",MAX(X370,_xlfn.MAXIFS(tblAnalysis[Cum P&amp;L SOL],tblAnalysis[Date],Q370)))</f>
        <v/>
      </c>
      <c r="Z370" s="6" t="str">
        <f>IF(Q370="","",MIN(X370,_xlfn.MINIFS(tblAnalysis[Cum P&amp;L SOL],tblAnalysis[Date],Q370)))</f>
        <v/>
      </c>
      <c r="AA370" s="6" t="str">
        <f t="shared" si="96"/>
        <v/>
      </c>
      <c r="AB370" s="6" t="str">
        <f t="shared" si="112"/>
        <v/>
      </c>
      <c r="AC370" s="27" t="str">
        <f t="shared" si="97"/>
        <v/>
      </c>
      <c r="AD370" s="10" t="str">
        <f t="shared" si="98"/>
        <v/>
      </c>
      <c r="AE370" s="10" t="str">
        <f t="shared" si="99"/>
        <v/>
      </c>
      <c r="AF370" s="10" t="str">
        <f t="shared" si="100"/>
        <v/>
      </c>
      <c r="AG370" s="10" t="str">
        <f t="shared" si="113"/>
        <v/>
      </c>
      <c r="AH370" t="str">
        <f t="shared" si="101"/>
        <v/>
      </c>
      <c r="AI370" t="str">
        <f t="shared" si="102"/>
        <v/>
      </c>
      <c r="AJ370" t="str">
        <f t="shared" si="114"/>
        <v/>
      </c>
      <c r="AK370" t="str" cm="1">
        <f t="array" ref="AK370">IFERROR(IF(INDEX($A:$A,ROW())="","",INDEX($A:$A,ROW())),"")</f>
        <v/>
      </c>
      <c r="AL370" t="str" cm="1">
        <f t="array" ref="AL370">IFERROR(INDEX(tblTrades[sol_invested],ROW()-1),"")</f>
        <v/>
      </c>
      <c r="AM370" s="6" t="str" cm="1">
        <f t="array" ref="AM370">IFERROR(INDEX(tblAnalysis[P&amp;L SOL],ROW()-1),"")</f>
        <v/>
      </c>
      <c r="AN370" t="str" cm="1">
        <f t="array" ref="AN370">IFERROR(IF(INDEX(tblTrades[sol_invested],ROW()-1)&gt;0.5,INDEX(tblAnalysis[Token],ROW()-1)&amp;" ("&amp;TEXT(INDEX(tblTrades[sol_invested],ROW()-1),"0.0")&amp;" SOL)",""),"")</f>
        <v/>
      </c>
      <c r="AO370" s="7"/>
      <c r="AP370" s="12" t="str" cm="1">
        <f t="array" ref="AP370">IFERROR(INDEX(tblAnalysis[Entry MC ($)],ROW()-1),"")</f>
        <v/>
      </c>
      <c r="AQ370" s="10" t="str" cm="1">
        <f t="array" ref="AQ370">IFERROR(INDEX(tblAnalysis[P&amp;L %],ROW()-1),"")</f>
        <v/>
      </c>
      <c r="AR370" t="str" cm="1">
        <f t="array" ref="AR370">IFERROR(INDEX(tblAnalysis[Hold Time (s)],ROW()-1),"")</f>
        <v/>
      </c>
      <c r="AS370" s="6" t="str" cm="1">
        <f t="array" ref="AS370">IFERROR(INDEX(tblAnalysis[P&amp;L SOL],ROW()-1),"")</f>
        <v/>
      </c>
      <c r="AT370" s="6" t="str">
        <f t="array" ref="AT370">IFERROR(INDEX(tblAnalysis[P&amp;L SOL],ROW()-1),"")</f>
        <v/>
      </c>
      <c r="AZ370" s="10"/>
      <c r="BA370" s="10"/>
      <c r="BF370" t="str">
        <f t="shared" si="103"/>
        <v/>
      </c>
      <c r="BG370" s="27" t="str">
        <f t="shared" si="104"/>
        <v/>
      </c>
      <c r="BH370" t="str">
        <f t="shared" si="105"/>
        <v/>
      </c>
      <c r="BI370" t="str">
        <f t="shared" si="115"/>
        <v/>
      </c>
      <c r="BL370" s="29" t="e">
        <f t="shared" si="110"/>
        <v>#N/A</v>
      </c>
      <c r="BM370" s="29" t="e">
        <f t="shared" si="111"/>
        <v>#N/A</v>
      </c>
    </row>
    <row r="371" spans="17:65" x14ac:dyDescent="0.35">
      <c r="Q371" s="27"/>
      <c r="R371" s="6" t="str">
        <f>IF(Q371="","",SUMIFS(tblAnalysis[P&amp;L SOL],tblAnalysis[Date],Q371))</f>
        <v/>
      </c>
      <c r="S371" s="10" t="str">
        <f>IF(Q371="","",SUMIFS(tblAnalysis[P&amp;L %],tblAnalysis[Date],Q371))</f>
        <v/>
      </c>
      <c r="T371" s="6" t="str">
        <f>IF(Q371="","",IFERROR(SUM($R$2:R371),""))</f>
        <v/>
      </c>
      <c r="U371" t="str">
        <f>IF(Q371="","",COUNTIFS(tblAnalysis[Date],Q371))</f>
        <v/>
      </c>
      <c r="V371" t="str">
        <f>IF(R371="","",COUNTIFS(tblAnalysis[Date],R371))</f>
        <v/>
      </c>
      <c r="W371" s="27" t="str">
        <f t="shared" si="94"/>
        <v/>
      </c>
      <c r="X371" s="6" t="str">
        <f t="shared" si="95"/>
        <v/>
      </c>
      <c r="Y371" s="6" t="str">
        <f>IF(Q371="","",MAX(X371,_xlfn.MAXIFS(tblAnalysis[Cum P&amp;L SOL],tblAnalysis[Date],Q371)))</f>
        <v/>
      </c>
      <c r="Z371" s="6" t="str">
        <f>IF(Q371="","",MIN(X371,_xlfn.MINIFS(tblAnalysis[Cum P&amp;L SOL],tblAnalysis[Date],Q371)))</f>
        <v/>
      </c>
      <c r="AA371" s="6" t="str">
        <f t="shared" si="96"/>
        <v/>
      </c>
      <c r="AB371" s="6" t="str">
        <f t="shared" si="112"/>
        <v/>
      </c>
      <c r="AC371" s="27" t="str">
        <f t="shared" si="97"/>
        <v/>
      </c>
      <c r="AD371" s="10" t="str">
        <f t="shared" si="98"/>
        <v/>
      </c>
      <c r="AE371" s="10" t="str">
        <f t="shared" si="99"/>
        <v/>
      </c>
      <c r="AF371" s="10" t="str">
        <f t="shared" si="100"/>
        <v/>
      </c>
      <c r="AG371" s="10" t="str">
        <f t="shared" si="113"/>
        <v/>
      </c>
      <c r="AH371" t="str">
        <f t="shared" si="101"/>
        <v/>
      </c>
      <c r="AI371" t="str">
        <f t="shared" si="102"/>
        <v/>
      </c>
      <c r="AJ371" t="str">
        <f t="shared" si="114"/>
        <v/>
      </c>
      <c r="AK371" t="str" cm="1">
        <f t="array" ref="AK371">IFERROR(IF(INDEX($A:$A,ROW())="","",INDEX($A:$A,ROW())),"")</f>
        <v/>
      </c>
      <c r="AL371" t="str" cm="1">
        <f t="array" ref="AL371">IFERROR(INDEX(tblTrades[sol_invested],ROW()-1),"")</f>
        <v/>
      </c>
      <c r="AM371" s="6" t="str" cm="1">
        <f t="array" ref="AM371">IFERROR(INDEX(tblAnalysis[P&amp;L SOL],ROW()-1),"")</f>
        <v/>
      </c>
      <c r="AN371" t="str" cm="1">
        <f t="array" ref="AN371">IFERROR(IF(INDEX(tblTrades[sol_invested],ROW()-1)&gt;0.5,INDEX(tblAnalysis[Token],ROW()-1)&amp;" ("&amp;TEXT(INDEX(tblTrades[sol_invested],ROW()-1),"0.0")&amp;" SOL)",""),"")</f>
        <v/>
      </c>
      <c r="AO371" s="7"/>
      <c r="AP371" s="12" t="str" cm="1">
        <f t="array" ref="AP371">IFERROR(INDEX(tblAnalysis[Entry MC ($)],ROW()-1),"")</f>
        <v/>
      </c>
      <c r="AQ371" s="10" t="str" cm="1">
        <f t="array" ref="AQ371">IFERROR(INDEX(tblAnalysis[P&amp;L %],ROW()-1),"")</f>
        <v/>
      </c>
      <c r="AR371" t="str" cm="1">
        <f t="array" ref="AR371">IFERROR(INDEX(tblAnalysis[Hold Time (s)],ROW()-1),"")</f>
        <v/>
      </c>
      <c r="AS371" s="6" t="str" cm="1">
        <f t="array" ref="AS371">IFERROR(INDEX(tblAnalysis[P&amp;L SOL],ROW()-1),"")</f>
        <v/>
      </c>
      <c r="AT371" s="6" t="str">
        <f t="array" ref="AT371">IFERROR(INDEX(tblAnalysis[P&amp;L SOL],ROW()-1),"")</f>
        <v/>
      </c>
      <c r="AZ371" s="10"/>
      <c r="BA371" s="10"/>
      <c r="BF371" t="str">
        <f t="shared" si="103"/>
        <v/>
      </c>
      <c r="BG371" s="27" t="str">
        <f t="shared" si="104"/>
        <v/>
      </c>
      <c r="BH371" t="str">
        <f t="shared" si="105"/>
        <v/>
      </c>
      <c r="BI371" t="str">
        <f t="shared" si="115"/>
        <v/>
      </c>
      <c r="BL371" s="29" t="e">
        <f t="shared" si="110"/>
        <v>#N/A</v>
      </c>
      <c r="BM371" s="29" t="e">
        <f t="shared" si="111"/>
        <v>#N/A</v>
      </c>
    </row>
    <row r="372" spans="17:65" x14ac:dyDescent="0.35">
      <c r="Q372" s="27"/>
      <c r="R372" s="6" t="str">
        <f>IF(Q372="","",SUMIFS(tblAnalysis[P&amp;L SOL],tblAnalysis[Date],Q372))</f>
        <v/>
      </c>
      <c r="S372" s="10" t="str">
        <f>IF(Q372="","",SUMIFS(tblAnalysis[P&amp;L %],tblAnalysis[Date],Q372))</f>
        <v/>
      </c>
      <c r="T372" s="6" t="str">
        <f>IF(Q372="","",IFERROR(SUM($R$2:R372),""))</f>
        <v/>
      </c>
      <c r="U372" t="str">
        <f>IF(Q372="","",COUNTIFS(tblAnalysis[Date],Q372))</f>
        <v/>
      </c>
      <c r="V372" t="str">
        <f>IF(R372="","",COUNTIFS(tblAnalysis[Date],R372))</f>
        <v/>
      </c>
      <c r="W372" s="27" t="str">
        <f t="shared" si="94"/>
        <v/>
      </c>
      <c r="X372" s="6" t="str">
        <f t="shared" si="95"/>
        <v/>
      </c>
      <c r="Y372" s="6" t="str">
        <f>IF(Q372="","",MAX(X372,_xlfn.MAXIFS(tblAnalysis[Cum P&amp;L SOL],tblAnalysis[Date],Q372)))</f>
        <v/>
      </c>
      <c r="Z372" s="6" t="str">
        <f>IF(Q372="","",MIN(X372,_xlfn.MINIFS(tblAnalysis[Cum P&amp;L SOL],tblAnalysis[Date],Q372)))</f>
        <v/>
      </c>
      <c r="AA372" s="6" t="str">
        <f t="shared" si="96"/>
        <v/>
      </c>
      <c r="AB372" s="6" t="str">
        <f t="shared" si="112"/>
        <v/>
      </c>
      <c r="AC372" s="27" t="str">
        <f t="shared" si="97"/>
        <v/>
      </c>
      <c r="AD372" s="10" t="str">
        <f t="shared" si="98"/>
        <v/>
      </c>
      <c r="AE372" s="10" t="str">
        <f t="shared" si="99"/>
        <v/>
      </c>
      <c r="AF372" s="10" t="str">
        <f t="shared" si="100"/>
        <v/>
      </c>
      <c r="AG372" s="10" t="str">
        <f t="shared" si="113"/>
        <v/>
      </c>
      <c r="AH372" t="str">
        <f t="shared" si="101"/>
        <v/>
      </c>
      <c r="AI372" t="str">
        <f t="shared" si="102"/>
        <v/>
      </c>
      <c r="AJ372" t="str">
        <f t="shared" si="114"/>
        <v/>
      </c>
      <c r="AK372" t="str" cm="1">
        <f t="array" ref="AK372">IFERROR(IF(INDEX($A:$A,ROW())="","",INDEX($A:$A,ROW())),"")</f>
        <v/>
      </c>
      <c r="AL372" t="str" cm="1">
        <f t="array" ref="AL372">IFERROR(INDEX(tblTrades[sol_invested],ROW()-1),"")</f>
        <v/>
      </c>
      <c r="AM372" s="6" t="str" cm="1">
        <f t="array" ref="AM372">IFERROR(INDEX(tblAnalysis[P&amp;L SOL],ROW()-1),"")</f>
        <v/>
      </c>
      <c r="AN372" t="str" cm="1">
        <f t="array" ref="AN372">IFERROR(IF(INDEX(tblTrades[sol_invested],ROW()-1)&gt;0.5,INDEX(tblAnalysis[Token],ROW()-1)&amp;" ("&amp;TEXT(INDEX(tblTrades[sol_invested],ROW()-1),"0.0")&amp;" SOL)",""),"")</f>
        <v/>
      </c>
      <c r="AO372" s="7"/>
      <c r="AP372" s="12" t="str" cm="1">
        <f t="array" ref="AP372">IFERROR(INDEX(tblAnalysis[Entry MC ($)],ROW()-1),"")</f>
        <v/>
      </c>
      <c r="AQ372" s="10" t="str" cm="1">
        <f t="array" ref="AQ372">IFERROR(INDEX(tblAnalysis[P&amp;L %],ROW()-1),"")</f>
        <v/>
      </c>
      <c r="AR372" t="str" cm="1">
        <f t="array" ref="AR372">IFERROR(INDEX(tblAnalysis[Hold Time (s)],ROW()-1),"")</f>
        <v/>
      </c>
      <c r="AS372" s="6" t="str" cm="1">
        <f t="array" ref="AS372">IFERROR(INDEX(tblAnalysis[P&amp;L SOL],ROW()-1),"")</f>
        <v/>
      </c>
      <c r="AT372" s="6" t="str">
        <f t="array" ref="AT372">IFERROR(INDEX(tblAnalysis[P&amp;L SOL],ROW()-1),"")</f>
        <v/>
      </c>
      <c r="AZ372" s="10"/>
      <c r="BA372" s="10"/>
      <c r="BF372" t="str">
        <f t="shared" si="103"/>
        <v/>
      </c>
      <c r="BG372" s="27" t="str">
        <f t="shared" si="104"/>
        <v/>
      </c>
      <c r="BH372" t="str">
        <f t="shared" si="105"/>
        <v/>
      </c>
      <c r="BI372" t="str">
        <f t="shared" si="115"/>
        <v/>
      </c>
      <c r="BL372" s="29" t="e">
        <f t="shared" si="110"/>
        <v>#N/A</v>
      </c>
      <c r="BM372" s="29" t="e">
        <f t="shared" si="111"/>
        <v>#N/A</v>
      </c>
    </row>
    <row r="373" spans="17:65" x14ac:dyDescent="0.35">
      <c r="Q373" s="27"/>
      <c r="R373" s="6" t="str">
        <f>IF(Q373="","",SUMIFS(tblAnalysis[P&amp;L SOL],tblAnalysis[Date],Q373))</f>
        <v/>
      </c>
      <c r="S373" s="10" t="str">
        <f>IF(Q373="","",SUMIFS(tblAnalysis[P&amp;L %],tblAnalysis[Date],Q373))</f>
        <v/>
      </c>
      <c r="T373" s="6" t="str">
        <f>IF(Q373="","",IFERROR(SUM($R$2:R373),""))</f>
        <v/>
      </c>
      <c r="U373" t="str">
        <f>IF(Q373="","",COUNTIFS(tblAnalysis[Date],Q373))</f>
        <v/>
      </c>
      <c r="V373" t="str">
        <f>IF(R373="","",COUNTIFS(tblAnalysis[Date],R373))</f>
        <v/>
      </c>
      <c r="W373" s="27" t="str">
        <f t="shared" si="94"/>
        <v/>
      </c>
      <c r="X373" s="6" t="str">
        <f t="shared" si="95"/>
        <v/>
      </c>
      <c r="Y373" s="6" t="str">
        <f>IF(Q373="","",MAX(X373,_xlfn.MAXIFS(tblAnalysis[Cum P&amp;L SOL],tblAnalysis[Date],Q373)))</f>
        <v/>
      </c>
      <c r="Z373" s="6" t="str">
        <f>IF(Q373="","",MIN(X373,_xlfn.MINIFS(tblAnalysis[Cum P&amp;L SOL],tblAnalysis[Date],Q373)))</f>
        <v/>
      </c>
      <c r="AA373" s="6" t="str">
        <f t="shared" si="96"/>
        <v/>
      </c>
      <c r="AB373" s="6" t="str">
        <f t="shared" si="112"/>
        <v/>
      </c>
      <c r="AC373" s="27" t="str">
        <f t="shared" si="97"/>
        <v/>
      </c>
      <c r="AD373" s="10" t="str">
        <f t="shared" si="98"/>
        <v/>
      </c>
      <c r="AE373" s="10" t="str">
        <f t="shared" si="99"/>
        <v/>
      </c>
      <c r="AF373" s="10" t="str">
        <f t="shared" si="100"/>
        <v/>
      </c>
      <c r="AG373" s="10" t="str">
        <f t="shared" si="113"/>
        <v/>
      </c>
      <c r="AH373" t="str">
        <f t="shared" si="101"/>
        <v/>
      </c>
      <c r="AI373" t="str">
        <f t="shared" si="102"/>
        <v/>
      </c>
      <c r="AJ373" t="str">
        <f t="shared" si="114"/>
        <v/>
      </c>
      <c r="AK373" t="str" cm="1">
        <f t="array" ref="AK373">IFERROR(IF(INDEX($A:$A,ROW())="","",INDEX($A:$A,ROW())),"")</f>
        <v/>
      </c>
      <c r="AL373" t="str" cm="1">
        <f t="array" ref="AL373">IFERROR(INDEX(tblTrades[sol_invested],ROW()-1),"")</f>
        <v/>
      </c>
      <c r="AM373" s="6" t="str" cm="1">
        <f t="array" ref="AM373">IFERROR(INDEX(tblAnalysis[P&amp;L SOL],ROW()-1),"")</f>
        <v/>
      </c>
      <c r="AN373" t="str" cm="1">
        <f t="array" ref="AN373">IFERROR(IF(INDEX(tblTrades[sol_invested],ROW()-1)&gt;0.5,INDEX(tblAnalysis[Token],ROW()-1)&amp;" ("&amp;TEXT(INDEX(tblTrades[sol_invested],ROW()-1),"0.0")&amp;" SOL)",""),"")</f>
        <v/>
      </c>
      <c r="AO373" s="7"/>
      <c r="AP373" s="12" t="str" cm="1">
        <f t="array" ref="AP373">IFERROR(INDEX(tblAnalysis[Entry MC ($)],ROW()-1),"")</f>
        <v/>
      </c>
      <c r="AQ373" s="10" t="str" cm="1">
        <f t="array" ref="AQ373">IFERROR(INDEX(tblAnalysis[P&amp;L %],ROW()-1),"")</f>
        <v/>
      </c>
      <c r="AR373" t="str" cm="1">
        <f t="array" ref="AR373">IFERROR(INDEX(tblAnalysis[Hold Time (s)],ROW()-1),"")</f>
        <v/>
      </c>
      <c r="AS373" s="6" t="str" cm="1">
        <f t="array" ref="AS373">IFERROR(INDEX(tblAnalysis[P&amp;L SOL],ROW()-1),"")</f>
        <v/>
      </c>
      <c r="AT373" s="6" t="str">
        <f t="array" ref="AT373">IFERROR(INDEX(tblAnalysis[P&amp;L SOL],ROW()-1),"")</f>
        <v/>
      </c>
      <c r="AZ373" s="10"/>
      <c r="BA373" s="10"/>
      <c r="BF373" t="str">
        <f t="shared" si="103"/>
        <v/>
      </c>
      <c r="BG373" s="27" t="str">
        <f t="shared" si="104"/>
        <v/>
      </c>
      <c r="BH373" t="str">
        <f t="shared" si="105"/>
        <v/>
      </c>
      <c r="BI373" t="str">
        <f t="shared" si="115"/>
        <v/>
      </c>
      <c r="BL373" s="29" t="e">
        <f t="shared" si="110"/>
        <v>#N/A</v>
      </c>
      <c r="BM373" s="29" t="e">
        <f t="shared" si="111"/>
        <v>#N/A</v>
      </c>
    </row>
    <row r="374" spans="17:65" x14ac:dyDescent="0.35">
      <c r="Q374" s="27"/>
      <c r="R374" s="6" t="str">
        <f>IF(Q374="","",SUMIFS(tblAnalysis[P&amp;L SOL],tblAnalysis[Date],Q374))</f>
        <v/>
      </c>
      <c r="S374" s="10" t="str">
        <f>IF(Q374="","",SUMIFS(tblAnalysis[P&amp;L %],tblAnalysis[Date],Q374))</f>
        <v/>
      </c>
      <c r="T374" s="6" t="str">
        <f>IF(Q374="","",IFERROR(SUM($R$2:R374),""))</f>
        <v/>
      </c>
      <c r="U374" t="str">
        <f>IF(Q374="","",COUNTIFS(tblAnalysis[Date],Q374))</f>
        <v/>
      </c>
      <c r="V374" t="str">
        <f>IF(R374="","",COUNTIFS(tblAnalysis[Date],R374))</f>
        <v/>
      </c>
      <c r="W374" s="27" t="str">
        <f t="shared" si="94"/>
        <v/>
      </c>
      <c r="X374" s="6" t="str">
        <f t="shared" si="95"/>
        <v/>
      </c>
      <c r="Y374" s="6" t="str">
        <f>IF(Q374="","",MAX(X374,_xlfn.MAXIFS(tblAnalysis[Cum P&amp;L SOL],tblAnalysis[Date],Q374)))</f>
        <v/>
      </c>
      <c r="Z374" s="6" t="str">
        <f>IF(Q374="","",MIN(X374,_xlfn.MINIFS(tblAnalysis[Cum P&amp;L SOL],tblAnalysis[Date],Q374)))</f>
        <v/>
      </c>
      <c r="AA374" s="6" t="str">
        <f t="shared" si="96"/>
        <v/>
      </c>
      <c r="AB374" s="6" t="str">
        <f t="shared" si="112"/>
        <v/>
      </c>
      <c r="AC374" s="27" t="str">
        <f t="shared" si="97"/>
        <v/>
      </c>
      <c r="AD374" s="10" t="str">
        <f t="shared" si="98"/>
        <v/>
      </c>
      <c r="AE374" s="10" t="str">
        <f t="shared" si="99"/>
        <v/>
      </c>
      <c r="AF374" s="10" t="str">
        <f t="shared" si="100"/>
        <v/>
      </c>
      <c r="AG374" s="10" t="str">
        <f t="shared" si="113"/>
        <v/>
      </c>
      <c r="AH374" t="str">
        <f t="shared" si="101"/>
        <v/>
      </c>
      <c r="AI374" t="str">
        <f t="shared" si="102"/>
        <v/>
      </c>
      <c r="AJ374" t="str">
        <f t="shared" si="114"/>
        <v/>
      </c>
      <c r="AK374" t="str" cm="1">
        <f t="array" ref="AK374">IFERROR(IF(INDEX($A:$A,ROW())="","",INDEX($A:$A,ROW())),"")</f>
        <v/>
      </c>
      <c r="AL374" t="str" cm="1">
        <f t="array" ref="AL374">IFERROR(INDEX(tblTrades[sol_invested],ROW()-1),"")</f>
        <v/>
      </c>
      <c r="AM374" s="6" t="str" cm="1">
        <f t="array" ref="AM374">IFERROR(INDEX(tblAnalysis[P&amp;L SOL],ROW()-1),"")</f>
        <v/>
      </c>
      <c r="AN374" t="str" cm="1">
        <f t="array" ref="AN374">IFERROR(IF(INDEX(tblTrades[sol_invested],ROW()-1)&gt;0.5,INDEX(tblAnalysis[Token],ROW()-1)&amp;" ("&amp;TEXT(INDEX(tblTrades[sol_invested],ROW()-1),"0.0")&amp;" SOL)",""),"")</f>
        <v/>
      </c>
      <c r="AO374" s="7"/>
      <c r="AP374" s="12" t="str" cm="1">
        <f t="array" ref="AP374">IFERROR(INDEX(tblAnalysis[Entry MC ($)],ROW()-1),"")</f>
        <v/>
      </c>
      <c r="AQ374" s="10" t="str" cm="1">
        <f t="array" ref="AQ374">IFERROR(INDEX(tblAnalysis[P&amp;L %],ROW()-1),"")</f>
        <v/>
      </c>
      <c r="AR374" t="str" cm="1">
        <f t="array" ref="AR374">IFERROR(INDEX(tblAnalysis[Hold Time (s)],ROW()-1),"")</f>
        <v/>
      </c>
      <c r="AS374" s="6" t="str" cm="1">
        <f t="array" ref="AS374">IFERROR(INDEX(tblAnalysis[P&amp;L SOL],ROW()-1),"")</f>
        <v/>
      </c>
      <c r="AT374" s="6" t="str">
        <f t="array" ref="AT374">IFERROR(INDEX(tblAnalysis[P&amp;L SOL],ROW()-1),"")</f>
        <v/>
      </c>
      <c r="AZ374" s="10"/>
      <c r="BA374" s="10"/>
      <c r="BF374" t="str">
        <f t="shared" si="103"/>
        <v/>
      </c>
      <c r="BG374" s="27" t="str">
        <f t="shared" si="104"/>
        <v/>
      </c>
      <c r="BH374" t="str">
        <f t="shared" si="105"/>
        <v/>
      </c>
      <c r="BI374" t="str">
        <f t="shared" si="115"/>
        <v/>
      </c>
      <c r="BL374" s="29" t="e">
        <f t="shared" si="110"/>
        <v>#N/A</v>
      </c>
      <c r="BM374" s="29" t="e">
        <f t="shared" si="111"/>
        <v>#N/A</v>
      </c>
    </row>
    <row r="375" spans="17:65" x14ac:dyDescent="0.35">
      <c r="Q375" s="27"/>
      <c r="R375" s="6" t="str">
        <f>IF(Q375="","",SUMIFS(tblAnalysis[P&amp;L SOL],tblAnalysis[Date],Q375))</f>
        <v/>
      </c>
      <c r="S375" s="10" t="str">
        <f>IF(Q375="","",SUMIFS(tblAnalysis[P&amp;L %],tblAnalysis[Date],Q375))</f>
        <v/>
      </c>
      <c r="T375" s="6" t="str">
        <f>IF(Q375="","",IFERROR(SUM($R$2:R375),""))</f>
        <v/>
      </c>
      <c r="U375" t="str">
        <f>IF(Q375="","",COUNTIFS(tblAnalysis[Date],Q375))</f>
        <v/>
      </c>
      <c r="V375" t="str">
        <f>IF(R375="","",COUNTIFS(tblAnalysis[Date],R375))</f>
        <v/>
      </c>
      <c r="W375" s="27" t="str">
        <f t="shared" si="94"/>
        <v/>
      </c>
      <c r="X375" s="6" t="str">
        <f t="shared" si="95"/>
        <v/>
      </c>
      <c r="Y375" s="6" t="str">
        <f>IF(Q375="","",MAX(X375,_xlfn.MAXIFS(tblAnalysis[Cum P&amp;L SOL],tblAnalysis[Date],Q375)))</f>
        <v/>
      </c>
      <c r="Z375" s="6" t="str">
        <f>IF(Q375="","",MIN(X375,_xlfn.MINIFS(tblAnalysis[Cum P&amp;L SOL],tblAnalysis[Date],Q375)))</f>
        <v/>
      </c>
      <c r="AA375" s="6" t="str">
        <f t="shared" si="96"/>
        <v/>
      </c>
      <c r="AB375" s="6" t="str">
        <f t="shared" si="112"/>
        <v/>
      </c>
      <c r="AC375" s="27" t="str">
        <f t="shared" si="97"/>
        <v/>
      </c>
      <c r="AD375" s="10" t="str">
        <f t="shared" si="98"/>
        <v/>
      </c>
      <c r="AE375" s="10" t="str">
        <f t="shared" si="99"/>
        <v/>
      </c>
      <c r="AF375" s="10" t="str">
        <f t="shared" si="100"/>
        <v/>
      </c>
      <c r="AG375" s="10" t="str">
        <f t="shared" si="113"/>
        <v/>
      </c>
      <c r="AH375" t="str">
        <f t="shared" si="101"/>
        <v/>
      </c>
      <c r="AI375" t="str">
        <f t="shared" si="102"/>
        <v/>
      </c>
      <c r="AJ375" t="str">
        <f t="shared" si="114"/>
        <v/>
      </c>
      <c r="AK375" t="str" cm="1">
        <f t="array" ref="AK375">IFERROR(IF(INDEX($A:$A,ROW())="","",INDEX($A:$A,ROW())),"")</f>
        <v/>
      </c>
      <c r="AL375" t="str" cm="1">
        <f t="array" ref="AL375">IFERROR(INDEX(tblTrades[sol_invested],ROW()-1),"")</f>
        <v/>
      </c>
      <c r="AM375" s="6" t="str" cm="1">
        <f t="array" ref="AM375">IFERROR(INDEX(tblAnalysis[P&amp;L SOL],ROW()-1),"")</f>
        <v/>
      </c>
      <c r="AN375" t="str" cm="1">
        <f t="array" ref="AN375">IFERROR(IF(INDEX(tblTrades[sol_invested],ROW()-1)&gt;0.5,INDEX(tblAnalysis[Token],ROW()-1)&amp;" ("&amp;TEXT(INDEX(tblTrades[sol_invested],ROW()-1),"0.0")&amp;" SOL)",""),"")</f>
        <v/>
      </c>
      <c r="AO375" s="7"/>
      <c r="AP375" s="12" t="str" cm="1">
        <f t="array" ref="AP375">IFERROR(INDEX(tblAnalysis[Entry MC ($)],ROW()-1),"")</f>
        <v/>
      </c>
      <c r="AQ375" s="10" t="str" cm="1">
        <f t="array" ref="AQ375">IFERROR(INDEX(tblAnalysis[P&amp;L %],ROW()-1),"")</f>
        <v/>
      </c>
      <c r="AR375" t="str" cm="1">
        <f t="array" ref="AR375">IFERROR(INDEX(tblAnalysis[Hold Time (s)],ROW()-1),"")</f>
        <v/>
      </c>
      <c r="AS375" s="6" t="str" cm="1">
        <f t="array" ref="AS375">IFERROR(INDEX(tblAnalysis[P&amp;L SOL],ROW()-1),"")</f>
        <v/>
      </c>
      <c r="AT375" s="6" t="str">
        <f t="array" ref="AT375">IFERROR(INDEX(tblAnalysis[P&amp;L SOL],ROW()-1),"")</f>
        <v/>
      </c>
      <c r="AZ375" s="10"/>
      <c r="BA375" s="10"/>
      <c r="BF375" t="str">
        <f t="shared" si="103"/>
        <v/>
      </c>
      <c r="BG375" s="27" t="str">
        <f t="shared" si="104"/>
        <v/>
      </c>
      <c r="BH375" t="str">
        <f t="shared" si="105"/>
        <v/>
      </c>
      <c r="BI375" t="str">
        <f t="shared" si="115"/>
        <v/>
      </c>
      <c r="BL375" s="29" t="e">
        <f t="shared" si="110"/>
        <v>#N/A</v>
      </c>
      <c r="BM375" s="29" t="e">
        <f t="shared" si="111"/>
        <v>#N/A</v>
      </c>
    </row>
    <row r="376" spans="17:65" x14ac:dyDescent="0.35">
      <c r="Q376" s="27"/>
      <c r="R376" s="6" t="str">
        <f>IF(Q376="","",SUMIFS(tblAnalysis[P&amp;L SOL],tblAnalysis[Date],Q376))</f>
        <v/>
      </c>
      <c r="S376" s="10" t="str">
        <f>IF(Q376="","",SUMIFS(tblAnalysis[P&amp;L %],tblAnalysis[Date],Q376))</f>
        <v/>
      </c>
      <c r="T376" s="6" t="str">
        <f>IF(Q376="","",IFERROR(SUM($R$2:R376),""))</f>
        <v/>
      </c>
      <c r="U376" t="str">
        <f>IF(Q376="","",COUNTIFS(tblAnalysis[Date],Q376))</f>
        <v/>
      </c>
      <c r="V376" t="str">
        <f>IF(R376="","",COUNTIFS(tblAnalysis[Date],R376))</f>
        <v/>
      </c>
      <c r="W376" s="27" t="str">
        <f t="shared" si="94"/>
        <v/>
      </c>
      <c r="X376" s="6" t="str">
        <f t="shared" si="95"/>
        <v/>
      </c>
      <c r="Y376" s="6" t="str">
        <f>IF(Q376="","",MAX(X376,_xlfn.MAXIFS(tblAnalysis[Cum P&amp;L SOL],tblAnalysis[Date],Q376)))</f>
        <v/>
      </c>
      <c r="Z376" s="6" t="str">
        <f>IF(Q376="","",MIN(X376,_xlfn.MINIFS(tblAnalysis[Cum P&amp;L SOL],tblAnalysis[Date],Q376)))</f>
        <v/>
      </c>
      <c r="AA376" s="6" t="str">
        <f t="shared" si="96"/>
        <v/>
      </c>
      <c r="AB376" s="6" t="str">
        <f t="shared" si="112"/>
        <v/>
      </c>
      <c r="AC376" s="27" t="str">
        <f t="shared" si="97"/>
        <v/>
      </c>
      <c r="AD376" s="10" t="str">
        <f t="shared" si="98"/>
        <v/>
      </c>
      <c r="AE376" s="10" t="str">
        <f t="shared" si="99"/>
        <v/>
      </c>
      <c r="AF376" s="10" t="str">
        <f t="shared" si="100"/>
        <v/>
      </c>
      <c r="AG376" s="10" t="str">
        <f t="shared" si="113"/>
        <v/>
      </c>
      <c r="AH376" t="str">
        <f t="shared" si="101"/>
        <v/>
      </c>
      <c r="AI376" t="str">
        <f t="shared" si="102"/>
        <v/>
      </c>
      <c r="AJ376" t="str">
        <f t="shared" si="114"/>
        <v/>
      </c>
      <c r="AK376" t="str" cm="1">
        <f t="array" ref="AK376">IFERROR(IF(INDEX($A:$A,ROW())="","",INDEX($A:$A,ROW())),"")</f>
        <v/>
      </c>
      <c r="AL376" t="str" cm="1">
        <f t="array" ref="AL376">IFERROR(INDEX(tblTrades[sol_invested],ROW()-1),"")</f>
        <v/>
      </c>
      <c r="AM376" s="6" t="str" cm="1">
        <f t="array" ref="AM376">IFERROR(INDEX(tblAnalysis[P&amp;L SOL],ROW()-1),"")</f>
        <v/>
      </c>
      <c r="AN376" t="str" cm="1">
        <f t="array" ref="AN376">IFERROR(IF(INDEX(tblTrades[sol_invested],ROW()-1)&gt;0.5,INDEX(tblAnalysis[Token],ROW()-1)&amp;" ("&amp;TEXT(INDEX(tblTrades[sol_invested],ROW()-1),"0.0")&amp;" SOL)",""),"")</f>
        <v/>
      </c>
      <c r="AO376" s="7"/>
      <c r="AP376" s="12" t="str" cm="1">
        <f t="array" ref="AP376">IFERROR(INDEX(tblAnalysis[Entry MC ($)],ROW()-1),"")</f>
        <v/>
      </c>
      <c r="AQ376" s="10" t="str" cm="1">
        <f t="array" ref="AQ376">IFERROR(INDEX(tblAnalysis[P&amp;L %],ROW()-1),"")</f>
        <v/>
      </c>
      <c r="AR376" t="str" cm="1">
        <f t="array" ref="AR376">IFERROR(INDEX(tblAnalysis[Hold Time (s)],ROW()-1),"")</f>
        <v/>
      </c>
      <c r="AS376" s="6" t="str" cm="1">
        <f t="array" ref="AS376">IFERROR(INDEX(tblAnalysis[P&amp;L SOL],ROW()-1),"")</f>
        <v/>
      </c>
      <c r="AT376" s="6" t="str">
        <f t="array" ref="AT376">IFERROR(INDEX(tblAnalysis[P&amp;L SOL],ROW()-1),"")</f>
        <v/>
      </c>
      <c r="AZ376" s="10"/>
      <c r="BA376" s="10"/>
      <c r="BF376" t="str">
        <f t="shared" si="103"/>
        <v/>
      </c>
      <c r="BG376" s="27" t="str">
        <f t="shared" si="104"/>
        <v/>
      </c>
      <c r="BH376" t="str">
        <f t="shared" si="105"/>
        <v/>
      </c>
      <c r="BI376" t="str">
        <f t="shared" si="115"/>
        <v/>
      </c>
      <c r="BL376" s="29" t="e">
        <f t="shared" si="110"/>
        <v>#N/A</v>
      </c>
      <c r="BM376" s="29" t="e">
        <f t="shared" si="111"/>
        <v>#N/A</v>
      </c>
    </row>
    <row r="377" spans="17:65" x14ac:dyDescent="0.35">
      <c r="Q377" s="27"/>
      <c r="R377" s="6" t="str">
        <f>IF(Q377="","",SUMIFS(tblAnalysis[P&amp;L SOL],tblAnalysis[Date],Q377))</f>
        <v/>
      </c>
      <c r="S377" s="10" t="str">
        <f>IF(Q377="","",SUMIFS(tblAnalysis[P&amp;L %],tblAnalysis[Date],Q377))</f>
        <v/>
      </c>
      <c r="T377" s="6" t="str">
        <f>IF(Q377="","",IFERROR(SUM($R$2:R377),""))</f>
        <v/>
      </c>
      <c r="U377" t="str">
        <f>IF(Q377="","",COUNTIFS(tblAnalysis[Date],Q377))</f>
        <v/>
      </c>
      <c r="V377" t="str">
        <f>IF(R377="","",COUNTIFS(tblAnalysis[Date],R377))</f>
        <v/>
      </c>
      <c r="W377" s="27" t="str">
        <f t="shared" si="94"/>
        <v/>
      </c>
      <c r="X377" s="6" t="str">
        <f t="shared" si="95"/>
        <v/>
      </c>
      <c r="Y377" s="6" t="str">
        <f>IF(Q377="","",MAX(X377,_xlfn.MAXIFS(tblAnalysis[Cum P&amp;L SOL],tblAnalysis[Date],Q377)))</f>
        <v/>
      </c>
      <c r="Z377" s="6" t="str">
        <f>IF(Q377="","",MIN(X377,_xlfn.MINIFS(tblAnalysis[Cum P&amp;L SOL],tblAnalysis[Date],Q377)))</f>
        <v/>
      </c>
      <c r="AA377" s="6" t="str">
        <f t="shared" si="96"/>
        <v/>
      </c>
      <c r="AB377" s="6" t="str">
        <f t="shared" si="112"/>
        <v/>
      </c>
      <c r="AC377" s="27" t="str">
        <f t="shared" si="97"/>
        <v/>
      </c>
      <c r="AD377" s="10" t="str">
        <f t="shared" si="98"/>
        <v/>
      </c>
      <c r="AE377" s="10" t="str">
        <f t="shared" si="99"/>
        <v/>
      </c>
      <c r="AF377" s="10" t="str">
        <f t="shared" si="100"/>
        <v/>
      </c>
      <c r="AG377" s="10" t="str">
        <f t="shared" si="113"/>
        <v/>
      </c>
      <c r="AH377" t="str">
        <f t="shared" si="101"/>
        <v/>
      </c>
      <c r="AI377" t="str">
        <f t="shared" si="102"/>
        <v/>
      </c>
      <c r="AJ377" t="str">
        <f t="shared" si="114"/>
        <v/>
      </c>
      <c r="AK377" t="str" cm="1">
        <f t="array" ref="AK377">IFERROR(IF(INDEX($A:$A,ROW())="","",INDEX($A:$A,ROW())),"")</f>
        <v/>
      </c>
      <c r="AL377" t="str" cm="1">
        <f t="array" ref="AL377">IFERROR(INDEX(tblTrades[sol_invested],ROW()-1),"")</f>
        <v/>
      </c>
      <c r="AM377" s="6" t="str" cm="1">
        <f t="array" ref="AM377">IFERROR(INDEX(tblAnalysis[P&amp;L SOL],ROW()-1),"")</f>
        <v/>
      </c>
      <c r="AN377" t="str" cm="1">
        <f t="array" ref="AN377">IFERROR(IF(INDEX(tblTrades[sol_invested],ROW()-1)&gt;0.5,INDEX(tblAnalysis[Token],ROW()-1)&amp;" ("&amp;TEXT(INDEX(tblTrades[sol_invested],ROW()-1),"0.0")&amp;" SOL)",""),"")</f>
        <v/>
      </c>
      <c r="AO377" s="7"/>
      <c r="AP377" s="12" t="str" cm="1">
        <f t="array" ref="AP377">IFERROR(INDEX(tblAnalysis[Entry MC ($)],ROW()-1),"")</f>
        <v/>
      </c>
      <c r="AQ377" s="10" t="str" cm="1">
        <f t="array" ref="AQ377">IFERROR(INDEX(tblAnalysis[P&amp;L %],ROW()-1),"")</f>
        <v/>
      </c>
      <c r="AR377" t="str" cm="1">
        <f t="array" ref="AR377">IFERROR(INDEX(tblAnalysis[Hold Time (s)],ROW()-1),"")</f>
        <v/>
      </c>
      <c r="AS377" s="6" t="str" cm="1">
        <f t="array" ref="AS377">IFERROR(INDEX(tblAnalysis[P&amp;L SOL],ROW()-1),"")</f>
        <v/>
      </c>
      <c r="AT377" s="6" t="str">
        <f t="array" ref="AT377">IFERROR(INDEX(tblAnalysis[P&amp;L SOL],ROW()-1),"")</f>
        <v/>
      </c>
      <c r="AZ377" s="10"/>
      <c r="BA377" s="10"/>
      <c r="BF377" t="str">
        <f t="shared" si="103"/>
        <v/>
      </c>
      <c r="BG377" s="27" t="str">
        <f t="shared" si="104"/>
        <v/>
      </c>
      <c r="BH377" t="str">
        <f t="shared" si="105"/>
        <v/>
      </c>
      <c r="BI377" t="str">
        <f t="shared" si="115"/>
        <v/>
      </c>
      <c r="BL377" s="29" t="e">
        <f t="shared" si="110"/>
        <v>#N/A</v>
      </c>
      <c r="BM377" s="29" t="e">
        <f t="shared" si="111"/>
        <v>#N/A</v>
      </c>
    </row>
    <row r="378" spans="17:65" x14ac:dyDescent="0.35">
      <c r="Q378" s="27"/>
      <c r="R378" s="6" t="str">
        <f>IF(Q378="","",SUMIFS(tblAnalysis[P&amp;L SOL],tblAnalysis[Date],Q378))</f>
        <v/>
      </c>
      <c r="S378" s="10" t="str">
        <f>IF(Q378="","",SUMIFS(tblAnalysis[P&amp;L %],tblAnalysis[Date],Q378))</f>
        <v/>
      </c>
      <c r="T378" s="6" t="str">
        <f>IF(Q378="","",IFERROR(SUM($R$2:R378),""))</f>
        <v/>
      </c>
      <c r="U378" t="str">
        <f>IF(Q378="","",COUNTIFS(tblAnalysis[Date],Q378))</f>
        <v/>
      </c>
      <c r="V378" t="str">
        <f>IF(R378="","",COUNTIFS(tblAnalysis[Date],R378))</f>
        <v/>
      </c>
      <c r="W378" s="27" t="str">
        <f t="shared" si="94"/>
        <v/>
      </c>
      <c r="X378" s="6" t="str">
        <f t="shared" si="95"/>
        <v/>
      </c>
      <c r="Y378" s="6" t="str">
        <f>IF(Q378="","",MAX(X378,_xlfn.MAXIFS(tblAnalysis[Cum P&amp;L SOL],tblAnalysis[Date],Q378)))</f>
        <v/>
      </c>
      <c r="Z378" s="6" t="str">
        <f>IF(Q378="","",MIN(X378,_xlfn.MINIFS(tblAnalysis[Cum P&amp;L SOL],tblAnalysis[Date],Q378)))</f>
        <v/>
      </c>
      <c r="AA378" s="6" t="str">
        <f t="shared" si="96"/>
        <v/>
      </c>
      <c r="AB378" s="6" t="str">
        <f t="shared" si="112"/>
        <v/>
      </c>
      <c r="AC378" s="27" t="str">
        <f t="shared" si="97"/>
        <v/>
      </c>
      <c r="AD378" s="10" t="str">
        <f t="shared" si="98"/>
        <v/>
      </c>
      <c r="AE378" s="10" t="str">
        <f t="shared" si="99"/>
        <v/>
      </c>
      <c r="AF378" s="10" t="str">
        <f t="shared" si="100"/>
        <v/>
      </c>
      <c r="AG378" s="10" t="str">
        <f t="shared" si="113"/>
        <v/>
      </c>
      <c r="AH378" t="str">
        <f t="shared" si="101"/>
        <v/>
      </c>
      <c r="AI378" t="str">
        <f t="shared" si="102"/>
        <v/>
      </c>
      <c r="AJ378" t="str">
        <f t="shared" si="114"/>
        <v/>
      </c>
      <c r="AK378" t="str" cm="1">
        <f t="array" ref="AK378">IFERROR(IF(INDEX($A:$A,ROW())="","",INDEX($A:$A,ROW())),"")</f>
        <v/>
      </c>
      <c r="AL378" t="str" cm="1">
        <f t="array" ref="AL378">IFERROR(INDEX(tblTrades[sol_invested],ROW()-1),"")</f>
        <v/>
      </c>
      <c r="AM378" s="6" t="str" cm="1">
        <f t="array" ref="AM378">IFERROR(INDEX(tblAnalysis[P&amp;L SOL],ROW()-1),"")</f>
        <v/>
      </c>
      <c r="AN378" t="str" cm="1">
        <f t="array" ref="AN378">IFERROR(IF(INDEX(tblTrades[sol_invested],ROW()-1)&gt;0.5,INDEX(tblAnalysis[Token],ROW()-1)&amp;" ("&amp;TEXT(INDEX(tblTrades[sol_invested],ROW()-1),"0.0")&amp;" SOL)",""),"")</f>
        <v/>
      </c>
      <c r="AO378" s="7"/>
      <c r="AP378" s="12" t="str" cm="1">
        <f t="array" ref="AP378">IFERROR(INDEX(tblAnalysis[Entry MC ($)],ROW()-1),"")</f>
        <v/>
      </c>
      <c r="AQ378" s="10" t="str" cm="1">
        <f t="array" ref="AQ378">IFERROR(INDEX(tblAnalysis[P&amp;L %],ROW()-1),"")</f>
        <v/>
      </c>
      <c r="AR378" t="str" cm="1">
        <f t="array" ref="AR378">IFERROR(INDEX(tblAnalysis[Hold Time (s)],ROW()-1),"")</f>
        <v/>
      </c>
      <c r="AS378" s="6" t="str" cm="1">
        <f t="array" ref="AS378">IFERROR(INDEX(tblAnalysis[P&amp;L SOL],ROW()-1),"")</f>
        <v/>
      </c>
      <c r="AT378" s="6" t="str">
        <f t="array" ref="AT378">IFERROR(INDEX(tblAnalysis[P&amp;L SOL],ROW()-1),"")</f>
        <v/>
      </c>
      <c r="AZ378" s="10"/>
      <c r="BA378" s="10"/>
      <c r="BF378" t="str">
        <f t="shared" si="103"/>
        <v/>
      </c>
      <c r="BG378" s="27" t="str">
        <f t="shared" si="104"/>
        <v/>
      </c>
      <c r="BH378" t="str">
        <f t="shared" si="105"/>
        <v/>
      </c>
      <c r="BI378" t="str">
        <f t="shared" si="115"/>
        <v/>
      </c>
      <c r="BL378" s="29" t="e">
        <f t="shared" si="110"/>
        <v>#N/A</v>
      </c>
      <c r="BM378" s="29" t="e">
        <f t="shared" si="111"/>
        <v>#N/A</v>
      </c>
    </row>
    <row r="379" spans="17:65" x14ac:dyDescent="0.35">
      <c r="Q379" s="27"/>
      <c r="R379" s="6" t="str">
        <f>IF(Q379="","",SUMIFS(tblAnalysis[P&amp;L SOL],tblAnalysis[Date],Q379))</f>
        <v/>
      </c>
      <c r="S379" s="10" t="str">
        <f>IF(Q379="","",SUMIFS(tblAnalysis[P&amp;L %],tblAnalysis[Date],Q379))</f>
        <v/>
      </c>
      <c r="T379" s="6" t="str">
        <f>IF(Q379="","",IFERROR(SUM($R$2:R379),""))</f>
        <v/>
      </c>
      <c r="U379" t="str">
        <f>IF(Q379="","",COUNTIFS(tblAnalysis[Date],Q379))</f>
        <v/>
      </c>
      <c r="V379" t="str">
        <f>IF(R379="","",COUNTIFS(tblAnalysis[Date],R379))</f>
        <v/>
      </c>
      <c r="W379" s="27" t="str">
        <f t="shared" si="94"/>
        <v/>
      </c>
      <c r="X379" s="6" t="str">
        <f t="shared" si="95"/>
        <v/>
      </c>
      <c r="Y379" s="6" t="str">
        <f>IF(Q379="","",MAX(X379,_xlfn.MAXIFS(tblAnalysis[Cum P&amp;L SOL],tblAnalysis[Date],Q379)))</f>
        <v/>
      </c>
      <c r="Z379" s="6" t="str">
        <f>IF(Q379="","",MIN(X379,_xlfn.MINIFS(tblAnalysis[Cum P&amp;L SOL],tblAnalysis[Date],Q379)))</f>
        <v/>
      </c>
      <c r="AA379" s="6" t="str">
        <f t="shared" si="96"/>
        <v/>
      </c>
      <c r="AB379" s="6" t="str">
        <f t="shared" si="112"/>
        <v/>
      </c>
      <c r="AC379" s="27" t="str">
        <f t="shared" si="97"/>
        <v/>
      </c>
      <c r="AD379" s="10" t="str">
        <f t="shared" si="98"/>
        <v/>
      </c>
      <c r="AE379" s="10" t="str">
        <f t="shared" si="99"/>
        <v/>
      </c>
      <c r="AF379" s="10" t="str">
        <f t="shared" si="100"/>
        <v/>
      </c>
      <c r="AG379" s="10" t="str">
        <f t="shared" si="113"/>
        <v/>
      </c>
      <c r="AH379" t="str">
        <f t="shared" si="101"/>
        <v/>
      </c>
      <c r="AI379" t="str">
        <f t="shared" si="102"/>
        <v/>
      </c>
      <c r="AJ379" t="str">
        <f t="shared" si="114"/>
        <v/>
      </c>
      <c r="AK379" t="str" cm="1">
        <f t="array" ref="AK379">IFERROR(IF(INDEX($A:$A,ROW())="","",INDEX($A:$A,ROW())),"")</f>
        <v/>
      </c>
      <c r="AL379" t="str" cm="1">
        <f t="array" ref="AL379">IFERROR(INDEX(tblTrades[sol_invested],ROW()-1),"")</f>
        <v/>
      </c>
      <c r="AM379" s="6" t="str" cm="1">
        <f t="array" ref="AM379">IFERROR(INDEX(tblAnalysis[P&amp;L SOL],ROW()-1),"")</f>
        <v/>
      </c>
      <c r="AN379" t="str" cm="1">
        <f t="array" ref="AN379">IFERROR(IF(INDEX(tblTrades[sol_invested],ROW()-1)&gt;0.5,INDEX(tblAnalysis[Token],ROW()-1)&amp;" ("&amp;TEXT(INDEX(tblTrades[sol_invested],ROW()-1),"0.0")&amp;" SOL)",""),"")</f>
        <v/>
      </c>
      <c r="AO379" s="7"/>
      <c r="AP379" s="12" t="str" cm="1">
        <f t="array" ref="AP379">IFERROR(INDEX(tblAnalysis[Entry MC ($)],ROW()-1),"")</f>
        <v/>
      </c>
      <c r="AQ379" s="10" t="str" cm="1">
        <f t="array" ref="AQ379">IFERROR(INDEX(tblAnalysis[P&amp;L %],ROW()-1),"")</f>
        <v/>
      </c>
      <c r="AR379" t="str" cm="1">
        <f t="array" ref="AR379">IFERROR(INDEX(tblAnalysis[Hold Time (s)],ROW()-1),"")</f>
        <v/>
      </c>
      <c r="AS379" s="6" t="str" cm="1">
        <f t="array" ref="AS379">IFERROR(INDEX(tblAnalysis[P&amp;L SOL],ROW()-1),"")</f>
        <v/>
      </c>
      <c r="AT379" s="6" t="str">
        <f t="array" ref="AT379">IFERROR(INDEX(tblAnalysis[P&amp;L SOL],ROW()-1),"")</f>
        <v/>
      </c>
      <c r="AZ379" s="10"/>
      <c r="BA379" s="10"/>
      <c r="BF379" t="str">
        <f t="shared" si="103"/>
        <v/>
      </c>
      <c r="BG379" s="27" t="str">
        <f t="shared" si="104"/>
        <v/>
      </c>
      <c r="BH379" t="str">
        <f t="shared" si="105"/>
        <v/>
      </c>
      <c r="BI379" t="str">
        <f t="shared" si="115"/>
        <v/>
      </c>
      <c r="BL379" s="29" t="e">
        <f t="shared" si="110"/>
        <v>#N/A</v>
      </c>
      <c r="BM379" s="29" t="e">
        <f t="shared" si="111"/>
        <v>#N/A</v>
      </c>
    </row>
    <row r="380" spans="17:65" x14ac:dyDescent="0.35">
      <c r="Q380" s="27"/>
      <c r="R380" s="6" t="str">
        <f>IF(Q380="","",SUMIFS(tblAnalysis[P&amp;L SOL],tblAnalysis[Date],Q380))</f>
        <v/>
      </c>
      <c r="S380" s="10" t="str">
        <f>IF(Q380="","",SUMIFS(tblAnalysis[P&amp;L %],tblAnalysis[Date],Q380))</f>
        <v/>
      </c>
      <c r="T380" s="6" t="str">
        <f>IF(Q380="","",IFERROR(SUM($R$2:R380),""))</f>
        <v/>
      </c>
      <c r="U380" t="str">
        <f>IF(Q380="","",COUNTIFS(tblAnalysis[Date],Q380))</f>
        <v/>
      </c>
      <c r="V380" t="str">
        <f>IF(R380="","",COUNTIFS(tblAnalysis[Date],R380))</f>
        <v/>
      </c>
      <c r="W380" s="27" t="str">
        <f t="shared" si="94"/>
        <v/>
      </c>
      <c r="X380" s="6" t="str">
        <f t="shared" si="95"/>
        <v/>
      </c>
      <c r="Y380" s="6" t="str">
        <f>IF(Q380="","",MAX(X380,_xlfn.MAXIFS(tblAnalysis[Cum P&amp;L SOL],tblAnalysis[Date],Q380)))</f>
        <v/>
      </c>
      <c r="Z380" s="6" t="str">
        <f>IF(Q380="","",MIN(X380,_xlfn.MINIFS(tblAnalysis[Cum P&amp;L SOL],tblAnalysis[Date],Q380)))</f>
        <v/>
      </c>
      <c r="AA380" s="6" t="str">
        <f t="shared" si="96"/>
        <v/>
      </c>
      <c r="AB380" s="6" t="str">
        <f t="shared" si="112"/>
        <v/>
      </c>
      <c r="AC380" s="27" t="str">
        <f t="shared" si="97"/>
        <v/>
      </c>
      <c r="AD380" s="10" t="str">
        <f t="shared" si="98"/>
        <v/>
      </c>
      <c r="AE380" s="10" t="str">
        <f t="shared" si="99"/>
        <v/>
      </c>
      <c r="AF380" s="10" t="str">
        <f t="shared" si="100"/>
        <v/>
      </c>
      <c r="AG380" s="10" t="str">
        <f t="shared" si="113"/>
        <v/>
      </c>
      <c r="AH380" t="str">
        <f t="shared" si="101"/>
        <v/>
      </c>
      <c r="AI380" t="str">
        <f t="shared" si="102"/>
        <v/>
      </c>
      <c r="AJ380" t="str">
        <f t="shared" si="114"/>
        <v/>
      </c>
      <c r="AK380" t="str" cm="1">
        <f t="array" ref="AK380">IFERROR(IF(INDEX($A:$A,ROW())="","",INDEX($A:$A,ROW())),"")</f>
        <v/>
      </c>
      <c r="AL380" t="str" cm="1">
        <f t="array" ref="AL380">IFERROR(INDEX(tblTrades[sol_invested],ROW()-1),"")</f>
        <v/>
      </c>
      <c r="AM380" s="6" t="str" cm="1">
        <f t="array" ref="AM380">IFERROR(INDEX(tblAnalysis[P&amp;L SOL],ROW()-1),"")</f>
        <v/>
      </c>
      <c r="AN380" t="str" cm="1">
        <f t="array" ref="AN380">IFERROR(IF(INDEX(tblTrades[sol_invested],ROW()-1)&gt;0.5,INDEX(tblAnalysis[Token],ROW()-1)&amp;" ("&amp;TEXT(INDEX(tblTrades[sol_invested],ROW()-1),"0.0")&amp;" SOL)",""),"")</f>
        <v/>
      </c>
      <c r="AO380" s="7"/>
      <c r="AP380" s="12" t="str" cm="1">
        <f t="array" ref="AP380">IFERROR(INDEX(tblAnalysis[Entry MC ($)],ROW()-1),"")</f>
        <v/>
      </c>
      <c r="AQ380" s="10" t="str" cm="1">
        <f t="array" ref="AQ380">IFERROR(INDEX(tblAnalysis[P&amp;L %],ROW()-1),"")</f>
        <v/>
      </c>
      <c r="AR380" t="str" cm="1">
        <f t="array" ref="AR380">IFERROR(INDEX(tblAnalysis[Hold Time (s)],ROW()-1),"")</f>
        <v/>
      </c>
      <c r="AS380" s="6" t="str" cm="1">
        <f t="array" ref="AS380">IFERROR(INDEX(tblAnalysis[P&amp;L SOL],ROW()-1),"")</f>
        <v/>
      </c>
      <c r="AT380" s="6" t="str">
        <f t="array" ref="AT380">IFERROR(INDEX(tblAnalysis[P&amp;L SOL],ROW()-1),"")</f>
        <v/>
      </c>
      <c r="AZ380" s="10"/>
      <c r="BA380" s="10"/>
      <c r="BF380" t="str">
        <f t="shared" si="103"/>
        <v/>
      </c>
      <c r="BG380" s="27" t="str">
        <f t="shared" si="104"/>
        <v/>
      </c>
      <c r="BH380" t="str">
        <f t="shared" si="105"/>
        <v/>
      </c>
      <c r="BI380" t="str">
        <f t="shared" si="115"/>
        <v/>
      </c>
      <c r="BL380" s="29" t="e">
        <f t="shared" si="110"/>
        <v>#N/A</v>
      </c>
      <c r="BM380" s="29" t="e">
        <f t="shared" si="111"/>
        <v>#N/A</v>
      </c>
    </row>
    <row r="381" spans="17:65" x14ac:dyDescent="0.35">
      <c r="Q381" s="27"/>
      <c r="R381" s="6" t="str">
        <f>IF(Q381="","",SUMIFS(tblAnalysis[P&amp;L SOL],tblAnalysis[Date],Q381))</f>
        <v/>
      </c>
      <c r="S381" s="10" t="str">
        <f>IF(Q381="","",SUMIFS(tblAnalysis[P&amp;L %],tblAnalysis[Date],Q381))</f>
        <v/>
      </c>
      <c r="T381" s="6" t="str">
        <f>IF(Q381="","",IFERROR(SUM($R$2:R381),""))</f>
        <v/>
      </c>
      <c r="U381" t="str">
        <f>IF(Q381="","",COUNTIFS(tblAnalysis[Date],Q381))</f>
        <v/>
      </c>
      <c r="V381" t="str">
        <f>IF(R381="","",COUNTIFS(tblAnalysis[Date],R381))</f>
        <v/>
      </c>
      <c r="W381" s="27" t="str">
        <f t="shared" si="94"/>
        <v/>
      </c>
      <c r="X381" s="6" t="str">
        <f t="shared" si="95"/>
        <v/>
      </c>
      <c r="Y381" s="6" t="str">
        <f>IF(Q381="","",MAX(X381,_xlfn.MAXIFS(tblAnalysis[Cum P&amp;L SOL],tblAnalysis[Date],Q381)))</f>
        <v/>
      </c>
      <c r="Z381" s="6" t="str">
        <f>IF(Q381="","",MIN(X381,_xlfn.MINIFS(tblAnalysis[Cum P&amp;L SOL],tblAnalysis[Date],Q381)))</f>
        <v/>
      </c>
      <c r="AA381" s="6" t="str">
        <f t="shared" si="96"/>
        <v/>
      </c>
      <c r="AB381" s="6" t="str">
        <f t="shared" si="112"/>
        <v/>
      </c>
      <c r="AC381" s="27" t="str">
        <f t="shared" si="97"/>
        <v/>
      </c>
      <c r="AD381" s="10" t="str">
        <f t="shared" si="98"/>
        <v/>
      </c>
      <c r="AE381" s="10" t="str">
        <f t="shared" si="99"/>
        <v/>
      </c>
      <c r="AF381" s="10" t="str">
        <f t="shared" si="100"/>
        <v/>
      </c>
      <c r="AG381" s="10" t="str">
        <f t="shared" si="113"/>
        <v/>
      </c>
      <c r="AH381" t="str">
        <f t="shared" si="101"/>
        <v/>
      </c>
      <c r="AI381" t="str">
        <f t="shared" si="102"/>
        <v/>
      </c>
      <c r="AJ381" t="str">
        <f t="shared" si="114"/>
        <v/>
      </c>
      <c r="AK381" t="str" cm="1">
        <f t="array" ref="AK381">IFERROR(IF(INDEX($A:$A,ROW())="","",INDEX($A:$A,ROW())),"")</f>
        <v/>
      </c>
      <c r="AL381" t="str" cm="1">
        <f t="array" ref="AL381">IFERROR(INDEX(tblTrades[sol_invested],ROW()-1),"")</f>
        <v/>
      </c>
      <c r="AM381" s="6" t="str" cm="1">
        <f t="array" ref="AM381">IFERROR(INDEX(tblAnalysis[P&amp;L SOL],ROW()-1),"")</f>
        <v/>
      </c>
      <c r="AN381" t="str" cm="1">
        <f t="array" ref="AN381">IFERROR(IF(INDEX(tblTrades[sol_invested],ROW()-1)&gt;0.5,INDEX(tblAnalysis[Token],ROW()-1)&amp;" ("&amp;TEXT(INDEX(tblTrades[sol_invested],ROW()-1),"0.0")&amp;" SOL)",""),"")</f>
        <v/>
      </c>
      <c r="AO381" s="7"/>
      <c r="AP381" s="12" t="str" cm="1">
        <f t="array" ref="AP381">IFERROR(INDEX(tblAnalysis[Entry MC ($)],ROW()-1),"")</f>
        <v/>
      </c>
      <c r="AQ381" s="10" t="str" cm="1">
        <f t="array" ref="AQ381">IFERROR(INDEX(tblAnalysis[P&amp;L %],ROW()-1),"")</f>
        <v/>
      </c>
      <c r="AR381" t="str" cm="1">
        <f t="array" ref="AR381">IFERROR(INDEX(tblAnalysis[Hold Time (s)],ROW()-1),"")</f>
        <v/>
      </c>
      <c r="AS381" s="6" t="str" cm="1">
        <f t="array" ref="AS381">IFERROR(INDEX(tblAnalysis[P&amp;L SOL],ROW()-1),"")</f>
        <v/>
      </c>
      <c r="AT381" s="6" t="str">
        <f t="array" ref="AT381">IFERROR(INDEX(tblAnalysis[P&amp;L SOL],ROW()-1),"")</f>
        <v/>
      </c>
      <c r="AZ381" s="10"/>
      <c r="BA381" s="10"/>
      <c r="BF381" t="str">
        <f t="shared" si="103"/>
        <v/>
      </c>
      <c r="BG381" s="27" t="str">
        <f t="shared" si="104"/>
        <v/>
      </c>
      <c r="BH381" t="str">
        <f t="shared" si="105"/>
        <v/>
      </c>
      <c r="BI381" t="str">
        <f t="shared" si="115"/>
        <v/>
      </c>
      <c r="BL381" s="29" t="e">
        <f t="shared" si="110"/>
        <v>#N/A</v>
      </c>
      <c r="BM381" s="29" t="e">
        <f t="shared" si="111"/>
        <v>#N/A</v>
      </c>
    </row>
    <row r="382" spans="17:65" x14ac:dyDescent="0.35">
      <c r="Q382" s="27"/>
      <c r="R382" s="6" t="str">
        <f>IF(Q382="","",SUMIFS(tblAnalysis[P&amp;L SOL],tblAnalysis[Date],Q382))</f>
        <v/>
      </c>
      <c r="S382" s="10" t="str">
        <f>IF(Q382="","",SUMIFS(tblAnalysis[P&amp;L %],tblAnalysis[Date],Q382))</f>
        <v/>
      </c>
      <c r="T382" s="6" t="str">
        <f>IF(Q382="","",IFERROR(SUM($R$2:R382),""))</f>
        <v/>
      </c>
      <c r="U382" t="str">
        <f>IF(Q382="","",COUNTIFS(tblAnalysis[Date],Q382))</f>
        <v/>
      </c>
      <c r="V382" t="str">
        <f>IF(R382="","",COUNTIFS(tblAnalysis[Date],R382))</f>
        <v/>
      </c>
      <c r="W382" s="27" t="str">
        <f t="shared" si="94"/>
        <v/>
      </c>
      <c r="X382" s="6" t="str">
        <f t="shared" si="95"/>
        <v/>
      </c>
      <c r="Y382" s="6" t="str">
        <f>IF(Q382="","",MAX(X382,_xlfn.MAXIFS(tblAnalysis[Cum P&amp;L SOL],tblAnalysis[Date],Q382)))</f>
        <v/>
      </c>
      <c r="Z382" s="6" t="str">
        <f>IF(Q382="","",MIN(X382,_xlfn.MINIFS(tblAnalysis[Cum P&amp;L SOL],tblAnalysis[Date],Q382)))</f>
        <v/>
      </c>
      <c r="AA382" s="6" t="str">
        <f t="shared" si="96"/>
        <v/>
      </c>
      <c r="AB382" s="6" t="str">
        <f t="shared" si="112"/>
        <v/>
      </c>
      <c r="AC382" s="27" t="str">
        <f t="shared" si="97"/>
        <v/>
      </c>
      <c r="AD382" s="10" t="str">
        <f t="shared" si="98"/>
        <v/>
      </c>
      <c r="AE382" s="10" t="str">
        <f t="shared" si="99"/>
        <v/>
      </c>
      <c r="AF382" s="10" t="str">
        <f t="shared" si="100"/>
        <v/>
      </c>
      <c r="AG382" s="10" t="str">
        <f t="shared" si="113"/>
        <v/>
      </c>
      <c r="AH382" t="str">
        <f t="shared" si="101"/>
        <v/>
      </c>
      <c r="AI382" t="str">
        <f t="shared" si="102"/>
        <v/>
      </c>
      <c r="AJ382" t="str">
        <f t="shared" si="114"/>
        <v/>
      </c>
      <c r="AK382" t="str" cm="1">
        <f t="array" ref="AK382">IFERROR(IF(INDEX($A:$A,ROW())="","",INDEX($A:$A,ROW())),"")</f>
        <v/>
      </c>
      <c r="AL382" t="str" cm="1">
        <f t="array" ref="AL382">IFERROR(INDEX(tblTrades[sol_invested],ROW()-1),"")</f>
        <v/>
      </c>
      <c r="AM382" s="6" t="str" cm="1">
        <f t="array" ref="AM382">IFERROR(INDEX(tblAnalysis[P&amp;L SOL],ROW()-1),"")</f>
        <v/>
      </c>
      <c r="AN382" t="str" cm="1">
        <f t="array" ref="AN382">IFERROR(IF(INDEX(tblTrades[sol_invested],ROW()-1)&gt;0.5,INDEX(tblAnalysis[Token],ROW()-1)&amp;" ("&amp;TEXT(INDEX(tblTrades[sol_invested],ROW()-1),"0.0")&amp;" SOL)",""),"")</f>
        <v/>
      </c>
      <c r="AO382" s="7"/>
      <c r="AP382" s="12" t="str" cm="1">
        <f t="array" ref="AP382">IFERROR(INDEX(tblAnalysis[Entry MC ($)],ROW()-1),"")</f>
        <v/>
      </c>
      <c r="AQ382" s="10" t="str" cm="1">
        <f t="array" ref="AQ382">IFERROR(INDEX(tblAnalysis[P&amp;L %],ROW()-1),"")</f>
        <v/>
      </c>
      <c r="AR382" t="str" cm="1">
        <f t="array" ref="AR382">IFERROR(INDEX(tblAnalysis[Hold Time (s)],ROW()-1),"")</f>
        <v/>
      </c>
      <c r="AS382" s="6" t="str" cm="1">
        <f t="array" ref="AS382">IFERROR(INDEX(tblAnalysis[P&amp;L SOL],ROW()-1),"")</f>
        <v/>
      </c>
      <c r="AT382" s="6" t="str">
        <f t="array" ref="AT382">IFERROR(INDEX(tblAnalysis[P&amp;L SOL],ROW()-1),"")</f>
        <v/>
      </c>
      <c r="AZ382" s="10"/>
      <c r="BA382" s="10"/>
      <c r="BF382" t="str">
        <f t="shared" si="103"/>
        <v/>
      </c>
      <c r="BG382" s="27" t="str">
        <f t="shared" si="104"/>
        <v/>
      </c>
      <c r="BH382" t="str">
        <f t="shared" si="105"/>
        <v/>
      </c>
      <c r="BI382" t="str">
        <f t="shared" si="115"/>
        <v/>
      </c>
      <c r="BL382" s="29" t="e">
        <f t="shared" si="110"/>
        <v>#N/A</v>
      </c>
      <c r="BM382" s="29" t="e">
        <f t="shared" si="111"/>
        <v>#N/A</v>
      </c>
    </row>
    <row r="383" spans="17:65" x14ac:dyDescent="0.35">
      <c r="Q383" s="27"/>
      <c r="R383" s="6" t="str">
        <f>IF(Q383="","",SUMIFS(tblAnalysis[P&amp;L SOL],tblAnalysis[Date],Q383))</f>
        <v/>
      </c>
      <c r="S383" s="10" t="str">
        <f>IF(Q383="","",SUMIFS(tblAnalysis[P&amp;L %],tblAnalysis[Date],Q383))</f>
        <v/>
      </c>
      <c r="T383" s="6" t="str">
        <f>IF(Q383="","",IFERROR(SUM($R$2:R383),""))</f>
        <v/>
      </c>
      <c r="U383" t="str">
        <f>IF(Q383="","",COUNTIFS(tblAnalysis[Date],Q383))</f>
        <v/>
      </c>
      <c r="V383" t="str">
        <f>IF(R383="","",COUNTIFS(tblAnalysis[Date],R383))</f>
        <v/>
      </c>
      <c r="W383" s="27" t="str">
        <f t="shared" si="94"/>
        <v/>
      </c>
      <c r="X383" s="6" t="str">
        <f t="shared" si="95"/>
        <v/>
      </c>
      <c r="Y383" s="6" t="str">
        <f>IF(Q383="","",MAX(X383,_xlfn.MAXIFS(tblAnalysis[Cum P&amp;L SOL],tblAnalysis[Date],Q383)))</f>
        <v/>
      </c>
      <c r="Z383" s="6" t="str">
        <f>IF(Q383="","",MIN(X383,_xlfn.MINIFS(tblAnalysis[Cum P&amp;L SOL],tblAnalysis[Date],Q383)))</f>
        <v/>
      </c>
      <c r="AA383" s="6" t="str">
        <f t="shared" si="96"/>
        <v/>
      </c>
      <c r="AB383" s="6" t="str">
        <f t="shared" si="112"/>
        <v/>
      </c>
      <c r="AC383" s="27" t="str">
        <f t="shared" si="97"/>
        <v/>
      </c>
      <c r="AD383" s="10" t="str">
        <f t="shared" si="98"/>
        <v/>
      </c>
      <c r="AE383" s="10" t="str">
        <f t="shared" si="99"/>
        <v/>
      </c>
      <c r="AF383" s="10" t="str">
        <f t="shared" si="100"/>
        <v/>
      </c>
      <c r="AG383" s="10" t="str">
        <f t="shared" si="113"/>
        <v/>
      </c>
      <c r="AH383" t="str">
        <f t="shared" si="101"/>
        <v/>
      </c>
      <c r="AI383" t="str">
        <f t="shared" si="102"/>
        <v/>
      </c>
      <c r="AJ383" t="str">
        <f t="shared" si="114"/>
        <v/>
      </c>
      <c r="AK383" t="str" cm="1">
        <f t="array" ref="AK383">IFERROR(IF(INDEX($A:$A,ROW())="","",INDEX($A:$A,ROW())),"")</f>
        <v/>
      </c>
      <c r="AL383" t="str" cm="1">
        <f t="array" ref="AL383">IFERROR(INDEX(tblTrades[sol_invested],ROW()-1),"")</f>
        <v/>
      </c>
      <c r="AM383" s="6" t="str" cm="1">
        <f t="array" ref="AM383">IFERROR(INDEX(tblAnalysis[P&amp;L SOL],ROW()-1),"")</f>
        <v/>
      </c>
      <c r="AN383" t="str" cm="1">
        <f t="array" ref="AN383">IFERROR(IF(INDEX(tblTrades[sol_invested],ROW()-1)&gt;0.5,INDEX(tblAnalysis[Token],ROW()-1)&amp;" ("&amp;TEXT(INDEX(tblTrades[sol_invested],ROW()-1),"0.0")&amp;" SOL)",""),"")</f>
        <v/>
      </c>
      <c r="AO383" s="7"/>
      <c r="AP383" s="12" t="str" cm="1">
        <f t="array" ref="AP383">IFERROR(INDEX(tblAnalysis[Entry MC ($)],ROW()-1),"")</f>
        <v/>
      </c>
      <c r="AQ383" s="10" t="str" cm="1">
        <f t="array" ref="AQ383">IFERROR(INDEX(tblAnalysis[P&amp;L %],ROW()-1),"")</f>
        <v/>
      </c>
      <c r="AR383" t="str" cm="1">
        <f t="array" ref="AR383">IFERROR(INDEX(tblAnalysis[Hold Time (s)],ROW()-1),"")</f>
        <v/>
      </c>
      <c r="AS383" s="6" t="str" cm="1">
        <f t="array" ref="AS383">IFERROR(INDEX(tblAnalysis[P&amp;L SOL],ROW()-1),"")</f>
        <v/>
      </c>
      <c r="AT383" s="6" t="str">
        <f t="array" ref="AT383">IFERROR(INDEX(tblAnalysis[P&amp;L SOL],ROW()-1),"")</f>
        <v/>
      </c>
      <c r="AZ383" s="10"/>
      <c r="BA383" s="10"/>
      <c r="BF383" t="str">
        <f t="shared" si="103"/>
        <v/>
      </c>
      <c r="BG383" s="27" t="str">
        <f t="shared" si="104"/>
        <v/>
      </c>
      <c r="BH383" t="str">
        <f t="shared" si="105"/>
        <v/>
      </c>
      <c r="BI383" t="str">
        <f t="shared" si="115"/>
        <v/>
      </c>
      <c r="BL383" s="29" t="e">
        <f t="shared" si="110"/>
        <v>#N/A</v>
      </c>
      <c r="BM383" s="29" t="e">
        <f t="shared" si="111"/>
        <v>#N/A</v>
      </c>
    </row>
    <row r="384" spans="17:65" x14ac:dyDescent="0.35">
      <c r="Q384" s="27"/>
      <c r="R384" s="6" t="str">
        <f>IF(Q384="","",SUMIFS(tblAnalysis[P&amp;L SOL],tblAnalysis[Date],Q384))</f>
        <v/>
      </c>
      <c r="S384" s="10" t="str">
        <f>IF(Q384="","",SUMIFS(tblAnalysis[P&amp;L %],tblAnalysis[Date],Q384))</f>
        <v/>
      </c>
      <c r="T384" s="6" t="str">
        <f>IF(Q384="","",IFERROR(SUM($R$2:R384),""))</f>
        <v/>
      </c>
      <c r="U384" t="str">
        <f>IF(Q384="","",COUNTIFS(tblAnalysis[Date],Q384))</f>
        <v/>
      </c>
      <c r="V384" t="str">
        <f>IF(R384="","",COUNTIFS(tblAnalysis[Date],R384))</f>
        <v/>
      </c>
      <c r="W384" s="27" t="str">
        <f t="shared" si="94"/>
        <v/>
      </c>
      <c r="X384" s="6" t="str">
        <f t="shared" si="95"/>
        <v/>
      </c>
      <c r="Y384" s="6" t="str">
        <f>IF(Q384="","",MAX(X384,_xlfn.MAXIFS(tblAnalysis[Cum P&amp;L SOL],tblAnalysis[Date],Q384)))</f>
        <v/>
      </c>
      <c r="Z384" s="6" t="str">
        <f>IF(Q384="","",MIN(X384,_xlfn.MINIFS(tblAnalysis[Cum P&amp;L SOL],tblAnalysis[Date],Q384)))</f>
        <v/>
      </c>
      <c r="AA384" s="6" t="str">
        <f t="shared" si="96"/>
        <v/>
      </c>
      <c r="AB384" s="6" t="str">
        <f t="shared" si="112"/>
        <v/>
      </c>
      <c r="AC384" s="27" t="str">
        <f t="shared" si="97"/>
        <v/>
      </c>
      <c r="AD384" s="10" t="str">
        <f t="shared" si="98"/>
        <v/>
      </c>
      <c r="AE384" s="10" t="str">
        <f t="shared" si="99"/>
        <v/>
      </c>
      <c r="AF384" s="10" t="str">
        <f t="shared" si="100"/>
        <v/>
      </c>
      <c r="AG384" s="10" t="str">
        <f t="shared" si="113"/>
        <v/>
      </c>
      <c r="AH384" t="str">
        <f t="shared" si="101"/>
        <v/>
      </c>
      <c r="AI384" t="str">
        <f t="shared" si="102"/>
        <v/>
      </c>
      <c r="AJ384" t="str">
        <f t="shared" si="114"/>
        <v/>
      </c>
      <c r="AK384" t="str" cm="1">
        <f t="array" ref="AK384">IFERROR(IF(INDEX($A:$A,ROW())="","",INDEX($A:$A,ROW())),"")</f>
        <v/>
      </c>
      <c r="AL384" t="str" cm="1">
        <f t="array" ref="AL384">IFERROR(INDEX(tblTrades[sol_invested],ROW()-1),"")</f>
        <v/>
      </c>
      <c r="AM384" s="6" t="str" cm="1">
        <f t="array" ref="AM384">IFERROR(INDEX(tblAnalysis[P&amp;L SOL],ROW()-1),"")</f>
        <v/>
      </c>
      <c r="AN384" t="str" cm="1">
        <f t="array" ref="AN384">IFERROR(IF(INDEX(tblTrades[sol_invested],ROW()-1)&gt;0.5,INDEX(tblAnalysis[Token],ROW()-1)&amp;" ("&amp;TEXT(INDEX(tblTrades[sol_invested],ROW()-1),"0.0")&amp;" SOL)",""),"")</f>
        <v/>
      </c>
      <c r="AO384" s="7"/>
      <c r="AP384" s="12" t="str" cm="1">
        <f t="array" ref="AP384">IFERROR(INDEX(tblAnalysis[Entry MC ($)],ROW()-1),"")</f>
        <v/>
      </c>
      <c r="AQ384" s="10" t="str" cm="1">
        <f t="array" ref="AQ384">IFERROR(INDEX(tblAnalysis[P&amp;L %],ROW()-1),"")</f>
        <v/>
      </c>
      <c r="AR384" t="str" cm="1">
        <f t="array" ref="AR384">IFERROR(INDEX(tblAnalysis[Hold Time (s)],ROW()-1),"")</f>
        <v/>
      </c>
      <c r="AS384" s="6" t="str" cm="1">
        <f t="array" ref="AS384">IFERROR(INDEX(tblAnalysis[P&amp;L SOL],ROW()-1),"")</f>
        <v/>
      </c>
      <c r="AT384" s="6" t="str">
        <f t="array" ref="AT384">IFERROR(INDEX(tblAnalysis[P&amp;L SOL],ROW()-1),"")</f>
        <v/>
      </c>
      <c r="AZ384" s="10"/>
      <c r="BA384" s="10"/>
      <c r="BF384" t="str">
        <f t="shared" si="103"/>
        <v/>
      </c>
      <c r="BG384" s="27" t="str">
        <f t="shared" si="104"/>
        <v/>
      </c>
      <c r="BH384" t="str">
        <f t="shared" si="105"/>
        <v/>
      </c>
      <c r="BI384" t="str">
        <f t="shared" si="115"/>
        <v/>
      </c>
      <c r="BL384" s="29" t="e">
        <f t="shared" si="110"/>
        <v>#N/A</v>
      </c>
      <c r="BM384" s="29" t="e">
        <f t="shared" si="111"/>
        <v>#N/A</v>
      </c>
    </row>
    <row r="385" spans="17:65" x14ac:dyDescent="0.35">
      <c r="Q385" s="27"/>
      <c r="R385" s="6" t="str">
        <f>IF(Q385="","",SUMIFS(tblAnalysis[P&amp;L SOL],tblAnalysis[Date],Q385))</f>
        <v/>
      </c>
      <c r="S385" s="10" t="str">
        <f>IF(Q385="","",SUMIFS(tblAnalysis[P&amp;L %],tblAnalysis[Date],Q385))</f>
        <v/>
      </c>
      <c r="T385" s="6" t="str">
        <f>IF(Q385="","",IFERROR(SUM($R$2:R385),""))</f>
        <v/>
      </c>
      <c r="U385" t="str">
        <f>IF(Q385="","",COUNTIFS(tblAnalysis[Date],Q385))</f>
        <v/>
      </c>
      <c r="V385" t="str">
        <f>IF(R385="","",COUNTIFS(tblAnalysis[Date],R385))</f>
        <v/>
      </c>
      <c r="W385" s="27" t="str">
        <f t="shared" si="94"/>
        <v/>
      </c>
      <c r="X385" s="6" t="str">
        <f t="shared" si="95"/>
        <v/>
      </c>
      <c r="Y385" s="6" t="str">
        <f>IF(Q385="","",MAX(X385,_xlfn.MAXIFS(tblAnalysis[Cum P&amp;L SOL],tblAnalysis[Date],Q385)))</f>
        <v/>
      </c>
      <c r="Z385" s="6" t="str">
        <f>IF(Q385="","",MIN(X385,_xlfn.MINIFS(tblAnalysis[Cum P&amp;L SOL],tblAnalysis[Date],Q385)))</f>
        <v/>
      </c>
      <c r="AA385" s="6" t="str">
        <f t="shared" si="96"/>
        <v/>
      </c>
      <c r="AB385" s="6" t="str">
        <f t="shared" si="112"/>
        <v/>
      </c>
      <c r="AC385" s="27" t="str">
        <f t="shared" si="97"/>
        <v/>
      </c>
      <c r="AD385" s="10" t="str">
        <f t="shared" si="98"/>
        <v/>
      </c>
      <c r="AE385" s="10" t="str">
        <f t="shared" si="99"/>
        <v/>
      </c>
      <c r="AF385" s="10" t="str">
        <f t="shared" si="100"/>
        <v/>
      </c>
      <c r="AG385" s="10" t="str">
        <f t="shared" si="113"/>
        <v/>
      </c>
      <c r="AH385" t="str">
        <f t="shared" si="101"/>
        <v/>
      </c>
      <c r="AI385" t="str">
        <f t="shared" si="102"/>
        <v/>
      </c>
      <c r="AJ385" t="str">
        <f t="shared" si="114"/>
        <v/>
      </c>
      <c r="AK385" t="str" cm="1">
        <f t="array" ref="AK385">IFERROR(IF(INDEX($A:$A,ROW())="","",INDEX($A:$A,ROW())),"")</f>
        <v/>
      </c>
      <c r="AL385" t="str" cm="1">
        <f t="array" ref="AL385">IFERROR(INDEX(tblTrades[sol_invested],ROW()-1),"")</f>
        <v/>
      </c>
      <c r="AM385" s="6" t="str" cm="1">
        <f t="array" ref="AM385">IFERROR(INDEX(tblAnalysis[P&amp;L SOL],ROW()-1),"")</f>
        <v/>
      </c>
      <c r="AN385" t="str" cm="1">
        <f t="array" ref="AN385">IFERROR(IF(INDEX(tblTrades[sol_invested],ROW()-1)&gt;0.5,INDEX(tblAnalysis[Token],ROW()-1)&amp;" ("&amp;TEXT(INDEX(tblTrades[sol_invested],ROW()-1),"0.0")&amp;" SOL)",""),"")</f>
        <v/>
      </c>
      <c r="AO385" s="7"/>
      <c r="AP385" s="12" t="str" cm="1">
        <f t="array" ref="AP385">IFERROR(INDEX(tblAnalysis[Entry MC ($)],ROW()-1),"")</f>
        <v/>
      </c>
      <c r="AQ385" s="10" t="str" cm="1">
        <f t="array" ref="AQ385">IFERROR(INDEX(tblAnalysis[P&amp;L %],ROW()-1),"")</f>
        <v/>
      </c>
      <c r="AR385" t="str" cm="1">
        <f t="array" ref="AR385">IFERROR(INDEX(tblAnalysis[Hold Time (s)],ROW()-1),"")</f>
        <v/>
      </c>
      <c r="AS385" s="6" t="str" cm="1">
        <f t="array" ref="AS385">IFERROR(INDEX(tblAnalysis[P&amp;L SOL],ROW()-1),"")</f>
        <v/>
      </c>
      <c r="AT385" s="6" t="str">
        <f t="array" ref="AT385">IFERROR(INDEX(tblAnalysis[P&amp;L SOL],ROW()-1),"")</f>
        <v/>
      </c>
      <c r="AZ385" s="10"/>
      <c r="BA385" s="10"/>
      <c r="BF385" t="str">
        <f t="shared" si="103"/>
        <v/>
      </c>
      <c r="BG385" s="27" t="str">
        <f t="shared" si="104"/>
        <v/>
      </c>
      <c r="BH385" t="str">
        <f t="shared" si="105"/>
        <v/>
      </c>
      <c r="BI385" t="str">
        <f t="shared" si="115"/>
        <v/>
      </c>
      <c r="BL385" s="29" t="e">
        <f t="shared" si="110"/>
        <v>#N/A</v>
      </c>
      <c r="BM385" s="29" t="e">
        <f t="shared" si="111"/>
        <v>#N/A</v>
      </c>
    </row>
    <row r="386" spans="17:65" x14ac:dyDescent="0.35">
      <c r="Q386" s="27"/>
      <c r="R386" s="6" t="str">
        <f>IF(Q386="","",SUMIFS(tblAnalysis[P&amp;L SOL],tblAnalysis[Date],Q386))</f>
        <v/>
      </c>
      <c r="S386" s="10" t="str">
        <f>IF(Q386="","",SUMIFS(tblAnalysis[P&amp;L %],tblAnalysis[Date],Q386))</f>
        <v/>
      </c>
      <c r="T386" s="6" t="str">
        <f>IF(Q386="","",IFERROR(SUM($R$2:R386),""))</f>
        <v/>
      </c>
      <c r="U386" t="str">
        <f>IF(Q386="","",COUNTIFS(tblAnalysis[Date],Q386))</f>
        <v/>
      </c>
      <c r="V386" t="str">
        <f>IF(R386="","",COUNTIFS(tblAnalysis[Date],R386))</f>
        <v/>
      </c>
      <c r="W386" s="27" t="str">
        <f t="shared" si="94"/>
        <v/>
      </c>
      <c r="X386" s="6" t="str">
        <f t="shared" si="95"/>
        <v/>
      </c>
      <c r="Y386" s="6" t="str">
        <f>IF(Q386="","",MAX(X386,_xlfn.MAXIFS(tblAnalysis[Cum P&amp;L SOL],tblAnalysis[Date],Q386)))</f>
        <v/>
      </c>
      <c r="Z386" s="6" t="str">
        <f>IF(Q386="","",MIN(X386,_xlfn.MINIFS(tblAnalysis[Cum P&amp;L SOL],tblAnalysis[Date],Q386)))</f>
        <v/>
      </c>
      <c r="AA386" s="6" t="str">
        <f t="shared" si="96"/>
        <v/>
      </c>
      <c r="AB386" s="6" t="str">
        <f t="shared" si="112"/>
        <v/>
      </c>
      <c r="AC386" s="27" t="str">
        <f t="shared" si="97"/>
        <v/>
      </c>
      <c r="AD386" s="10" t="str">
        <f t="shared" si="98"/>
        <v/>
      </c>
      <c r="AE386" s="10" t="str">
        <f t="shared" si="99"/>
        <v/>
      </c>
      <c r="AF386" s="10" t="str">
        <f t="shared" si="100"/>
        <v/>
      </c>
      <c r="AG386" s="10" t="str">
        <f t="shared" si="113"/>
        <v/>
      </c>
      <c r="AH386" t="str">
        <f t="shared" si="101"/>
        <v/>
      </c>
      <c r="AI386" t="str">
        <f t="shared" si="102"/>
        <v/>
      </c>
      <c r="AJ386" t="str">
        <f t="shared" si="114"/>
        <v/>
      </c>
      <c r="AK386" t="str" cm="1">
        <f t="array" ref="AK386">IFERROR(IF(INDEX($A:$A,ROW())="","",INDEX($A:$A,ROW())),"")</f>
        <v/>
      </c>
      <c r="AL386" t="str" cm="1">
        <f t="array" ref="AL386">IFERROR(INDEX(tblTrades[sol_invested],ROW()-1),"")</f>
        <v/>
      </c>
      <c r="AM386" s="6" t="str" cm="1">
        <f t="array" ref="AM386">IFERROR(INDEX(tblAnalysis[P&amp;L SOL],ROW()-1),"")</f>
        <v/>
      </c>
      <c r="AN386" t="str" cm="1">
        <f t="array" ref="AN386">IFERROR(IF(INDEX(tblTrades[sol_invested],ROW()-1)&gt;0.5,INDEX(tblAnalysis[Token],ROW()-1)&amp;" ("&amp;TEXT(INDEX(tblTrades[sol_invested],ROW()-1),"0.0")&amp;" SOL)",""),"")</f>
        <v/>
      </c>
      <c r="AO386" s="7"/>
      <c r="AP386" s="12" t="str" cm="1">
        <f t="array" ref="AP386">IFERROR(INDEX(tblAnalysis[Entry MC ($)],ROW()-1),"")</f>
        <v/>
      </c>
      <c r="AQ386" s="10" t="str" cm="1">
        <f t="array" ref="AQ386">IFERROR(INDEX(tblAnalysis[P&amp;L %],ROW()-1),"")</f>
        <v/>
      </c>
      <c r="AR386" t="str" cm="1">
        <f t="array" ref="AR386">IFERROR(INDEX(tblAnalysis[Hold Time (s)],ROW()-1),"")</f>
        <v/>
      </c>
      <c r="AS386" s="6" t="str" cm="1">
        <f t="array" ref="AS386">IFERROR(INDEX(tblAnalysis[P&amp;L SOL],ROW()-1),"")</f>
        <v/>
      </c>
      <c r="AT386" s="6" t="str">
        <f t="array" ref="AT386">IFERROR(INDEX(tblAnalysis[P&amp;L SOL],ROW()-1),"")</f>
        <v/>
      </c>
      <c r="AZ386" s="10"/>
      <c r="BA386" s="10"/>
      <c r="BF386" t="str">
        <f t="shared" si="103"/>
        <v/>
      </c>
      <c r="BG386" s="27" t="str">
        <f t="shared" si="104"/>
        <v/>
      </c>
      <c r="BH386" t="str">
        <f t="shared" si="105"/>
        <v/>
      </c>
      <c r="BI386" t="str">
        <f t="shared" si="115"/>
        <v/>
      </c>
      <c r="BL386" s="29" t="e">
        <f t="shared" si="110"/>
        <v>#N/A</v>
      </c>
      <c r="BM386" s="29" t="e">
        <f t="shared" si="111"/>
        <v>#N/A</v>
      </c>
    </row>
    <row r="387" spans="17:65" x14ac:dyDescent="0.35">
      <c r="Q387" s="27"/>
      <c r="R387" s="6" t="str">
        <f>IF(Q387="","",SUMIFS(tblAnalysis[P&amp;L SOL],tblAnalysis[Date],Q387))</f>
        <v/>
      </c>
      <c r="S387" s="10" t="str">
        <f>IF(Q387="","",SUMIFS(tblAnalysis[P&amp;L %],tblAnalysis[Date],Q387))</f>
        <v/>
      </c>
      <c r="T387" s="6" t="str">
        <f>IF(Q387="","",IFERROR(SUM($R$2:R387),""))</f>
        <v/>
      </c>
      <c r="U387" t="str">
        <f>IF(Q387="","",COUNTIFS(tblAnalysis[Date],Q387))</f>
        <v/>
      </c>
      <c r="V387" t="str">
        <f>IF(R387="","",COUNTIFS(tblAnalysis[Date],R387))</f>
        <v/>
      </c>
      <c r="W387" s="27" t="str">
        <f t="shared" ref="W387:W450" si="116">IF(Q387="","",Q387)</f>
        <v/>
      </c>
      <c r="X387" s="6" t="str">
        <f t="shared" ref="X387:X450" si="117">IF(Q387="","",IF(ROW()=2,0,AA386))</f>
        <v/>
      </c>
      <c r="Y387" s="6" t="str">
        <f>IF(Q387="","",MAX(X387,_xlfn.MAXIFS(tblAnalysis[Cum P&amp;L SOL],tblAnalysis[Date],Q387)))</f>
        <v/>
      </c>
      <c r="Z387" s="6" t="str">
        <f>IF(Q387="","",MIN(X387,_xlfn.MINIFS(tblAnalysis[Cum P&amp;L SOL],tblAnalysis[Date],Q387)))</f>
        <v/>
      </c>
      <c r="AA387" s="6" t="str">
        <f t="shared" ref="AA387:AA450" si="118">IF(Q387="","",T387)</f>
        <v/>
      </c>
      <c r="AB387" s="6" t="str">
        <f t="shared" si="112"/>
        <v/>
      </c>
      <c r="AC387" s="27" t="str">
        <f t="shared" ref="AC387:AC450" si="119">IF(Q387="","",Q387)</f>
        <v/>
      </c>
      <c r="AD387" s="10" t="str">
        <f t="shared" ref="AD387:AD450" si="120">IF(Q387="","",(Y387-X387)/$BK$1)</f>
        <v/>
      </c>
      <c r="AE387" s="10" t="str">
        <f t="shared" ref="AE387:AE450" si="121">IF(Q387="","",(Z387-X387)/$BK$1)</f>
        <v/>
      </c>
      <c r="AF387" s="10" t="str">
        <f t="shared" ref="AF387:AF450" si="122">IF(Q387="","",(AA387-X387)/$BK$1)</f>
        <v/>
      </c>
      <c r="AG387" s="10" t="str">
        <f t="shared" si="113"/>
        <v/>
      </c>
      <c r="AH387" t="str">
        <f t="shared" ref="AH387:AH450" si="123">IF(Q387="","",IF(AA387&gt;=X387,U387,0))</f>
        <v/>
      </c>
      <c r="AI387" t="str">
        <f t="shared" ref="AI387:AI450" si="124">IF(Q387="","",IF(AA387&lt;X387,U387,0))</f>
        <v/>
      </c>
      <c r="AJ387" t="str">
        <f t="shared" si="114"/>
        <v/>
      </c>
      <c r="AK387" t="str" cm="1">
        <f t="array" ref="AK387">IFERROR(IF(INDEX($A:$A,ROW())="","",INDEX($A:$A,ROW())),"")</f>
        <v/>
      </c>
      <c r="AL387" t="str" cm="1">
        <f t="array" ref="AL387">IFERROR(INDEX(tblTrades[sol_invested],ROW()-1),"")</f>
        <v/>
      </c>
      <c r="AM387" s="6" t="str" cm="1">
        <f t="array" ref="AM387">IFERROR(INDEX(tblAnalysis[P&amp;L SOL],ROW()-1),"")</f>
        <v/>
      </c>
      <c r="AN387" t="str" cm="1">
        <f t="array" ref="AN387">IFERROR(IF(INDEX(tblTrades[sol_invested],ROW()-1)&gt;0.5,INDEX(tblAnalysis[Token],ROW()-1)&amp;" ("&amp;TEXT(INDEX(tblTrades[sol_invested],ROW()-1),"0.0")&amp;" SOL)",""),"")</f>
        <v/>
      </c>
      <c r="AO387" s="7"/>
      <c r="AP387" s="12" t="str" cm="1">
        <f t="array" ref="AP387">IFERROR(INDEX(tblAnalysis[Entry MC ($)],ROW()-1),"")</f>
        <v/>
      </c>
      <c r="AQ387" s="10" t="str" cm="1">
        <f t="array" ref="AQ387">IFERROR(INDEX(tblAnalysis[P&amp;L %],ROW()-1),"")</f>
        <v/>
      </c>
      <c r="AR387" t="str" cm="1">
        <f t="array" ref="AR387">IFERROR(INDEX(tblAnalysis[Hold Time (s)],ROW()-1),"")</f>
        <v/>
      </c>
      <c r="AS387" s="6" t="str" cm="1">
        <f t="array" ref="AS387">IFERROR(INDEX(tblAnalysis[P&amp;L SOL],ROW()-1),"")</f>
        <v/>
      </c>
      <c r="AT387" s="6" t="str">
        <f t="array" ref="AT387">IFERROR(INDEX(tblAnalysis[P&amp;L SOL],ROW()-1),"")</f>
        <v/>
      </c>
      <c r="AZ387" s="10"/>
      <c r="BA387" s="10"/>
      <c r="BF387" t="str">
        <f t="shared" ref="BF387:BF450" si="125">IF(W387="","","("&amp;U387&amp;")")</f>
        <v/>
      </c>
      <c r="BG387" s="27" t="str">
        <f t="shared" ref="BG387:BG450" si="126">IF(W387="","",W387)</f>
        <v/>
      </c>
      <c r="BH387" t="str">
        <f t="shared" ref="BH387:BH450" si="127">IF(W387="","",-2.5)</f>
        <v/>
      </c>
      <c r="BI387" t="str">
        <f t="shared" si="115"/>
        <v/>
      </c>
      <c r="BL387" s="29" t="e">
        <f t="shared" si="110"/>
        <v>#N/A</v>
      </c>
      <c r="BM387" s="29" t="e">
        <f t="shared" si="111"/>
        <v>#N/A</v>
      </c>
    </row>
    <row r="388" spans="17:65" x14ac:dyDescent="0.35">
      <c r="Q388" s="27"/>
      <c r="R388" s="6" t="str">
        <f>IF(Q388="","",SUMIFS(tblAnalysis[P&amp;L SOL],tblAnalysis[Date],Q388))</f>
        <v/>
      </c>
      <c r="S388" s="10" t="str">
        <f>IF(Q388="","",SUMIFS(tblAnalysis[P&amp;L %],tblAnalysis[Date],Q388))</f>
        <v/>
      </c>
      <c r="T388" s="6" t="str">
        <f>IF(Q388="","",IFERROR(SUM($R$2:R388),""))</f>
        <v/>
      </c>
      <c r="U388" t="str">
        <f>IF(Q388="","",COUNTIFS(tblAnalysis[Date],Q388))</f>
        <v/>
      </c>
      <c r="V388" t="str">
        <f>IF(R388="","",COUNTIFS(tblAnalysis[Date],R388))</f>
        <v/>
      </c>
      <c r="W388" s="27" t="str">
        <f t="shared" si="116"/>
        <v/>
      </c>
      <c r="X388" s="6" t="str">
        <f t="shared" si="117"/>
        <v/>
      </c>
      <c r="Y388" s="6" t="str">
        <f>IF(Q388="","",MAX(X388,_xlfn.MAXIFS(tblAnalysis[Cum P&amp;L SOL],tblAnalysis[Date],Q388)))</f>
        <v/>
      </c>
      <c r="Z388" s="6" t="str">
        <f>IF(Q388="","",MIN(X388,_xlfn.MINIFS(tblAnalysis[Cum P&amp;L SOL],tblAnalysis[Date],Q388)))</f>
        <v/>
      </c>
      <c r="AA388" s="6" t="str">
        <f t="shared" si="118"/>
        <v/>
      </c>
      <c r="AB388" s="6" t="str">
        <f t="shared" si="112"/>
        <v/>
      </c>
      <c r="AC388" s="27" t="str">
        <f t="shared" si="119"/>
        <v/>
      </c>
      <c r="AD388" s="10" t="str">
        <f t="shared" si="120"/>
        <v/>
      </c>
      <c r="AE388" s="10" t="str">
        <f t="shared" si="121"/>
        <v/>
      </c>
      <c r="AF388" s="10" t="str">
        <f t="shared" si="122"/>
        <v/>
      </c>
      <c r="AG388" s="10" t="str">
        <f t="shared" si="113"/>
        <v/>
      </c>
      <c r="AH388" t="str">
        <f t="shared" si="123"/>
        <v/>
      </c>
      <c r="AI388" t="str">
        <f t="shared" si="124"/>
        <v/>
      </c>
      <c r="AJ388" t="str">
        <f t="shared" si="114"/>
        <v/>
      </c>
      <c r="AK388" t="str" cm="1">
        <f t="array" ref="AK388">IFERROR(IF(INDEX($A:$A,ROW())="","",INDEX($A:$A,ROW())),"")</f>
        <v/>
      </c>
      <c r="AL388" t="str" cm="1">
        <f t="array" ref="AL388">IFERROR(INDEX(tblTrades[sol_invested],ROW()-1),"")</f>
        <v/>
      </c>
      <c r="AM388" s="6" t="str" cm="1">
        <f t="array" ref="AM388">IFERROR(INDEX(tblAnalysis[P&amp;L SOL],ROW()-1),"")</f>
        <v/>
      </c>
      <c r="AN388" t="str" cm="1">
        <f t="array" ref="AN388">IFERROR(IF(INDEX(tblTrades[sol_invested],ROW()-1)&gt;0.5,INDEX(tblAnalysis[Token],ROW()-1)&amp;" ("&amp;TEXT(INDEX(tblTrades[sol_invested],ROW()-1),"0.0")&amp;" SOL)",""),"")</f>
        <v/>
      </c>
      <c r="AO388" s="7"/>
      <c r="AP388" s="12" t="str" cm="1">
        <f t="array" ref="AP388">IFERROR(INDEX(tblAnalysis[Entry MC ($)],ROW()-1),"")</f>
        <v/>
      </c>
      <c r="AQ388" s="10" t="str" cm="1">
        <f t="array" ref="AQ388">IFERROR(INDEX(tblAnalysis[P&amp;L %],ROW()-1),"")</f>
        <v/>
      </c>
      <c r="AR388" t="str" cm="1">
        <f t="array" ref="AR388">IFERROR(INDEX(tblAnalysis[Hold Time (s)],ROW()-1),"")</f>
        <v/>
      </c>
      <c r="AS388" s="6" t="str" cm="1">
        <f t="array" ref="AS388">IFERROR(INDEX(tblAnalysis[P&amp;L SOL],ROW()-1),"")</f>
        <v/>
      </c>
      <c r="AT388" s="6" t="str">
        <f t="array" ref="AT388">IFERROR(INDEX(tblAnalysis[P&amp;L SOL],ROW()-1),"")</f>
        <v/>
      </c>
      <c r="AZ388" s="10"/>
      <c r="BA388" s="10"/>
      <c r="BF388" t="str">
        <f t="shared" si="125"/>
        <v/>
      </c>
      <c r="BG388" s="27" t="str">
        <f t="shared" si="126"/>
        <v/>
      </c>
      <c r="BH388" t="str">
        <f t="shared" si="127"/>
        <v/>
      </c>
      <c r="BI388" t="str">
        <f t="shared" si="115"/>
        <v/>
      </c>
      <c r="BL388" s="29" t="e">
        <f t="shared" si="110"/>
        <v>#N/A</v>
      </c>
      <c r="BM388" s="29" t="e">
        <f t="shared" si="111"/>
        <v>#N/A</v>
      </c>
    </row>
    <row r="389" spans="17:65" x14ac:dyDescent="0.35">
      <c r="Q389" s="27"/>
      <c r="R389" s="6" t="str">
        <f>IF(Q389="","",SUMIFS(tblAnalysis[P&amp;L SOL],tblAnalysis[Date],Q389))</f>
        <v/>
      </c>
      <c r="S389" s="10" t="str">
        <f>IF(Q389="","",SUMIFS(tblAnalysis[P&amp;L %],tblAnalysis[Date],Q389))</f>
        <v/>
      </c>
      <c r="T389" s="6" t="str">
        <f>IF(Q389="","",IFERROR(SUM($R$2:R389),""))</f>
        <v/>
      </c>
      <c r="U389" t="str">
        <f>IF(Q389="","",COUNTIFS(tblAnalysis[Date],Q389))</f>
        <v/>
      </c>
      <c r="V389" t="str">
        <f>IF(R389="","",COUNTIFS(tblAnalysis[Date],R389))</f>
        <v/>
      </c>
      <c r="W389" s="27" t="str">
        <f t="shared" si="116"/>
        <v/>
      </c>
      <c r="X389" s="6" t="str">
        <f t="shared" si="117"/>
        <v/>
      </c>
      <c r="Y389" s="6" t="str">
        <f>IF(Q389="","",MAX(X389,_xlfn.MAXIFS(tblAnalysis[Cum P&amp;L SOL],tblAnalysis[Date],Q389)))</f>
        <v/>
      </c>
      <c r="Z389" s="6" t="str">
        <f>IF(Q389="","",MIN(X389,_xlfn.MINIFS(tblAnalysis[Cum P&amp;L SOL],tblAnalysis[Date],Q389)))</f>
        <v/>
      </c>
      <c r="AA389" s="6" t="str">
        <f t="shared" si="118"/>
        <v/>
      </c>
      <c r="AB389" s="6" t="str">
        <f t="shared" si="112"/>
        <v/>
      </c>
      <c r="AC389" s="27" t="str">
        <f t="shared" si="119"/>
        <v/>
      </c>
      <c r="AD389" s="10" t="str">
        <f t="shared" si="120"/>
        <v/>
      </c>
      <c r="AE389" s="10" t="str">
        <f t="shared" si="121"/>
        <v/>
      </c>
      <c r="AF389" s="10" t="str">
        <f t="shared" si="122"/>
        <v/>
      </c>
      <c r="AG389" s="10" t="str">
        <f t="shared" si="113"/>
        <v/>
      </c>
      <c r="AH389" t="str">
        <f t="shared" si="123"/>
        <v/>
      </c>
      <c r="AI389" t="str">
        <f t="shared" si="124"/>
        <v/>
      </c>
      <c r="AJ389" t="str">
        <f t="shared" si="114"/>
        <v/>
      </c>
      <c r="AK389" t="str" cm="1">
        <f t="array" ref="AK389">IFERROR(IF(INDEX($A:$A,ROW())="","",INDEX($A:$A,ROW())),"")</f>
        <v/>
      </c>
      <c r="AL389" t="str" cm="1">
        <f t="array" ref="AL389">IFERROR(INDEX(tblTrades[sol_invested],ROW()-1),"")</f>
        <v/>
      </c>
      <c r="AM389" s="6" t="str" cm="1">
        <f t="array" ref="AM389">IFERROR(INDEX(tblAnalysis[P&amp;L SOL],ROW()-1),"")</f>
        <v/>
      </c>
      <c r="AN389" t="str" cm="1">
        <f t="array" ref="AN389">IFERROR(IF(INDEX(tblTrades[sol_invested],ROW()-1)&gt;0.5,INDEX(tblAnalysis[Token],ROW()-1)&amp;" ("&amp;TEXT(INDEX(tblTrades[sol_invested],ROW()-1),"0.0")&amp;" SOL)",""),"")</f>
        <v/>
      </c>
      <c r="AO389" s="7"/>
      <c r="AP389" s="12" t="str" cm="1">
        <f t="array" ref="AP389">IFERROR(INDEX(tblAnalysis[Entry MC ($)],ROW()-1),"")</f>
        <v/>
      </c>
      <c r="AQ389" s="10" t="str" cm="1">
        <f t="array" ref="AQ389">IFERROR(INDEX(tblAnalysis[P&amp;L %],ROW()-1),"")</f>
        <v/>
      </c>
      <c r="AR389" t="str" cm="1">
        <f t="array" ref="AR389">IFERROR(INDEX(tblAnalysis[Hold Time (s)],ROW()-1),"")</f>
        <v/>
      </c>
      <c r="AS389" s="6" t="str" cm="1">
        <f t="array" ref="AS389">IFERROR(INDEX(tblAnalysis[P&amp;L SOL],ROW()-1),"")</f>
        <v/>
      </c>
      <c r="AT389" s="6" t="str">
        <f t="array" ref="AT389">IFERROR(INDEX(tblAnalysis[P&amp;L SOL],ROW()-1),"")</f>
        <v/>
      </c>
      <c r="AZ389" s="10"/>
      <c r="BA389" s="10"/>
      <c r="BF389" t="str">
        <f t="shared" si="125"/>
        <v/>
      </c>
      <c r="BG389" s="27" t="str">
        <f t="shared" si="126"/>
        <v/>
      </c>
      <c r="BH389" t="str">
        <f t="shared" si="127"/>
        <v/>
      </c>
      <c r="BI389" t="str">
        <f t="shared" si="115"/>
        <v/>
      </c>
      <c r="BL389" s="29" t="e">
        <f t="shared" si="110"/>
        <v>#N/A</v>
      </c>
      <c r="BM389" s="29" t="e">
        <f t="shared" si="111"/>
        <v>#N/A</v>
      </c>
    </row>
    <row r="390" spans="17:65" x14ac:dyDescent="0.35">
      <c r="Q390" s="27"/>
      <c r="R390" s="6" t="str">
        <f>IF(Q390="","",SUMIFS(tblAnalysis[P&amp;L SOL],tblAnalysis[Date],Q390))</f>
        <v/>
      </c>
      <c r="S390" s="10" t="str">
        <f>IF(Q390="","",SUMIFS(tblAnalysis[P&amp;L %],tblAnalysis[Date],Q390))</f>
        <v/>
      </c>
      <c r="T390" s="6" t="str">
        <f>IF(Q390="","",IFERROR(SUM($R$2:R390),""))</f>
        <v/>
      </c>
      <c r="U390" t="str">
        <f>IF(Q390="","",COUNTIFS(tblAnalysis[Date],Q390))</f>
        <v/>
      </c>
      <c r="V390" t="str">
        <f>IF(R390="","",COUNTIFS(tblAnalysis[Date],R390))</f>
        <v/>
      </c>
      <c r="W390" s="27" t="str">
        <f t="shared" si="116"/>
        <v/>
      </c>
      <c r="X390" s="6" t="str">
        <f t="shared" si="117"/>
        <v/>
      </c>
      <c r="Y390" s="6" t="str">
        <f>IF(Q390="","",MAX(X390,_xlfn.MAXIFS(tblAnalysis[Cum P&amp;L SOL],tblAnalysis[Date],Q390)))</f>
        <v/>
      </c>
      <c r="Z390" s="6" t="str">
        <f>IF(Q390="","",MIN(X390,_xlfn.MINIFS(tblAnalysis[Cum P&amp;L SOL],tblAnalysis[Date],Q390)))</f>
        <v/>
      </c>
      <c r="AA390" s="6" t="str">
        <f t="shared" si="118"/>
        <v/>
      </c>
      <c r="AB390" s="6" t="str">
        <f t="shared" si="112"/>
        <v/>
      </c>
      <c r="AC390" s="27" t="str">
        <f t="shared" si="119"/>
        <v/>
      </c>
      <c r="AD390" s="10" t="str">
        <f t="shared" si="120"/>
        <v/>
      </c>
      <c r="AE390" s="10" t="str">
        <f t="shared" si="121"/>
        <v/>
      </c>
      <c r="AF390" s="10" t="str">
        <f t="shared" si="122"/>
        <v/>
      </c>
      <c r="AG390" s="10" t="str">
        <f t="shared" si="113"/>
        <v/>
      </c>
      <c r="AH390" t="str">
        <f t="shared" si="123"/>
        <v/>
      </c>
      <c r="AI390" t="str">
        <f t="shared" si="124"/>
        <v/>
      </c>
      <c r="AJ390" t="str">
        <f t="shared" si="114"/>
        <v/>
      </c>
      <c r="AK390" t="str" cm="1">
        <f t="array" ref="AK390">IFERROR(IF(INDEX($A:$A,ROW())="","",INDEX($A:$A,ROW())),"")</f>
        <v/>
      </c>
      <c r="AL390" t="str" cm="1">
        <f t="array" ref="AL390">IFERROR(INDEX(tblTrades[sol_invested],ROW()-1),"")</f>
        <v/>
      </c>
      <c r="AM390" s="6" t="str" cm="1">
        <f t="array" ref="AM390">IFERROR(INDEX(tblAnalysis[P&amp;L SOL],ROW()-1),"")</f>
        <v/>
      </c>
      <c r="AN390" t="str" cm="1">
        <f t="array" ref="AN390">IFERROR(IF(INDEX(tblTrades[sol_invested],ROW()-1)&gt;0.5,INDEX(tblAnalysis[Token],ROW()-1)&amp;" ("&amp;TEXT(INDEX(tblTrades[sol_invested],ROW()-1),"0.0")&amp;" SOL)",""),"")</f>
        <v/>
      </c>
      <c r="AO390" s="7"/>
      <c r="AP390" s="12" t="str" cm="1">
        <f t="array" ref="AP390">IFERROR(INDEX(tblAnalysis[Entry MC ($)],ROW()-1),"")</f>
        <v/>
      </c>
      <c r="AQ390" s="10" t="str" cm="1">
        <f t="array" ref="AQ390">IFERROR(INDEX(tblAnalysis[P&amp;L %],ROW()-1),"")</f>
        <v/>
      </c>
      <c r="AR390" t="str" cm="1">
        <f t="array" ref="AR390">IFERROR(INDEX(tblAnalysis[Hold Time (s)],ROW()-1),"")</f>
        <v/>
      </c>
      <c r="AS390" s="6" t="str" cm="1">
        <f t="array" ref="AS390">IFERROR(INDEX(tblAnalysis[P&amp;L SOL],ROW()-1),"")</f>
        <v/>
      </c>
      <c r="AT390" s="6" t="str">
        <f t="array" ref="AT390">IFERROR(INDEX(tblAnalysis[P&amp;L SOL],ROW()-1),"")</f>
        <v/>
      </c>
      <c r="AZ390" s="10"/>
      <c r="BA390" s="10"/>
      <c r="BF390" t="str">
        <f t="shared" si="125"/>
        <v/>
      </c>
      <c r="BG390" s="27" t="str">
        <f t="shared" si="126"/>
        <v/>
      </c>
      <c r="BH390" t="str">
        <f t="shared" si="127"/>
        <v/>
      </c>
      <c r="BI390" t="str">
        <f t="shared" si="115"/>
        <v/>
      </c>
      <c r="BL390" s="29" t="e">
        <f t="shared" si="110"/>
        <v>#N/A</v>
      </c>
      <c r="BM390" s="29" t="e">
        <f t="shared" si="111"/>
        <v>#N/A</v>
      </c>
    </row>
    <row r="391" spans="17:65" x14ac:dyDescent="0.35">
      <c r="Q391" s="27"/>
      <c r="R391" s="6" t="str">
        <f>IF(Q391="","",SUMIFS(tblAnalysis[P&amp;L SOL],tblAnalysis[Date],Q391))</f>
        <v/>
      </c>
      <c r="S391" s="10" t="str">
        <f>IF(Q391="","",SUMIFS(tblAnalysis[P&amp;L %],tblAnalysis[Date],Q391))</f>
        <v/>
      </c>
      <c r="T391" s="6" t="str">
        <f>IF(Q391="","",IFERROR(SUM($R$2:R391),""))</f>
        <v/>
      </c>
      <c r="U391" t="str">
        <f>IF(Q391="","",COUNTIFS(tblAnalysis[Date],Q391))</f>
        <v/>
      </c>
      <c r="V391" t="str">
        <f>IF(R391="","",COUNTIFS(tblAnalysis[Date],R391))</f>
        <v/>
      </c>
      <c r="W391" s="27" t="str">
        <f t="shared" si="116"/>
        <v/>
      </c>
      <c r="X391" s="6" t="str">
        <f t="shared" si="117"/>
        <v/>
      </c>
      <c r="Y391" s="6" t="str">
        <f>IF(Q391="","",MAX(X391,_xlfn.MAXIFS(tblAnalysis[Cum P&amp;L SOL],tblAnalysis[Date],Q391)))</f>
        <v/>
      </c>
      <c r="Z391" s="6" t="str">
        <f>IF(Q391="","",MIN(X391,_xlfn.MINIFS(tblAnalysis[Cum P&amp;L SOL],tblAnalysis[Date],Q391)))</f>
        <v/>
      </c>
      <c r="AA391" s="6" t="str">
        <f t="shared" si="118"/>
        <v/>
      </c>
      <c r="AB391" s="6" t="str">
        <f t="shared" si="112"/>
        <v/>
      </c>
      <c r="AC391" s="27" t="str">
        <f t="shared" si="119"/>
        <v/>
      </c>
      <c r="AD391" s="10" t="str">
        <f t="shared" si="120"/>
        <v/>
      </c>
      <c r="AE391" s="10" t="str">
        <f t="shared" si="121"/>
        <v/>
      </c>
      <c r="AF391" s="10" t="str">
        <f t="shared" si="122"/>
        <v/>
      </c>
      <c r="AG391" s="10" t="str">
        <f t="shared" si="113"/>
        <v/>
      </c>
      <c r="AH391" t="str">
        <f t="shared" si="123"/>
        <v/>
      </c>
      <c r="AI391" t="str">
        <f t="shared" si="124"/>
        <v/>
      </c>
      <c r="AJ391" t="str">
        <f t="shared" si="114"/>
        <v/>
      </c>
      <c r="AK391" t="str" cm="1">
        <f t="array" ref="AK391">IFERROR(IF(INDEX($A:$A,ROW())="","",INDEX($A:$A,ROW())),"")</f>
        <v/>
      </c>
      <c r="AL391" t="str" cm="1">
        <f t="array" ref="AL391">IFERROR(INDEX(tblTrades[sol_invested],ROW()-1),"")</f>
        <v/>
      </c>
      <c r="AM391" s="6" t="str" cm="1">
        <f t="array" ref="AM391">IFERROR(INDEX(tblAnalysis[P&amp;L SOL],ROW()-1),"")</f>
        <v/>
      </c>
      <c r="AN391" t="str" cm="1">
        <f t="array" ref="AN391">IFERROR(IF(INDEX(tblTrades[sol_invested],ROW()-1)&gt;0.5,INDEX(tblAnalysis[Token],ROW()-1)&amp;" ("&amp;TEXT(INDEX(tblTrades[sol_invested],ROW()-1),"0.0")&amp;" SOL)",""),"")</f>
        <v/>
      </c>
      <c r="AO391" s="7"/>
      <c r="AP391" s="12" t="str" cm="1">
        <f t="array" ref="AP391">IFERROR(INDEX(tblAnalysis[Entry MC ($)],ROW()-1),"")</f>
        <v/>
      </c>
      <c r="AQ391" s="10" t="str" cm="1">
        <f t="array" ref="AQ391">IFERROR(INDEX(tblAnalysis[P&amp;L %],ROW()-1),"")</f>
        <v/>
      </c>
      <c r="AR391" t="str" cm="1">
        <f t="array" ref="AR391">IFERROR(INDEX(tblAnalysis[Hold Time (s)],ROW()-1),"")</f>
        <v/>
      </c>
      <c r="AS391" s="6" t="str" cm="1">
        <f t="array" ref="AS391">IFERROR(INDEX(tblAnalysis[P&amp;L SOL],ROW()-1),"")</f>
        <v/>
      </c>
      <c r="AT391" s="6" t="str">
        <f t="array" ref="AT391">IFERROR(INDEX(tblAnalysis[P&amp;L SOL],ROW()-1),"")</f>
        <v/>
      </c>
      <c r="AZ391" s="10"/>
      <c r="BA391" s="10"/>
      <c r="BF391" t="str">
        <f t="shared" si="125"/>
        <v/>
      </c>
      <c r="BG391" s="27" t="str">
        <f t="shared" si="126"/>
        <v/>
      </c>
      <c r="BH391" t="str">
        <f t="shared" si="127"/>
        <v/>
      </c>
      <c r="BI391" t="str">
        <f t="shared" si="115"/>
        <v/>
      </c>
      <c r="BL391" s="29" t="e">
        <f t="shared" si="110"/>
        <v>#N/A</v>
      </c>
      <c r="BM391" s="29" t="e">
        <f t="shared" si="111"/>
        <v>#N/A</v>
      </c>
    </row>
    <row r="392" spans="17:65" x14ac:dyDescent="0.35">
      <c r="Q392" s="27"/>
      <c r="R392" s="6" t="str">
        <f>IF(Q392="","",SUMIFS(tblAnalysis[P&amp;L SOL],tblAnalysis[Date],Q392))</f>
        <v/>
      </c>
      <c r="S392" s="10" t="str">
        <f>IF(Q392="","",SUMIFS(tblAnalysis[P&amp;L %],tblAnalysis[Date],Q392))</f>
        <v/>
      </c>
      <c r="T392" s="6" t="str">
        <f>IF(Q392="","",IFERROR(SUM($R$2:R392),""))</f>
        <v/>
      </c>
      <c r="U392" t="str">
        <f>IF(Q392="","",COUNTIFS(tblAnalysis[Date],Q392))</f>
        <v/>
      </c>
      <c r="V392" t="str">
        <f>IF(R392="","",COUNTIFS(tblAnalysis[Date],R392))</f>
        <v/>
      </c>
      <c r="W392" s="27" t="str">
        <f t="shared" si="116"/>
        <v/>
      </c>
      <c r="X392" s="6" t="str">
        <f t="shared" si="117"/>
        <v/>
      </c>
      <c r="Y392" s="6" t="str">
        <f>IF(Q392="","",MAX(X392,_xlfn.MAXIFS(tblAnalysis[Cum P&amp;L SOL],tblAnalysis[Date],Q392)))</f>
        <v/>
      </c>
      <c r="Z392" s="6" t="str">
        <f>IF(Q392="","",MIN(X392,_xlfn.MINIFS(tblAnalysis[Cum P&amp;L SOL],tblAnalysis[Date],Q392)))</f>
        <v/>
      </c>
      <c r="AA392" s="6" t="str">
        <f t="shared" si="118"/>
        <v/>
      </c>
      <c r="AB392" s="6" t="str">
        <f t="shared" si="112"/>
        <v/>
      </c>
      <c r="AC392" s="27" t="str">
        <f t="shared" si="119"/>
        <v/>
      </c>
      <c r="AD392" s="10" t="str">
        <f t="shared" si="120"/>
        <v/>
      </c>
      <c r="AE392" s="10" t="str">
        <f t="shared" si="121"/>
        <v/>
      </c>
      <c r="AF392" s="10" t="str">
        <f t="shared" si="122"/>
        <v/>
      </c>
      <c r="AG392" s="10" t="str">
        <f t="shared" si="113"/>
        <v/>
      </c>
      <c r="AH392" t="str">
        <f t="shared" si="123"/>
        <v/>
      </c>
      <c r="AI392" t="str">
        <f t="shared" si="124"/>
        <v/>
      </c>
      <c r="AJ392" t="str">
        <f t="shared" si="114"/>
        <v/>
      </c>
      <c r="AK392" t="str" cm="1">
        <f t="array" ref="AK392">IFERROR(IF(INDEX($A:$A,ROW())="","",INDEX($A:$A,ROW())),"")</f>
        <v/>
      </c>
      <c r="AL392" t="str" cm="1">
        <f t="array" ref="AL392">IFERROR(INDEX(tblTrades[sol_invested],ROW()-1),"")</f>
        <v/>
      </c>
      <c r="AM392" s="6" t="str" cm="1">
        <f t="array" ref="AM392">IFERROR(INDEX(tblAnalysis[P&amp;L SOL],ROW()-1),"")</f>
        <v/>
      </c>
      <c r="AN392" t="str" cm="1">
        <f t="array" ref="AN392">IFERROR(IF(INDEX(tblTrades[sol_invested],ROW()-1)&gt;0.5,INDEX(tblAnalysis[Token],ROW()-1)&amp;" ("&amp;TEXT(INDEX(tblTrades[sol_invested],ROW()-1),"0.0")&amp;" SOL)",""),"")</f>
        <v/>
      </c>
      <c r="AO392" s="7"/>
      <c r="AP392" s="12" t="str" cm="1">
        <f t="array" ref="AP392">IFERROR(INDEX(tblAnalysis[Entry MC ($)],ROW()-1),"")</f>
        <v/>
      </c>
      <c r="AQ392" s="10" t="str" cm="1">
        <f t="array" ref="AQ392">IFERROR(INDEX(tblAnalysis[P&amp;L %],ROW()-1),"")</f>
        <v/>
      </c>
      <c r="AR392" t="str" cm="1">
        <f t="array" ref="AR392">IFERROR(INDEX(tblAnalysis[Hold Time (s)],ROW()-1),"")</f>
        <v/>
      </c>
      <c r="AS392" s="6" t="str" cm="1">
        <f t="array" ref="AS392">IFERROR(INDEX(tblAnalysis[P&amp;L SOL],ROW()-1),"")</f>
        <v/>
      </c>
      <c r="AT392" s="6" t="str">
        <f t="array" ref="AT392">IFERROR(INDEX(tblAnalysis[P&amp;L SOL],ROW()-1),"")</f>
        <v/>
      </c>
      <c r="AZ392" s="10"/>
      <c r="BA392" s="10"/>
      <c r="BF392" t="str">
        <f t="shared" si="125"/>
        <v/>
      </c>
      <c r="BG392" s="27" t="str">
        <f t="shared" si="126"/>
        <v/>
      </c>
      <c r="BH392" t="str">
        <f t="shared" si="127"/>
        <v/>
      </c>
      <c r="BI392" t="str">
        <f t="shared" si="115"/>
        <v/>
      </c>
      <c r="BL392" s="29" t="e">
        <f t="shared" si="110"/>
        <v>#N/A</v>
      </c>
      <c r="BM392" s="29" t="e">
        <f t="shared" si="111"/>
        <v>#N/A</v>
      </c>
    </row>
    <row r="393" spans="17:65" x14ac:dyDescent="0.35">
      <c r="Q393" s="27"/>
      <c r="R393" s="6" t="str">
        <f>IF(Q393="","",SUMIFS(tblAnalysis[P&amp;L SOL],tblAnalysis[Date],Q393))</f>
        <v/>
      </c>
      <c r="S393" s="10" t="str">
        <f>IF(Q393="","",SUMIFS(tblAnalysis[P&amp;L %],tblAnalysis[Date],Q393))</f>
        <v/>
      </c>
      <c r="T393" s="6" t="str">
        <f>IF(Q393="","",IFERROR(SUM($R$2:R393),""))</f>
        <v/>
      </c>
      <c r="U393" t="str">
        <f>IF(Q393="","",COUNTIFS(tblAnalysis[Date],Q393))</f>
        <v/>
      </c>
      <c r="V393" t="str">
        <f>IF(R393="","",COUNTIFS(tblAnalysis[Date],R393))</f>
        <v/>
      </c>
      <c r="W393" s="27" t="str">
        <f t="shared" si="116"/>
        <v/>
      </c>
      <c r="X393" s="6" t="str">
        <f t="shared" si="117"/>
        <v/>
      </c>
      <c r="Y393" s="6" t="str">
        <f>IF(Q393="","",MAX(X393,_xlfn.MAXIFS(tblAnalysis[Cum P&amp;L SOL],tblAnalysis[Date],Q393)))</f>
        <v/>
      </c>
      <c r="Z393" s="6" t="str">
        <f>IF(Q393="","",MIN(X393,_xlfn.MINIFS(tblAnalysis[Cum P&amp;L SOL],tblAnalysis[Date],Q393)))</f>
        <v/>
      </c>
      <c r="AA393" s="6" t="str">
        <f t="shared" si="118"/>
        <v/>
      </c>
      <c r="AB393" s="6" t="str">
        <f t="shared" ref="AB393:AB424" si="128">IF(R393="","",U393)</f>
        <v/>
      </c>
      <c r="AC393" s="27" t="str">
        <f t="shared" si="119"/>
        <v/>
      </c>
      <c r="AD393" s="10" t="str">
        <f t="shared" si="120"/>
        <v/>
      </c>
      <c r="AE393" s="10" t="str">
        <f t="shared" si="121"/>
        <v/>
      </c>
      <c r="AF393" s="10" t="str">
        <f t="shared" si="122"/>
        <v/>
      </c>
      <c r="AG393" s="10" t="str">
        <f t="shared" ref="AG393:AG424" si="129">IF(R393="","",(AB393-Y393)/$BK$1)</f>
        <v/>
      </c>
      <c r="AH393" t="str">
        <f t="shared" si="123"/>
        <v/>
      </c>
      <c r="AI393" t="str">
        <f t="shared" si="124"/>
        <v/>
      </c>
      <c r="AJ393" t="str">
        <f t="shared" ref="AJ393:AJ424" si="130">IF(R393="","",IF(AB393&lt;Y393,V393,0))</f>
        <v/>
      </c>
      <c r="AK393" t="str" cm="1">
        <f t="array" ref="AK393">IFERROR(IF(INDEX($A:$A,ROW())="","",INDEX($A:$A,ROW())),"")</f>
        <v/>
      </c>
      <c r="AL393" t="str" cm="1">
        <f t="array" ref="AL393">IFERROR(INDEX(tblTrades[sol_invested],ROW()-1),"")</f>
        <v/>
      </c>
      <c r="AM393" s="6" t="str" cm="1">
        <f t="array" ref="AM393">IFERROR(INDEX(tblAnalysis[P&amp;L SOL],ROW()-1),"")</f>
        <v/>
      </c>
      <c r="AN393" t="str" cm="1">
        <f t="array" ref="AN393">IFERROR(IF(INDEX(tblTrades[sol_invested],ROW()-1)&gt;0.5,INDEX(tblAnalysis[Token],ROW()-1)&amp;" ("&amp;TEXT(INDEX(tblTrades[sol_invested],ROW()-1),"0.0")&amp;" SOL)",""),"")</f>
        <v/>
      </c>
      <c r="AO393" s="7"/>
      <c r="AP393" s="12" t="str" cm="1">
        <f t="array" ref="AP393">IFERROR(INDEX(tblAnalysis[Entry MC ($)],ROW()-1),"")</f>
        <v/>
      </c>
      <c r="AQ393" s="10" t="str" cm="1">
        <f t="array" ref="AQ393">IFERROR(INDEX(tblAnalysis[P&amp;L %],ROW()-1),"")</f>
        <v/>
      </c>
      <c r="AR393" t="str" cm="1">
        <f t="array" ref="AR393">IFERROR(INDEX(tblAnalysis[Hold Time (s)],ROW()-1),"")</f>
        <v/>
      </c>
      <c r="AS393" s="6" t="str" cm="1">
        <f t="array" ref="AS393">IFERROR(INDEX(tblAnalysis[P&amp;L SOL],ROW()-1),"")</f>
        <v/>
      </c>
      <c r="AT393" s="6" t="str">
        <f t="array" ref="AT393">IFERROR(INDEX(tblAnalysis[P&amp;L SOL],ROW()-1),"")</f>
        <v/>
      </c>
      <c r="AZ393" s="10"/>
      <c r="BA393" s="10"/>
      <c r="BF393" t="str">
        <f t="shared" si="125"/>
        <v/>
      </c>
      <c r="BG393" s="27" t="str">
        <f t="shared" si="126"/>
        <v/>
      </c>
      <c r="BH393" t="str">
        <f t="shared" si="127"/>
        <v/>
      </c>
      <c r="BI393" t="str">
        <f t="shared" ref="BI393:BI424" si="131">IF(X393="","",-2.5)</f>
        <v/>
      </c>
      <c r="BL393" s="29" t="e">
        <f t="shared" si="110"/>
        <v>#N/A</v>
      </c>
      <c r="BM393" s="29" t="e">
        <f t="shared" si="111"/>
        <v>#N/A</v>
      </c>
    </row>
    <row r="394" spans="17:65" x14ac:dyDescent="0.35">
      <c r="Q394" s="27"/>
      <c r="R394" s="6" t="str">
        <f>IF(Q394="","",SUMIFS(tblAnalysis[P&amp;L SOL],tblAnalysis[Date],Q394))</f>
        <v/>
      </c>
      <c r="S394" s="10" t="str">
        <f>IF(Q394="","",SUMIFS(tblAnalysis[P&amp;L %],tblAnalysis[Date],Q394))</f>
        <v/>
      </c>
      <c r="T394" s="6" t="str">
        <f>IF(Q394="","",IFERROR(SUM($R$2:R394),""))</f>
        <v/>
      </c>
      <c r="U394" t="str">
        <f>IF(Q394="","",COUNTIFS(tblAnalysis[Date],Q394))</f>
        <v/>
      </c>
      <c r="V394" t="str">
        <f>IF(R394="","",COUNTIFS(tblAnalysis[Date],R394))</f>
        <v/>
      </c>
      <c r="W394" s="27" t="str">
        <f t="shared" si="116"/>
        <v/>
      </c>
      <c r="X394" s="6" t="str">
        <f t="shared" si="117"/>
        <v/>
      </c>
      <c r="Y394" s="6" t="str">
        <f>IF(Q394="","",MAX(X394,_xlfn.MAXIFS(tblAnalysis[Cum P&amp;L SOL],tblAnalysis[Date],Q394)))</f>
        <v/>
      </c>
      <c r="Z394" s="6" t="str">
        <f>IF(Q394="","",MIN(X394,_xlfn.MINIFS(tblAnalysis[Cum P&amp;L SOL],tblAnalysis[Date],Q394)))</f>
        <v/>
      </c>
      <c r="AA394" s="6" t="str">
        <f t="shared" si="118"/>
        <v/>
      </c>
      <c r="AB394" s="6" t="str">
        <f t="shared" si="128"/>
        <v/>
      </c>
      <c r="AC394" s="27" t="str">
        <f t="shared" si="119"/>
        <v/>
      </c>
      <c r="AD394" s="10" t="str">
        <f t="shared" si="120"/>
        <v/>
      </c>
      <c r="AE394" s="10" t="str">
        <f t="shared" si="121"/>
        <v/>
      </c>
      <c r="AF394" s="10" t="str">
        <f t="shared" si="122"/>
        <v/>
      </c>
      <c r="AG394" s="10" t="str">
        <f t="shared" si="129"/>
        <v/>
      </c>
      <c r="AH394" t="str">
        <f t="shared" si="123"/>
        <v/>
      </c>
      <c r="AI394" t="str">
        <f t="shared" si="124"/>
        <v/>
      </c>
      <c r="AJ394" t="str">
        <f t="shared" si="130"/>
        <v/>
      </c>
      <c r="AK394" t="str" cm="1">
        <f t="array" ref="AK394">IFERROR(IF(INDEX($A:$A,ROW())="","",INDEX($A:$A,ROW())),"")</f>
        <v/>
      </c>
      <c r="AL394" t="str" cm="1">
        <f t="array" ref="AL394">IFERROR(INDEX(tblTrades[sol_invested],ROW()-1),"")</f>
        <v/>
      </c>
      <c r="AM394" s="6" t="str" cm="1">
        <f t="array" ref="AM394">IFERROR(INDEX(tblAnalysis[P&amp;L SOL],ROW()-1),"")</f>
        <v/>
      </c>
      <c r="AN394" t="str" cm="1">
        <f t="array" ref="AN394">IFERROR(IF(INDEX(tblTrades[sol_invested],ROW()-1)&gt;0.5,INDEX(tblAnalysis[Token],ROW()-1)&amp;" ("&amp;TEXT(INDEX(tblTrades[sol_invested],ROW()-1),"0.0")&amp;" SOL)",""),"")</f>
        <v/>
      </c>
      <c r="AO394" s="7"/>
      <c r="AP394" s="12" t="str" cm="1">
        <f t="array" ref="AP394">IFERROR(INDEX(tblAnalysis[Entry MC ($)],ROW()-1),"")</f>
        <v/>
      </c>
      <c r="AQ394" s="10" t="str" cm="1">
        <f t="array" ref="AQ394">IFERROR(INDEX(tblAnalysis[P&amp;L %],ROW()-1),"")</f>
        <v/>
      </c>
      <c r="AR394" t="str" cm="1">
        <f t="array" ref="AR394">IFERROR(INDEX(tblAnalysis[Hold Time (s)],ROW()-1),"")</f>
        <v/>
      </c>
      <c r="AS394" s="6" t="str" cm="1">
        <f t="array" ref="AS394">IFERROR(INDEX(tblAnalysis[P&amp;L SOL],ROW()-1),"")</f>
        <v/>
      </c>
      <c r="AT394" s="6" t="str">
        <f t="array" ref="AT394">IFERROR(INDEX(tblAnalysis[P&amp;L SOL],ROW()-1),"")</f>
        <v/>
      </c>
      <c r="AZ394" s="10"/>
      <c r="BA394" s="10"/>
      <c r="BF394" t="str">
        <f t="shared" si="125"/>
        <v/>
      </c>
      <c r="BG394" s="27" t="str">
        <f t="shared" si="126"/>
        <v/>
      </c>
      <c r="BH394" t="str">
        <f t="shared" si="127"/>
        <v/>
      </c>
      <c r="BI394" t="str">
        <f t="shared" si="131"/>
        <v/>
      </c>
      <c r="BL394" s="29" t="e">
        <f t="shared" si="110"/>
        <v>#N/A</v>
      </c>
      <c r="BM394" s="29" t="e">
        <f t="shared" si="111"/>
        <v>#N/A</v>
      </c>
    </row>
    <row r="395" spans="17:65" x14ac:dyDescent="0.35">
      <c r="Q395" s="27"/>
      <c r="R395" s="6" t="str">
        <f>IF(Q395="","",SUMIFS(tblAnalysis[P&amp;L SOL],tblAnalysis[Date],Q395))</f>
        <v/>
      </c>
      <c r="S395" s="10" t="str">
        <f>IF(Q395="","",SUMIFS(tblAnalysis[P&amp;L %],tblAnalysis[Date],Q395))</f>
        <v/>
      </c>
      <c r="T395" s="6" t="str">
        <f>IF(Q395="","",IFERROR(SUM($R$2:R395),""))</f>
        <v/>
      </c>
      <c r="U395" t="str">
        <f>IF(Q395="","",COUNTIFS(tblAnalysis[Date],Q395))</f>
        <v/>
      </c>
      <c r="V395" t="str">
        <f>IF(R395="","",COUNTIFS(tblAnalysis[Date],R395))</f>
        <v/>
      </c>
      <c r="W395" s="27" t="str">
        <f t="shared" si="116"/>
        <v/>
      </c>
      <c r="X395" s="6" t="str">
        <f t="shared" si="117"/>
        <v/>
      </c>
      <c r="Y395" s="6" t="str">
        <f>IF(Q395="","",MAX(X395,_xlfn.MAXIFS(tblAnalysis[Cum P&amp;L SOL],tblAnalysis[Date],Q395)))</f>
        <v/>
      </c>
      <c r="Z395" s="6" t="str">
        <f>IF(Q395="","",MIN(X395,_xlfn.MINIFS(tblAnalysis[Cum P&amp;L SOL],tblAnalysis[Date],Q395)))</f>
        <v/>
      </c>
      <c r="AA395" s="6" t="str">
        <f t="shared" si="118"/>
        <v/>
      </c>
      <c r="AB395" s="6" t="str">
        <f t="shared" si="128"/>
        <v/>
      </c>
      <c r="AC395" s="27" t="str">
        <f t="shared" si="119"/>
        <v/>
      </c>
      <c r="AD395" s="10" t="str">
        <f t="shared" si="120"/>
        <v/>
      </c>
      <c r="AE395" s="10" t="str">
        <f t="shared" si="121"/>
        <v/>
      </c>
      <c r="AF395" s="10" t="str">
        <f t="shared" si="122"/>
        <v/>
      </c>
      <c r="AG395" s="10" t="str">
        <f t="shared" si="129"/>
        <v/>
      </c>
      <c r="AH395" t="str">
        <f t="shared" si="123"/>
        <v/>
      </c>
      <c r="AI395" t="str">
        <f t="shared" si="124"/>
        <v/>
      </c>
      <c r="AJ395" t="str">
        <f t="shared" si="130"/>
        <v/>
      </c>
      <c r="AK395" t="str" cm="1">
        <f t="array" ref="AK395">IFERROR(IF(INDEX($A:$A,ROW())="","",INDEX($A:$A,ROW())),"")</f>
        <v/>
      </c>
      <c r="AL395" t="str" cm="1">
        <f t="array" ref="AL395">IFERROR(INDEX(tblTrades[sol_invested],ROW()-1),"")</f>
        <v/>
      </c>
      <c r="AM395" s="6" t="str" cm="1">
        <f t="array" ref="AM395">IFERROR(INDEX(tblAnalysis[P&amp;L SOL],ROW()-1),"")</f>
        <v/>
      </c>
      <c r="AN395" t="str" cm="1">
        <f t="array" ref="AN395">IFERROR(IF(INDEX(tblTrades[sol_invested],ROW()-1)&gt;0.5,INDEX(tblAnalysis[Token],ROW()-1)&amp;" ("&amp;TEXT(INDEX(tblTrades[sol_invested],ROW()-1),"0.0")&amp;" SOL)",""),"")</f>
        <v/>
      </c>
      <c r="AO395" s="7"/>
      <c r="AP395" s="12" t="str" cm="1">
        <f t="array" ref="AP395">IFERROR(INDEX(tblAnalysis[Entry MC ($)],ROW()-1),"")</f>
        <v/>
      </c>
      <c r="AQ395" s="10" t="str" cm="1">
        <f t="array" ref="AQ395">IFERROR(INDEX(tblAnalysis[P&amp;L %],ROW()-1),"")</f>
        <v/>
      </c>
      <c r="AR395" t="str" cm="1">
        <f t="array" ref="AR395">IFERROR(INDEX(tblAnalysis[Hold Time (s)],ROW()-1),"")</f>
        <v/>
      </c>
      <c r="AS395" s="6" t="str" cm="1">
        <f t="array" ref="AS395">IFERROR(INDEX(tblAnalysis[P&amp;L SOL],ROW()-1),"")</f>
        <v/>
      </c>
      <c r="AT395" s="6" t="str">
        <f t="array" ref="AT395">IFERROR(INDEX(tblAnalysis[P&amp;L SOL],ROW()-1),"")</f>
        <v/>
      </c>
      <c r="AZ395" s="10"/>
      <c r="BA395" s="10"/>
      <c r="BF395" t="str">
        <f t="shared" si="125"/>
        <v/>
      </c>
      <c r="BG395" s="27" t="str">
        <f t="shared" si="126"/>
        <v/>
      </c>
      <c r="BH395" t="str">
        <f t="shared" si="127"/>
        <v/>
      </c>
      <c r="BI395" t="str">
        <f t="shared" si="131"/>
        <v/>
      </c>
      <c r="BL395" s="29" t="e">
        <f t="shared" si="110"/>
        <v>#N/A</v>
      </c>
      <c r="BM395" s="29" t="e">
        <f t="shared" si="111"/>
        <v>#N/A</v>
      </c>
    </row>
    <row r="396" spans="17:65" x14ac:dyDescent="0.35">
      <c r="Q396" s="27"/>
      <c r="R396" s="6" t="str">
        <f>IF(Q396="","",SUMIFS(tblAnalysis[P&amp;L SOL],tblAnalysis[Date],Q396))</f>
        <v/>
      </c>
      <c r="S396" s="10" t="str">
        <f>IF(Q396="","",SUMIFS(tblAnalysis[P&amp;L %],tblAnalysis[Date],Q396))</f>
        <v/>
      </c>
      <c r="T396" s="6" t="str">
        <f>IF(Q396="","",IFERROR(SUM($R$2:R396),""))</f>
        <v/>
      </c>
      <c r="U396" t="str">
        <f>IF(Q396="","",COUNTIFS(tblAnalysis[Date],Q396))</f>
        <v/>
      </c>
      <c r="V396" t="str">
        <f>IF(R396="","",COUNTIFS(tblAnalysis[Date],R396))</f>
        <v/>
      </c>
      <c r="W396" s="27" t="str">
        <f t="shared" si="116"/>
        <v/>
      </c>
      <c r="X396" s="6" t="str">
        <f t="shared" si="117"/>
        <v/>
      </c>
      <c r="Y396" s="6" t="str">
        <f>IF(Q396="","",MAX(X396,_xlfn.MAXIFS(tblAnalysis[Cum P&amp;L SOL],tblAnalysis[Date],Q396)))</f>
        <v/>
      </c>
      <c r="Z396" s="6" t="str">
        <f>IF(Q396="","",MIN(X396,_xlfn.MINIFS(tblAnalysis[Cum P&amp;L SOL],tblAnalysis[Date],Q396)))</f>
        <v/>
      </c>
      <c r="AA396" s="6" t="str">
        <f t="shared" si="118"/>
        <v/>
      </c>
      <c r="AB396" s="6" t="str">
        <f t="shared" si="128"/>
        <v/>
      </c>
      <c r="AC396" s="27" t="str">
        <f t="shared" si="119"/>
        <v/>
      </c>
      <c r="AD396" s="10" t="str">
        <f t="shared" si="120"/>
        <v/>
      </c>
      <c r="AE396" s="10" t="str">
        <f t="shared" si="121"/>
        <v/>
      </c>
      <c r="AF396" s="10" t="str">
        <f t="shared" si="122"/>
        <v/>
      </c>
      <c r="AG396" s="10" t="str">
        <f t="shared" si="129"/>
        <v/>
      </c>
      <c r="AH396" t="str">
        <f t="shared" si="123"/>
        <v/>
      </c>
      <c r="AI396" t="str">
        <f t="shared" si="124"/>
        <v/>
      </c>
      <c r="AJ396" t="str">
        <f t="shared" si="130"/>
        <v/>
      </c>
      <c r="AK396" t="str" cm="1">
        <f t="array" ref="AK396">IFERROR(IF(INDEX($A:$A,ROW())="","",INDEX($A:$A,ROW())),"")</f>
        <v/>
      </c>
      <c r="AL396" t="str" cm="1">
        <f t="array" ref="AL396">IFERROR(INDEX(tblTrades[sol_invested],ROW()-1),"")</f>
        <v/>
      </c>
      <c r="AM396" s="6" t="str" cm="1">
        <f t="array" ref="AM396">IFERROR(INDEX(tblAnalysis[P&amp;L SOL],ROW()-1),"")</f>
        <v/>
      </c>
      <c r="AN396" t="str" cm="1">
        <f t="array" ref="AN396">IFERROR(IF(INDEX(tblTrades[sol_invested],ROW()-1)&gt;0.5,INDEX(tblAnalysis[Token],ROW()-1)&amp;" ("&amp;TEXT(INDEX(tblTrades[sol_invested],ROW()-1),"0.0")&amp;" SOL)",""),"")</f>
        <v/>
      </c>
      <c r="AO396" s="7"/>
      <c r="AP396" s="12" t="str" cm="1">
        <f t="array" ref="AP396">IFERROR(INDEX(tblAnalysis[Entry MC ($)],ROW()-1),"")</f>
        <v/>
      </c>
      <c r="AQ396" s="10" t="str" cm="1">
        <f t="array" ref="AQ396">IFERROR(INDEX(tblAnalysis[P&amp;L %],ROW()-1),"")</f>
        <v/>
      </c>
      <c r="AR396" t="str" cm="1">
        <f t="array" ref="AR396">IFERROR(INDEX(tblAnalysis[Hold Time (s)],ROW()-1),"")</f>
        <v/>
      </c>
      <c r="AS396" s="6" t="str" cm="1">
        <f t="array" ref="AS396">IFERROR(INDEX(tblAnalysis[P&amp;L SOL],ROW()-1),"")</f>
        <v/>
      </c>
      <c r="AT396" s="6" t="str">
        <f t="array" ref="AT396">IFERROR(INDEX(tblAnalysis[P&amp;L SOL],ROW()-1),"")</f>
        <v/>
      </c>
      <c r="AZ396" s="10"/>
      <c r="BA396" s="10"/>
      <c r="BF396" t="str">
        <f t="shared" si="125"/>
        <v/>
      </c>
      <c r="BG396" s="27" t="str">
        <f t="shared" si="126"/>
        <v/>
      </c>
      <c r="BH396" t="str">
        <f t="shared" si="127"/>
        <v/>
      </c>
      <c r="BI396" t="str">
        <f t="shared" si="131"/>
        <v/>
      </c>
      <c r="BL396" s="29" t="e">
        <f t="shared" si="110"/>
        <v>#N/A</v>
      </c>
      <c r="BM396" s="29" t="e">
        <f t="shared" si="111"/>
        <v>#N/A</v>
      </c>
    </row>
    <row r="397" spans="17:65" x14ac:dyDescent="0.35">
      <c r="Q397" s="27"/>
      <c r="R397" s="6" t="str">
        <f>IF(Q397="","",SUMIFS(tblAnalysis[P&amp;L SOL],tblAnalysis[Date],Q397))</f>
        <v/>
      </c>
      <c r="S397" s="10" t="str">
        <f>IF(Q397="","",SUMIFS(tblAnalysis[P&amp;L %],tblAnalysis[Date],Q397))</f>
        <v/>
      </c>
      <c r="T397" s="6" t="str">
        <f>IF(Q397="","",IFERROR(SUM($R$2:R397),""))</f>
        <v/>
      </c>
      <c r="U397" t="str">
        <f>IF(Q397="","",COUNTIFS(tblAnalysis[Date],Q397))</f>
        <v/>
      </c>
      <c r="V397" t="str">
        <f>IF(R397="","",COUNTIFS(tblAnalysis[Date],R397))</f>
        <v/>
      </c>
      <c r="W397" s="27" t="str">
        <f t="shared" si="116"/>
        <v/>
      </c>
      <c r="X397" s="6" t="str">
        <f t="shared" si="117"/>
        <v/>
      </c>
      <c r="Y397" s="6" t="str">
        <f>IF(Q397="","",MAX(X397,_xlfn.MAXIFS(tblAnalysis[Cum P&amp;L SOL],tblAnalysis[Date],Q397)))</f>
        <v/>
      </c>
      <c r="Z397" s="6" t="str">
        <f>IF(Q397="","",MIN(X397,_xlfn.MINIFS(tblAnalysis[Cum P&amp;L SOL],tblAnalysis[Date],Q397)))</f>
        <v/>
      </c>
      <c r="AA397" s="6" t="str">
        <f t="shared" si="118"/>
        <v/>
      </c>
      <c r="AB397" s="6" t="str">
        <f t="shared" si="128"/>
        <v/>
      </c>
      <c r="AC397" s="27" t="str">
        <f t="shared" si="119"/>
        <v/>
      </c>
      <c r="AD397" s="10" t="str">
        <f t="shared" si="120"/>
        <v/>
      </c>
      <c r="AE397" s="10" t="str">
        <f t="shared" si="121"/>
        <v/>
      </c>
      <c r="AF397" s="10" t="str">
        <f t="shared" si="122"/>
        <v/>
      </c>
      <c r="AG397" s="10" t="str">
        <f t="shared" si="129"/>
        <v/>
      </c>
      <c r="AH397" t="str">
        <f t="shared" si="123"/>
        <v/>
      </c>
      <c r="AI397" t="str">
        <f t="shared" si="124"/>
        <v/>
      </c>
      <c r="AJ397" t="str">
        <f t="shared" si="130"/>
        <v/>
      </c>
      <c r="AK397" t="str" cm="1">
        <f t="array" ref="AK397">IFERROR(IF(INDEX($A:$A,ROW())="","",INDEX($A:$A,ROW())),"")</f>
        <v/>
      </c>
      <c r="AL397" t="str" cm="1">
        <f t="array" ref="AL397">IFERROR(INDEX(tblTrades[sol_invested],ROW()-1),"")</f>
        <v/>
      </c>
      <c r="AM397" s="6" t="str" cm="1">
        <f t="array" ref="AM397">IFERROR(INDEX(tblAnalysis[P&amp;L SOL],ROW()-1),"")</f>
        <v/>
      </c>
      <c r="AN397" t="str" cm="1">
        <f t="array" ref="AN397">IFERROR(IF(INDEX(tblTrades[sol_invested],ROW()-1)&gt;0.5,INDEX(tblAnalysis[Token],ROW()-1)&amp;" ("&amp;TEXT(INDEX(tblTrades[sol_invested],ROW()-1),"0.0")&amp;" SOL)",""),"")</f>
        <v/>
      </c>
      <c r="AO397" s="7"/>
      <c r="AP397" s="12" t="str" cm="1">
        <f t="array" ref="AP397">IFERROR(INDEX(tblAnalysis[Entry MC ($)],ROW()-1),"")</f>
        <v/>
      </c>
      <c r="AQ397" s="10" t="str" cm="1">
        <f t="array" ref="AQ397">IFERROR(INDEX(tblAnalysis[P&amp;L %],ROW()-1),"")</f>
        <v/>
      </c>
      <c r="AR397" t="str" cm="1">
        <f t="array" ref="AR397">IFERROR(INDEX(tblAnalysis[Hold Time (s)],ROW()-1),"")</f>
        <v/>
      </c>
      <c r="AS397" s="6" t="str" cm="1">
        <f t="array" ref="AS397">IFERROR(INDEX(tblAnalysis[P&amp;L SOL],ROW()-1),"")</f>
        <v/>
      </c>
      <c r="AT397" s="6" t="str">
        <f t="array" ref="AT397">IFERROR(INDEX(tblAnalysis[P&amp;L SOL],ROW()-1),"")</f>
        <v/>
      </c>
      <c r="AZ397" s="10"/>
      <c r="BA397" s="10"/>
      <c r="BF397" t="str">
        <f t="shared" si="125"/>
        <v/>
      </c>
      <c r="BG397" s="27" t="str">
        <f t="shared" si="126"/>
        <v/>
      </c>
      <c r="BH397" t="str">
        <f t="shared" si="127"/>
        <v/>
      </c>
      <c r="BI397" t="str">
        <f t="shared" si="131"/>
        <v/>
      </c>
      <c r="BL397" s="29" t="e">
        <f t="shared" si="110"/>
        <v>#N/A</v>
      </c>
      <c r="BM397" s="29" t="e">
        <f t="shared" si="111"/>
        <v>#N/A</v>
      </c>
    </row>
    <row r="398" spans="17:65" x14ac:dyDescent="0.35">
      <c r="Q398" s="27"/>
      <c r="R398" s="6" t="str">
        <f>IF(Q398="","",SUMIFS(tblAnalysis[P&amp;L SOL],tblAnalysis[Date],Q398))</f>
        <v/>
      </c>
      <c r="S398" s="10" t="str">
        <f>IF(Q398="","",SUMIFS(tblAnalysis[P&amp;L %],tblAnalysis[Date],Q398))</f>
        <v/>
      </c>
      <c r="T398" s="6" t="str">
        <f>IF(Q398="","",IFERROR(SUM($R$2:R398),""))</f>
        <v/>
      </c>
      <c r="U398" t="str">
        <f>IF(Q398="","",COUNTIFS(tblAnalysis[Date],Q398))</f>
        <v/>
      </c>
      <c r="V398" t="str">
        <f>IF(R398="","",COUNTIFS(tblAnalysis[Date],R398))</f>
        <v/>
      </c>
      <c r="W398" s="27" t="str">
        <f t="shared" si="116"/>
        <v/>
      </c>
      <c r="X398" s="6" t="str">
        <f t="shared" si="117"/>
        <v/>
      </c>
      <c r="Y398" s="6" t="str">
        <f>IF(Q398="","",MAX(X398,_xlfn.MAXIFS(tblAnalysis[Cum P&amp;L SOL],tblAnalysis[Date],Q398)))</f>
        <v/>
      </c>
      <c r="Z398" s="6" t="str">
        <f>IF(Q398="","",MIN(X398,_xlfn.MINIFS(tblAnalysis[Cum P&amp;L SOL],tblAnalysis[Date],Q398)))</f>
        <v/>
      </c>
      <c r="AA398" s="6" t="str">
        <f t="shared" si="118"/>
        <v/>
      </c>
      <c r="AB398" s="6" t="str">
        <f t="shared" si="128"/>
        <v/>
      </c>
      <c r="AC398" s="27" t="str">
        <f t="shared" si="119"/>
        <v/>
      </c>
      <c r="AD398" s="10" t="str">
        <f t="shared" si="120"/>
        <v/>
      </c>
      <c r="AE398" s="10" t="str">
        <f t="shared" si="121"/>
        <v/>
      </c>
      <c r="AF398" s="10" t="str">
        <f t="shared" si="122"/>
        <v/>
      </c>
      <c r="AG398" s="10" t="str">
        <f t="shared" si="129"/>
        <v/>
      </c>
      <c r="AH398" t="str">
        <f t="shared" si="123"/>
        <v/>
      </c>
      <c r="AI398" t="str">
        <f t="shared" si="124"/>
        <v/>
      </c>
      <c r="AJ398" t="str">
        <f t="shared" si="130"/>
        <v/>
      </c>
      <c r="AK398" t="str" cm="1">
        <f t="array" ref="AK398">IFERROR(IF(INDEX($A:$A,ROW())="","",INDEX($A:$A,ROW())),"")</f>
        <v/>
      </c>
      <c r="AL398" t="str" cm="1">
        <f t="array" ref="AL398">IFERROR(INDEX(tblTrades[sol_invested],ROW()-1),"")</f>
        <v/>
      </c>
      <c r="AM398" s="6" t="str" cm="1">
        <f t="array" ref="AM398">IFERROR(INDEX(tblAnalysis[P&amp;L SOL],ROW()-1),"")</f>
        <v/>
      </c>
      <c r="AN398" t="str" cm="1">
        <f t="array" ref="AN398">IFERROR(IF(INDEX(tblTrades[sol_invested],ROW()-1)&gt;0.5,INDEX(tblAnalysis[Token],ROW()-1)&amp;" ("&amp;TEXT(INDEX(tblTrades[sol_invested],ROW()-1),"0.0")&amp;" SOL)",""),"")</f>
        <v/>
      </c>
      <c r="AO398" s="7"/>
      <c r="AP398" s="12" t="str" cm="1">
        <f t="array" ref="AP398">IFERROR(INDEX(tblAnalysis[Entry MC ($)],ROW()-1),"")</f>
        <v/>
      </c>
      <c r="AQ398" s="10" t="str" cm="1">
        <f t="array" ref="AQ398">IFERROR(INDEX(tblAnalysis[P&amp;L %],ROW()-1),"")</f>
        <v/>
      </c>
      <c r="AR398" t="str" cm="1">
        <f t="array" ref="AR398">IFERROR(INDEX(tblAnalysis[Hold Time (s)],ROW()-1),"")</f>
        <v/>
      </c>
      <c r="AS398" s="6" t="str" cm="1">
        <f t="array" ref="AS398">IFERROR(INDEX(tblAnalysis[P&amp;L SOL],ROW()-1),"")</f>
        <v/>
      </c>
      <c r="AT398" s="6" t="str">
        <f t="array" ref="AT398">IFERROR(INDEX(tblAnalysis[P&amp;L SOL],ROW()-1),"")</f>
        <v/>
      </c>
      <c r="AZ398" s="10"/>
      <c r="BA398" s="10"/>
      <c r="BF398" t="str">
        <f t="shared" si="125"/>
        <v/>
      </c>
      <c r="BG398" s="27" t="str">
        <f t="shared" si="126"/>
        <v/>
      </c>
      <c r="BH398" t="str">
        <f t="shared" si="127"/>
        <v/>
      </c>
      <c r="BI398" t="str">
        <f t="shared" si="131"/>
        <v/>
      </c>
      <c r="BL398" s="29" t="e">
        <f t="shared" si="110"/>
        <v>#N/A</v>
      </c>
      <c r="BM398" s="29" t="e">
        <f t="shared" si="111"/>
        <v>#N/A</v>
      </c>
    </row>
    <row r="399" spans="17:65" x14ac:dyDescent="0.35">
      <c r="Q399" s="27"/>
      <c r="R399" s="6" t="str">
        <f>IF(Q399="","",SUMIFS(tblAnalysis[P&amp;L SOL],tblAnalysis[Date],Q399))</f>
        <v/>
      </c>
      <c r="S399" s="10" t="str">
        <f>IF(Q399="","",SUMIFS(tblAnalysis[P&amp;L %],tblAnalysis[Date],Q399))</f>
        <v/>
      </c>
      <c r="T399" s="6" t="str">
        <f>IF(Q399="","",IFERROR(SUM($R$2:R399),""))</f>
        <v/>
      </c>
      <c r="U399" t="str">
        <f>IF(Q399="","",COUNTIFS(tblAnalysis[Date],Q399))</f>
        <v/>
      </c>
      <c r="V399" t="str">
        <f>IF(R399="","",COUNTIFS(tblAnalysis[Date],R399))</f>
        <v/>
      </c>
      <c r="W399" s="27" t="str">
        <f t="shared" si="116"/>
        <v/>
      </c>
      <c r="X399" s="6" t="str">
        <f t="shared" si="117"/>
        <v/>
      </c>
      <c r="Y399" s="6" t="str">
        <f>IF(Q399="","",MAX(X399,_xlfn.MAXIFS(tblAnalysis[Cum P&amp;L SOL],tblAnalysis[Date],Q399)))</f>
        <v/>
      </c>
      <c r="Z399" s="6" t="str">
        <f>IF(Q399="","",MIN(X399,_xlfn.MINIFS(tblAnalysis[Cum P&amp;L SOL],tblAnalysis[Date],Q399)))</f>
        <v/>
      </c>
      <c r="AA399" s="6" t="str">
        <f t="shared" si="118"/>
        <v/>
      </c>
      <c r="AB399" s="6" t="str">
        <f t="shared" si="128"/>
        <v/>
      </c>
      <c r="AC399" s="27" t="str">
        <f t="shared" si="119"/>
        <v/>
      </c>
      <c r="AD399" s="10" t="str">
        <f t="shared" si="120"/>
        <v/>
      </c>
      <c r="AE399" s="10" t="str">
        <f t="shared" si="121"/>
        <v/>
      </c>
      <c r="AF399" s="10" t="str">
        <f t="shared" si="122"/>
        <v/>
      </c>
      <c r="AG399" s="10" t="str">
        <f t="shared" si="129"/>
        <v/>
      </c>
      <c r="AH399" t="str">
        <f t="shared" si="123"/>
        <v/>
      </c>
      <c r="AI399" t="str">
        <f t="shared" si="124"/>
        <v/>
      </c>
      <c r="AJ399" t="str">
        <f t="shared" si="130"/>
        <v/>
      </c>
      <c r="AK399" t="str" cm="1">
        <f t="array" ref="AK399">IFERROR(IF(INDEX($A:$A,ROW())="","",INDEX($A:$A,ROW())),"")</f>
        <v/>
      </c>
      <c r="AL399" t="str" cm="1">
        <f t="array" ref="AL399">IFERROR(INDEX(tblTrades[sol_invested],ROW()-1),"")</f>
        <v/>
      </c>
      <c r="AM399" s="6" t="str" cm="1">
        <f t="array" ref="AM399">IFERROR(INDEX(tblAnalysis[P&amp;L SOL],ROW()-1),"")</f>
        <v/>
      </c>
      <c r="AN399" t="str" cm="1">
        <f t="array" ref="AN399">IFERROR(IF(INDEX(tblTrades[sol_invested],ROW()-1)&gt;0.5,INDEX(tblAnalysis[Token],ROW()-1)&amp;" ("&amp;TEXT(INDEX(tblTrades[sol_invested],ROW()-1),"0.0")&amp;" SOL)",""),"")</f>
        <v/>
      </c>
      <c r="AO399" s="7"/>
      <c r="AP399" s="12" t="str" cm="1">
        <f t="array" ref="AP399">IFERROR(INDEX(tblAnalysis[Entry MC ($)],ROW()-1),"")</f>
        <v/>
      </c>
      <c r="AQ399" s="10" t="str" cm="1">
        <f t="array" ref="AQ399">IFERROR(INDEX(tblAnalysis[P&amp;L %],ROW()-1),"")</f>
        <v/>
      </c>
      <c r="AR399" t="str" cm="1">
        <f t="array" ref="AR399">IFERROR(INDEX(tblAnalysis[Hold Time (s)],ROW()-1),"")</f>
        <v/>
      </c>
      <c r="AS399" s="6" t="str" cm="1">
        <f t="array" ref="AS399">IFERROR(INDEX(tblAnalysis[P&amp;L SOL],ROW()-1),"")</f>
        <v/>
      </c>
      <c r="AT399" s="6" t="str">
        <f t="array" ref="AT399">IFERROR(INDEX(tblAnalysis[P&amp;L SOL],ROW()-1),"")</f>
        <v/>
      </c>
      <c r="AZ399" s="10"/>
      <c r="BA399" s="10"/>
      <c r="BF399" t="str">
        <f t="shared" si="125"/>
        <v/>
      </c>
      <c r="BG399" s="27" t="str">
        <f t="shared" si="126"/>
        <v/>
      </c>
      <c r="BH399" t="str">
        <f t="shared" si="127"/>
        <v/>
      </c>
      <c r="BI399" t="str">
        <f t="shared" si="131"/>
        <v/>
      </c>
      <c r="BL399" s="29" t="e">
        <f t="shared" si="110"/>
        <v>#N/A</v>
      </c>
      <c r="BM399" s="29" t="e">
        <f t="shared" si="111"/>
        <v>#N/A</v>
      </c>
    </row>
    <row r="400" spans="17:65" x14ac:dyDescent="0.35">
      <c r="Q400" s="27"/>
      <c r="R400" s="6" t="str">
        <f>IF(Q400="","",SUMIFS(tblAnalysis[P&amp;L SOL],tblAnalysis[Date],Q400))</f>
        <v/>
      </c>
      <c r="S400" s="10" t="str">
        <f>IF(Q400="","",SUMIFS(tblAnalysis[P&amp;L %],tblAnalysis[Date],Q400))</f>
        <v/>
      </c>
      <c r="T400" s="6" t="str">
        <f>IF(Q400="","",IFERROR(SUM($R$2:R400),""))</f>
        <v/>
      </c>
      <c r="U400" t="str">
        <f>IF(Q400="","",COUNTIFS(tblAnalysis[Date],Q400))</f>
        <v/>
      </c>
      <c r="V400" t="str">
        <f>IF(R400="","",COUNTIFS(tblAnalysis[Date],R400))</f>
        <v/>
      </c>
      <c r="W400" s="27" t="str">
        <f t="shared" si="116"/>
        <v/>
      </c>
      <c r="X400" s="6" t="str">
        <f t="shared" si="117"/>
        <v/>
      </c>
      <c r="Y400" s="6" t="str">
        <f>IF(Q400="","",MAX(X400,_xlfn.MAXIFS(tblAnalysis[Cum P&amp;L SOL],tblAnalysis[Date],Q400)))</f>
        <v/>
      </c>
      <c r="Z400" s="6" t="str">
        <f>IF(Q400="","",MIN(X400,_xlfn.MINIFS(tblAnalysis[Cum P&amp;L SOL],tblAnalysis[Date],Q400)))</f>
        <v/>
      </c>
      <c r="AA400" s="6" t="str">
        <f t="shared" si="118"/>
        <v/>
      </c>
      <c r="AB400" s="6" t="str">
        <f t="shared" si="128"/>
        <v/>
      </c>
      <c r="AC400" s="27" t="str">
        <f t="shared" si="119"/>
        <v/>
      </c>
      <c r="AD400" s="10" t="str">
        <f t="shared" si="120"/>
        <v/>
      </c>
      <c r="AE400" s="10" t="str">
        <f t="shared" si="121"/>
        <v/>
      </c>
      <c r="AF400" s="10" t="str">
        <f t="shared" si="122"/>
        <v/>
      </c>
      <c r="AG400" s="10" t="str">
        <f t="shared" si="129"/>
        <v/>
      </c>
      <c r="AH400" t="str">
        <f t="shared" si="123"/>
        <v/>
      </c>
      <c r="AI400" t="str">
        <f t="shared" si="124"/>
        <v/>
      </c>
      <c r="AJ400" t="str">
        <f t="shared" si="130"/>
        <v/>
      </c>
      <c r="AK400" t="str" cm="1">
        <f t="array" ref="AK400">IFERROR(IF(INDEX($A:$A,ROW())="","",INDEX($A:$A,ROW())),"")</f>
        <v/>
      </c>
      <c r="AL400" t="str" cm="1">
        <f t="array" ref="AL400">IFERROR(INDEX(tblTrades[sol_invested],ROW()-1),"")</f>
        <v/>
      </c>
      <c r="AM400" s="6" t="str" cm="1">
        <f t="array" ref="AM400">IFERROR(INDEX(tblAnalysis[P&amp;L SOL],ROW()-1),"")</f>
        <v/>
      </c>
      <c r="AN400" t="str" cm="1">
        <f t="array" ref="AN400">IFERROR(IF(INDEX(tblTrades[sol_invested],ROW()-1)&gt;0.5,INDEX(tblAnalysis[Token],ROW()-1)&amp;" ("&amp;TEXT(INDEX(tblTrades[sol_invested],ROW()-1),"0.0")&amp;" SOL)",""),"")</f>
        <v/>
      </c>
      <c r="AO400" s="7"/>
      <c r="AP400" s="12" t="str" cm="1">
        <f t="array" ref="AP400">IFERROR(INDEX(tblAnalysis[Entry MC ($)],ROW()-1),"")</f>
        <v/>
      </c>
      <c r="AQ400" s="10" t="str" cm="1">
        <f t="array" ref="AQ400">IFERROR(INDEX(tblAnalysis[P&amp;L %],ROW()-1),"")</f>
        <v/>
      </c>
      <c r="AR400" t="str" cm="1">
        <f t="array" ref="AR400">IFERROR(INDEX(tblAnalysis[Hold Time (s)],ROW()-1),"")</f>
        <v/>
      </c>
      <c r="AS400" s="6" t="str" cm="1">
        <f t="array" ref="AS400">IFERROR(INDEX(tblAnalysis[P&amp;L SOL],ROW()-1),"")</f>
        <v/>
      </c>
      <c r="AT400" s="6" t="str">
        <f t="array" ref="AT400">IFERROR(INDEX(tblAnalysis[P&amp;L SOL],ROW()-1),"")</f>
        <v/>
      </c>
      <c r="AZ400" s="10"/>
      <c r="BA400" s="10"/>
      <c r="BF400" t="str">
        <f t="shared" si="125"/>
        <v/>
      </c>
      <c r="BG400" s="27" t="str">
        <f t="shared" si="126"/>
        <v/>
      </c>
      <c r="BH400" t="str">
        <f t="shared" si="127"/>
        <v/>
      </c>
      <c r="BI400" t="str">
        <f t="shared" si="131"/>
        <v/>
      </c>
      <c r="BL400" s="29" t="e">
        <f t="shared" si="110"/>
        <v>#N/A</v>
      </c>
      <c r="BM400" s="29" t="e">
        <f t="shared" si="111"/>
        <v>#N/A</v>
      </c>
    </row>
    <row r="401" spans="17:65" x14ac:dyDescent="0.35">
      <c r="Q401" s="27"/>
      <c r="R401" s="6" t="str">
        <f>IF(Q401="","",SUMIFS(tblAnalysis[P&amp;L SOL],tblAnalysis[Date],Q401))</f>
        <v/>
      </c>
      <c r="S401" s="10" t="str">
        <f>IF(Q401="","",SUMIFS(tblAnalysis[P&amp;L %],tblAnalysis[Date],Q401))</f>
        <v/>
      </c>
      <c r="T401" s="6" t="str">
        <f>IF(Q401="","",IFERROR(SUM($R$2:R401),""))</f>
        <v/>
      </c>
      <c r="U401" t="str">
        <f>IF(Q401="","",COUNTIFS(tblAnalysis[Date],Q401))</f>
        <v/>
      </c>
      <c r="V401" t="str">
        <f>IF(R401="","",COUNTIFS(tblAnalysis[Date],R401))</f>
        <v/>
      </c>
      <c r="W401" s="27" t="str">
        <f t="shared" si="116"/>
        <v/>
      </c>
      <c r="X401" s="6" t="str">
        <f t="shared" si="117"/>
        <v/>
      </c>
      <c r="Y401" s="6" t="str">
        <f>IF(Q401="","",MAX(X401,_xlfn.MAXIFS(tblAnalysis[Cum P&amp;L SOL],tblAnalysis[Date],Q401)))</f>
        <v/>
      </c>
      <c r="Z401" s="6" t="str">
        <f>IF(Q401="","",MIN(X401,_xlfn.MINIFS(tblAnalysis[Cum P&amp;L SOL],tblAnalysis[Date],Q401)))</f>
        <v/>
      </c>
      <c r="AA401" s="6" t="str">
        <f t="shared" si="118"/>
        <v/>
      </c>
      <c r="AB401" s="6" t="str">
        <f t="shared" si="128"/>
        <v/>
      </c>
      <c r="AC401" s="27" t="str">
        <f t="shared" si="119"/>
        <v/>
      </c>
      <c r="AD401" s="10" t="str">
        <f t="shared" si="120"/>
        <v/>
      </c>
      <c r="AE401" s="10" t="str">
        <f t="shared" si="121"/>
        <v/>
      </c>
      <c r="AF401" s="10" t="str">
        <f t="shared" si="122"/>
        <v/>
      </c>
      <c r="AG401" s="10" t="str">
        <f t="shared" si="129"/>
        <v/>
      </c>
      <c r="AH401" t="str">
        <f t="shared" si="123"/>
        <v/>
      </c>
      <c r="AI401" t="str">
        <f t="shared" si="124"/>
        <v/>
      </c>
      <c r="AJ401" t="str">
        <f t="shared" si="130"/>
        <v/>
      </c>
      <c r="AK401" t="str" cm="1">
        <f t="array" ref="AK401">IFERROR(IF(INDEX($A:$A,ROW())="","",INDEX($A:$A,ROW())),"")</f>
        <v/>
      </c>
      <c r="AL401" t="str" cm="1">
        <f t="array" ref="AL401">IFERROR(INDEX(tblTrades[sol_invested],ROW()-1),"")</f>
        <v/>
      </c>
      <c r="AM401" s="6" t="str" cm="1">
        <f t="array" ref="AM401">IFERROR(INDEX(tblAnalysis[P&amp;L SOL],ROW()-1),"")</f>
        <v/>
      </c>
      <c r="AN401" t="str" cm="1">
        <f t="array" ref="AN401">IFERROR(IF(INDEX(tblTrades[sol_invested],ROW()-1)&gt;0.5,INDEX(tblAnalysis[Token],ROW()-1)&amp;" ("&amp;TEXT(INDEX(tblTrades[sol_invested],ROW()-1),"0.0")&amp;" SOL)",""),"")</f>
        <v/>
      </c>
      <c r="AO401" s="7"/>
      <c r="AP401" s="12" t="str" cm="1">
        <f t="array" ref="AP401">IFERROR(INDEX(tblAnalysis[Entry MC ($)],ROW()-1),"")</f>
        <v/>
      </c>
      <c r="AQ401" s="10" t="str" cm="1">
        <f t="array" ref="AQ401">IFERROR(INDEX(tblAnalysis[P&amp;L %],ROW()-1),"")</f>
        <v/>
      </c>
      <c r="AR401" t="str" cm="1">
        <f t="array" ref="AR401">IFERROR(INDEX(tblAnalysis[Hold Time (s)],ROW()-1),"")</f>
        <v/>
      </c>
      <c r="AS401" s="6" t="str" cm="1">
        <f t="array" ref="AS401">IFERROR(INDEX(tblAnalysis[P&amp;L SOL],ROW()-1),"")</f>
        <v/>
      </c>
      <c r="AT401" s="6" t="str">
        <f t="array" ref="AT401">IFERROR(INDEX(tblAnalysis[P&amp;L SOL],ROW()-1),"")</f>
        <v/>
      </c>
      <c r="AZ401" s="10"/>
      <c r="BA401" s="10"/>
      <c r="BF401" t="str">
        <f t="shared" si="125"/>
        <v/>
      </c>
      <c r="BG401" s="27" t="str">
        <f t="shared" si="126"/>
        <v/>
      </c>
      <c r="BH401" t="str">
        <f t="shared" si="127"/>
        <v/>
      </c>
      <c r="BI401" t="str">
        <f t="shared" si="131"/>
        <v/>
      </c>
      <c r="BL401" s="29" t="e">
        <f t="shared" si="110"/>
        <v>#N/A</v>
      </c>
      <c r="BM401" s="29" t="e">
        <f t="shared" si="111"/>
        <v>#N/A</v>
      </c>
    </row>
    <row r="402" spans="17:65" x14ac:dyDescent="0.35">
      <c r="Q402" s="27"/>
      <c r="R402" s="6" t="str">
        <f>IF(Q402="","",SUMIFS(tblAnalysis[P&amp;L SOL],tblAnalysis[Date],Q402))</f>
        <v/>
      </c>
      <c r="S402" s="10" t="str">
        <f>IF(Q402="","",SUMIFS(tblAnalysis[P&amp;L %],tblAnalysis[Date],Q402))</f>
        <v/>
      </c>
      <c r="T402" s="6" t="str">
        <f>IF(Q402="","",IFERROR(SUM($R$2:R402),""))</f>
        <v/>
      </c>
      <c r="U402" t="str">
        <f>IF(Q402="","",COUNTIFS(tblAnalysis[Date],Q402))</f>
        <v/>
      </c>
      <c r="V402" t="str">
        <f>IF(R402="","",COUNTIFS(tblAnalysis[Date],R402))</f>
        <v/>
      </c>
      <c r="W402" s="27" t="str">
        <f t="shared" si="116"/>
        <v/>
      </c>
      <c r="X402" s="6" t="str">
        <f t="shared" si="117"/>
        <v/>
      </c>
      <c r="Y402" s="6" t="str">
        <f>IF(Q402="","",MAX(X402,_xlfn.MAXIFS(tblAnalysis[Cum P&amp;L SOL],tblAnalysis[Date],Q402)))</f>
        <v/>
      </c>
      <c r="Z402" s="6" t="str">
        <f>IF(Q402="","",MIN(X402,_xlfn.MINIFS(tblAnalysis[Cum P&amp;L SOL],tblAnalysis[Date],Q402)))</f>
        <v/>
      </c>
      <c r="AA402" s="6" t="str">
        <f t="shared" si="118"/>
        <v/>
      </c>
      <c r="AB402" s="6" t="str">
        <f t="shared" si="128"/>
        <v/>
      </c>
      <c r="AC402" s="27" t="str">
        <f t="shared" si="119"/>
        <v/>
      </c>
      <c r="AD402" s="10" t="str">
        <f t="shared" si="120"/>
        <v/>
      </c>
      <c r="AE402" s="10" t="str">
        <f t="shared" si="121"/>
        <v/>
      </c>
      <c r="AF402" s="10" t="str">
        <f t="shared" si="122"/>
        <v/>
      </c>
      <c r="AG402" s="10" t="str">
        <f t="shared" si="129"/>
        <v/>
      </c>
      <c r="AH402" t="str">
        <f t="shared" si="123"/>
        <v/>
      </c>
      <c r="AI402" t="str">
        <f t="shared" si="124"/>
        <v/>
      </c>
      <c r="AJ402" t="str">
        <f t="shared" si="130"/>
        <v/>
      </c>
      <c r="AK402" t="str" cm="1">
        <f t="array" ref="AK402">IFERROR(IF(INDEX($A:$A,ROW())="","",INDEX($A:$A,ROW())),"")</f>
        <v/>
      </c>
      <c r="AL402" t="str" cm="1">
        <f t="array" ref="AL402">IFERROR(INDEX(tblTrades[sol_invested],ROW()-1),"")</f>
        <v/>
      </c>
      <c r="AM402" s="6" t="str" cm="1">
        <f t="array" ref="AM402">IFERROR(INDEX(tblAnalysis[P&amp;L SOL],ROW()-1),"")</f>
        <v/>
      </c>
      <c r="AN402" t="str" cm="1">
        <f t="array" ref="AN402">IFERROR(IF(INDEX(tblTrades[sol_invested],ROW()-1)&gt;0.5,INDEX(tblAnalysis[Token],ROW()-1)&amp;" ("&amp;TEXT(INDEX(tblTrades[sol_invested],ROW()-1),"0.0")&amp;" SOL)",""),"")</f>
        <v/>
      </c>
      <c r="AO402" s="7"/>
      <c r="AP402" s="12" t="str" cm="1">
        <f t="array" ref="AP402">IFERROR(INDEX(tblAnalysis[Entry MC ($)],ROW()-1),"")</f>
        <v/>
      </c>
      <c r="AQ402" s="10" t="str" cm="1">
        <f t="array" ref="AQ402">IFERROR(INDEX(tblAnalysis[P&amp;L %],ROW()-1),"")</f>
        <v/>
      </c>
      <c r="AR402" t="str" cm="1">
        <f t="array" ref="AR402">IFERROR(INDEX(tblAnalysis[Hold Time (s)],ROW()-1),"")</f>
        <v/>
      </c>
      <c r="AS402" s="6" t="str" cm="1">
        <f t="array" ref="AS402">IFERROR(INDEX(tblAnalysis[P&amp;L SOL],ROW()-1),"")</f>
        <v/>
      </c>
      <c r="AT402" s="6" t="str">
        <f t="array" ref="AT402">IFERROR(INDEX(tblAnalysis[P&amp;L SOL],ROW()-1),"")</f>
        <v/>
      </c>
      <c r="AZ402" s="10"/>
      <c r="BA402" s="10"/>
      <c r="BF402" t="str">
        <f t="shared" si="125"/>
        <v/>
      </c>
      <c r="BG402" s="27" t="str">
        <f t="shared" si="126"/>
        <v/>
      </c>
      <c r="BH402" t="str">
        <f t="shared" si="127"/>
        <v/>
      </c>
      <c r="BI402" t="str">
        <f t="shared" si="131"/>
        <v/>
      </c>
      <c r="BL402" s="29" t="e">
        <f t="shared" si="110"/>
        <v>#N/A</v>
      </c>
      <c r="BM402" s="29" t="e">
        <f t="shared" si="111"/>
        <v>#N/A</v>
      </c>
    </row>
    <row r="403" spans="17:65" x14ac:dyDescent="0.35">
      <c r="Q403" s="27"/>
      <c r="R403" s="6" t="str">
        <f>IF(Q403="","",SUMIFS(tblAnalysis[P&amp;L SOL],tblAnalysis[Date],Q403))</f>
        <v/>
      </c>
      <c r="S403" s="10" t="str">
        <f>IF(Q403="","",SUMIFS(tblAnalysis[P&amp;L %],tblAnalysis[Date],Q403))</f>
        <v/>
      </c>
      <c r="T403" s="6" t="str">
        <f>IF(Q403="","",IFERROR(SUM($R$2:R403),""))</f>
        <v/>
      </c>
      <c r="U403" t="str">
        <f>IF(Q403="","",COUNTIFS(tblAnalysis[Date],Q403))</f>
        <v/>
      </c>
      <c r="V403" t="str">
        <f>IF(R403="","",COUNTIFS(tblAnalysis[Date],R403))</f>
        <v/>
      </c>
      <c r="W403" s="27" t="str">
        <f t="shared" si="116"/>
        <v/>
      </c>
      <c r="X403" s="6" t="str">
        <f t="shared" si="117"/>
        <v/>
      </c>
      <c r="Y403" s="6" t="str">
        <f>IF(Q403="","",MAX(X403,_xlfn.MAXIFS(tblAnalysis[Cum P&amp;L SOL],tblAnalysis[Date],Q403)))</f>
        <v/>
      </c>
      <c r="Z403" s="6" t="str">
        <f>IF(Q403="","",MIN(X403,_xlfn.MINIFS(tblAnalysis[Cum P&amp;L SOL],tblAnalysis[Date],Q403)))</f>
        <v/>
      </c>
      <c r="AA403" s="6" t="str">
        <f t="shared" si="118"/>
        <v/>
      </c>
      <c r="AB403" s="6" t="str">
        <f t="shared" si="128"/>
        <v/>
      </c>
      <c r="AC403" s="27" t="str">
        <f t="shared" si="119"/>
        <v/>
      </c>
      <c r="AD403" s="10" t="str">
        <f t="shared" si="120"/>
        <v/>
      </c>
      <c r="AE403" s="10" t="str">
        <f t="shared" si="121"/>
        <v/>
      </c>
      <c r="AF403" s="10" t="str">
        <f t="shared" si="122"/>
        <v/>
      </c>
      <c r="AG403" s="10" t="str">
        <f t="shared" si="129"/>
        <v/>
      </c>
      <c r="AH403" t="str">
        <f t="shared" si="123"/>
        <v/>
      </c>
      <c r="AI403" t="str">
        <f t="shared" si="124"/>
        <v/>
      </c>
      <c r="AJ403" t="str">
        <f t="shared" si="130"/>
        <v/>
      </c>
      <c r="AK403" t="str" cm="1">
        <f t="array" ref="AK403">IFERROR(IF(INDEX($A:$A,ROW())="","",INDEX($A:$A,ROW())),"")</f>
        <v/>
      </c>
      <c r="AL403" t="str" cm="1">
        <f t="array" ref="AL403">IFERROR(INDEX(tblTrades[sol_invested],ROW()-1),"")</f>
        <v/>
      </c>
      <c r="AM403" s="6" t="str" cm="1">
        <f t="array" ref="AM403">IFERROR(INDEX(tblAnalysis[P&amp;L SOL],ROW()-1),"")</f>
        <v/>
      </c>
      <c r="AN403" t="str" cm="1">
        <f t="array" ref="AN403">IFERROR(IF(INDEX(tblTrades[sol_invested],ROW()-1)&gt;0.5,INDEX(tblAnalysis[Token],ROW()-1)&amp;" ("&amp;TEXT(INDEX(tblTrades[sol_invested],ROW()-1),"0.0")&amp;" SOL)",""),"")</f>
        <v/>
      </c>
      <c r="AO403" s="7"/>
      <c r="AP403" s="12" t="str" cm="1">
        <f t="array" ref="AP403">IFERROR(INDEX(tblAnalysis[Entry MC ($)],ROW()-1),"")</f>
        <v/>
      </c>
      <c r="AQ403" s="10" t="str" cm="1">
        <f t="array" ref="AQ403">IFERROR(INDEX(tblAnalysis[P&amp;L %],ROW()-1),"")</f>
        <v/>
      </c>
      <c r="AR403" t="str" cm="1">
        <f t="array" ref="AR403">IFERROR(INDEX(tblAnalysis[Hold Time (s)],ROW()-1),"")</f>
        <v/>
      </c>
      <c r="AS403" s="6" t="str" cm="1">
        <f t="array" ref="AS403">IFERROR(INDEX(tblAnalysis[P&amp;L SOL],ROW()-1),"")</f>
        <v/>
      </c>
      <c r="AT403" s="6" t="str">
        <f t="array" ref="AT403">IFERROR(INDEX(tblAnalysis[P&amp;L SOL],ROW()-1),"")</f>
        <v/>
      </c>
      <c r="AZ403" s="10"/>
      <c r="BA403" s="10"/>
      <c r="BF403" t="str">
        <f t="shared" si="125"/>
        <v/>
      </c>
      <c r="BG403" s="27" t="str">
        <f t="shared" si="126"/>
        <v/>
      </c>
      <c r="BH403" t="str">
        <f t="shared" si="127"/>
        <v/>
      </c>
      <c r="BI403" t="str">
        <f t="shared" si="131"/>
        <v/>
      </c>
      <c r="BL403" s="29" t="e">
        <f t="shared" si="110"/>
        <v>#N/A</v>
      </c>
      <c r="BM403" s="29" t="e">
        <f t="shared" si="111"/>
        <v>#N/A</v>
      </c>
    </row>
    <row r="404" spans="17:65" x14ac:dyDescent="0.35">
      <c r="Q404" s="27"/>
      <c r="R404" s="6" t="str">
        <f>IF(Q404="","",SUMIFS(tblAnalysis[P&amp;L SOL],tblAnalysis[Date],Q404))</f>
        <v/>
      </c>
      <c r="S404" s="10" t="str">
        <f>IF(Q404="","",SUMIFS(tblAnalysis[P&amp;L %],tblAnalysis[Date],Q404))</f>
        <v/>
      </c>
      <c r="T404" s="6" t="str">
        <f>IF(Q404="","",IFERROR(SUM($R$2:R404),""))</f>
        <v/>
      </c>
      <c r="U404" t="str">
        <f>IF(Q404="","",COUNTIFS(tblAnalysis[Date],Q404))</f>
        <v/>
      </c>
      <c r="V404" t="str">
        <f>IF(R404="","",COUNTIFS(tblAnalysis[Date],R404))</f>
        <v/>
      </c>
      <c r="W404" s="27" t="str">
        <f t="shared" si="116"/>
        <v/>
      </c>
      <c r="X404" s="6" t="str">
        <f t="shared" si="117"/>
        <v/>
      </c>
      <c r="Y404" s="6" t="str">
        <f>IF(Q404="","",MAX(X404,_xlfn.MAXIFS(tblAnalysis[Cum P&amp;L SOL],tblAnalysis[Date],Q404)))</f>
        <v/>
      </c>
      <c r="Z404" s="6" t="str">
        <f>IF(Q404="","",MIN(X404,_xlfn.MINIFS(tblAnalysis[Cum P&amp;L SOL],tblAnalysis[Date],Q404)))</f>
        <v/>
      </c>
      <c r="AA404" s="6" t="str">
        <f t="shared" si="118"/>
        <v/>
      </c>
      <c r="AB404" s="6" t="str">
        <f t="shared" si="128"/>
        <v/>
      </c>
      <c r="AC404" s="27" t="str">
        <f t="shared" si="119"/>
        <v/>
      </c>
      <c r="AD404" s="10" t="str">
        <f t="shared" si="120"/>
        <v/>
      </c>
      <c r="AE404" s="10" t="str">
        <f t="shared" si="121"/>
        <v/>
      </c>
      <c r="AF404" s="10" t="str">
        <f t="shared" si="122"/>
        <v/>
      </c>
      <c r="AG404" s="10" t="str">
        <f t="shared" si="129"/>
        <v/>
      </c>
      <c r="AH404" t="str">
        <f t="shared" si="123"/>
        <v/>
      </c>
      <c r="AI404" t="str">
        <f t="shared" si="124"/>
        <v/>
      </c>
      <c r="AJ404" t="str">
        <f t="shared" si="130"/>
        <v/>
      </c>
      <c r="AK404" t="str" cm="1">
        <f t="array" ref="AK404">IFERROR(IF(INDEX($A:$A,ROW())="","",INDEX($A:$A,ROW())),"")</f>
        <v/>
      </c>
      <c r="AL404" t="str" cm="1">
        <f t="array" ref="AL404">IFERROR(INDEX(tblTrades[sol_invested],ROW()-1),"")</f>
        <v/>
      </c>
      <c r="AM404" s="6" t="str" cm="1">
        <f t="array" ref="AM404">IFERROR(INDEX(tblAnalysis[P&amp;L SOL],ROW()-1),"")</f>
        <v/>
      </c>
      <c r="AN404" t="str" cm="1">
        <f t="array" ref="AN404">IFERROR(IF(INDEX(tblTrades[sol_invested],ROW()-1)&gt;0.5,INDEX(tblAnalysis[Token],ROW()-1)&amp;" ("&amp;TEXT(INDEX(tblTrades[sol_invested],ROW()-1),"0.0")&amp;" SOL)",""),"")</f>
        <v/>
      </c>
      <c r="AO404" s="7"/>
      <c r="AP404" s="12" t="str" cm="1">
        <f t="array" ref="AP404">IFERROR(INDEX(tblAnalysis[Entry MC ($)],ROW()-1),"")</f>
        <v/>
      </c>
      <c r="AQ404" s="10" t="str" cm="1">
        <f t="array" ref="AQ404">IFERROR(INDEX(tblAnalysis[P&amp;L %],ROW()-1),"")</f>
        <v/>
      </c>
      <c r="AR404" t="str" cm="1">
        <f t="array" ref="AR404">IFERROR(INDEX(tblAnalysis[Hold Time (s)],ROW()-1),"")</f>
        <v/>
      </c>
      <c r="AS404" s="6" t="str" cm="1">
        <f t="array" ref="AS404">IFERROR(INDEX(tblAnalysis[P&amp;L SOL],ROW()-1),"")</f>
        <v/>
      </c>
      <c r="AT404" s="6" t="str">
        <f t="array" ref="AT404">IFERROR(INDEX(tblAnalysis[P&amp;L SOL],ROW()-1),"")</f>
        <v/>
      </c>
      <c r="AZ404" s="10"/>
      <c r="BA404" s="10"/>
      <c r="BF404" t="str">
        <f t="shared" si="125"/>
        <v/>
      </c>
      <c r="BG404" s="27" t="str">
        <f t="shared" si="126"/>
        <v/>
      </c>
      <c r="BH404" t="str">
        <f t="shared" si="127"/>
        <v/>
      </c>
      <c r="BI404" t="str">
        <f t="shared" si="131"/>
        <v/>
      </c>
      <c r="BL404" s="29" t="e">
        <f t="shared" si="110"/>
        <v>#N/A</v>
      </c>
      <c r="BM404" s="29" t="e">
        <f t="shared" si="111"/>
        <v>#N/A</v>
      </c>
    </row>
    <row r="405" spans="17:65" x14ac:dyDescent="0.35">
      <c r="Q405" s="27"/>
      <c r="R405" s="6" t="str">
        <f>IF(Q405="","",SUMIFS(tblAnalysis[P&amp;L SOL],tblAnalysis[Date],Q405))</f>
        <v/>
      </c>
      <c r="S405" s="10" t="str">
        <f>IF(Q405="","",SUMIFS(tblAnalysis[P&amp;L %],tblAnalysis[Date],Q405))</f>
        <v/>
      </c>
      <c r="T405" s="6" t="str">
        <f>IF(Q405="","",IFERROR(SUM($R$2:R405),""))</f>
        <v/>
      </c>
      <c r="U405" t="str">
        <f>IF(Q405="","",COUNTIFS(tblAnalysis[Date],Q405))</f>
        <v/>
      </c>
      <c r="V405" t="str">
        <f>IF(R405="","",COUNTIFS(tblAnalysis[Date],R405))</f>
        <v/>
      </c>
      <c r="W405" s="27" t="str">
        <f t="shared" si="116"/>
        <v/>
      </c>
      <c r="X405" s="6" t="str">
        <f t="shared" si="117"/>
        <v/>
      </c>
      <c r="Y405" s="6" t="str">
        <f>IF(Q405="","",MAX(X405,_xlfn.MAXIFS(tblAnalysis[Cum P&amp;L SOL],tblAnalysis[Date],Q405)))</f>
        <v/>
      </c>
      <c r="Z405" s="6" t="str">
        <f>IF(Q405="","",MIN(X405,_xlfn.MINIFS(tblAnalysis[Cum P&amp;L SOL],tblAnalysis[Date],Q405)))</f>
        <v/>
      </c>
      <c r="AA405" s="6" t="str">
        <f t="shared" si="118"/>
        <v/>
      </c>
      <c r="AB405" s="6" t="str">
        <f t="shared" si="128"/>
        <v/>
      </c>
      <c r="AC405" s="27" t="str">
        <f t="shared" si="119"/>
        <v/>
      </c>
      <c r="AD405" s="10" t="str">
        <f t="shared" si="120"/>
        <v/>
      </c>
      <c r="AE405" s="10" t="str">
        <f t="shared" si="121"/>
        <v/>
      </c>
      <c r="AF405" s="10" t="str">
        <f t="shared" si="122"/>
        <v/>
      </c>
      <c r="AG405" s="10" t="str">
        <f t="shared" si="129"/>
        <v/>
      </c>
      <c r="AH405" t="str">
        <f t="shared" si="123"/>
        <v/>
      </c>
      <c r="AI405" t="str">
        <f t="shared" si="124"/>
        <v/>
      </c>
      <c r="AJ405" t="str">
        <f t="shared" si="130"/>
        <v/>
      </c>
      <c r="AK405" t="str" cm="1">
        <f t="array" ref="AK405">IFERROR(IF(INDEX($A:$A,ROW())="","",INDEX($A:$A,ROW())),"")</f>
        <v/>
      </c>
      <c r="AL405" t="str" cm="1">
        <f t="array" ref="AL405">IFERROR(INDEX(tblTrades[sol_invested],ROW()-1),"")</f>
        <v/>
      </c>
      <c r="AM405" s="6" t="str" cm="1">
        <f t="array" ref="AM405">IFERROR(INDEX(tblAnalysis[P&amp;L SOL],ROW()-1),"")</f>
        <v/>
      </c>
      <c r="AN405" t="str" cm="1">
        <f t="array" ref="AN405">IFERROR(IF(INDEX(tblTrades[sol_invested],ROW()-1)&gt;0.5,INDEX(tblAnalysis[Token],ROW()-1)&amp;" ("&amp;TEXT(INDEX(tblTrades[sol_invested],ROW()-1),"0.0")&amp;" SOL)",""),"")</f>
        <v/>
      </c>
      <c r="AO405" s="7"/>
      <c r="AP405" s="12" t="str" cm="1">
        <f t="array" ref="AP405">IFERROR(INDEX(tblAnalysis[Entry MC ($)],ROW()-1),"")</f>
        <v/>
      </c>
      <c r="AQ405" s="10" t="str" cm="1">
        <f t="array" ref="AQ405">IFERROR(INDEX(tblAnalysis[P&amp;L %],ROW()-1),"")</f>
        <v/>
      </c>
      <c r="AR405" t="str" cm="1">
        <f t="array" ref="AR405">IFERROR(INDEX(tblAnalysis[Hold Time (s)],ROW()-1),"")</f>
        <v/>
      </c>
      <c r="AS405" s="6" t="str" cm="1">
        <f t="array" ref="AS405">IFERROR(INDEX(tblAnalysis[P&amp;L SOL],ROW()-1),"")</f>
        <v/>
      </c>
      <c r="AT405" s="6" t="str">
        <f t="array" ref="AT405">IFERROR(INDEX(tblAnalysis[P&amp;L SOL],ROW()-1),"")</f>
        <v/>
      </c>
      <c r="AZ405" s="10"/>
      <c r="BA405" s="10"/>
      <c r="BF405" t="str">
        <f t="shared" si="125"/>
        <v/>
      </c>
      <c r="BG405" s="27" t="str">
        <f t="shared" si="126"/>
        <v/>
      </c>
      <c r="BH405" t="str">
        <f t="shared" si="127"/>
        <v/>
      </c>
      <c r="BI405" t="str">
        <f t="shared" si="131"/>
        <v/>
      </c>
      <c r="BL405" s="29" t="e">
        <f t="shared" si="110"/>
        <v>#N/A</v>
      </c>
      <c r="BM405" s="29" t="e">
        <f t="shared" si="111"/>
        <v>#N/A</v>
      </c>
    </row>
    <row r="406" spans="17:65" x14ac:dyDescent="0.35">
      <c r="Q406" s="27"/>
      <c r="R406" s="6" t="str">
        <f>IF(Q406="","",SUMIFS(tblAnalysis[P&amp;L SOL],tblAnalysis[Date],Q406))</f>
        <v/>
      </c>
      <c r="S406" s="10" t="str">
        <f>IF(Q406="","",SUMIFS(tblAnalysis[P&amp;L %],tblAnalysis[Date],Q406))</f>
        <v/>
      </c>
      <c r="T406" s="6" t="str">
        <f>IF(Q406="","",IFERROR(SUM($R$2:R406),""))</f>
        <v/>
      </c>
      <c r="U406" t="str">
        <f>IF(Q406="","",COUNTIFS(tblAnalysis[Date],Q406))</f>
        <v/>
      </c>
      <c r="V406" t="str">
        <f>IF(R406="","",COUNTIFS(tblAnalysis[Date],R406))</f>
        <v/>
      </c>
      <c r="W406" s="27" t="str">
        <f t="shared" si="116"/>
        <v/>
      </c>
      <c r="X406" s="6" t="str">
        <f t="shared" si="117"/>
        <v/>
      </c>
      <c r="Y406" s="6" t="str">
        <f>IF(Q406="","",MAX(X406,_xlfn.MAXIFS(tblAnalysis[Cum P&amp;L SOL],tblAnalysis[Date],Q406)))</f>
        <v/>
      </c>
      <c r="Z406" s="6" t="str">
        <f>IF(Q406="","",MIN(X406,_xlfn.MINIFS(tblAnalysis[Cum P&amp;L SOL],tblAnalysis[Date],Q406)))</f>
        <v/>
      </c>
      <c r="AA406" s="6" t="str">
        <f t="shared" si="118"/>
        <v/>
      </c>
      <c r="AB406" s="6" t="str">
        <f t="shared" si="128"/>
        <v/>
      </c>
      <c r="AC406" s="27" t="str">
        <f t="shared" si="119"/>
        <v/>
      </c>
      <c r="AD406" s="10" t="str">
        <f t="shared" si="120"/>
        <v/>
      </c>
      <c r="AE406" s="10" t="str">
        <f t="shared" si="121"/>
        <v/>
      </c>
      <c r="AF406" s="10" t="str">
        <f t="shared" si="122"/>
        <v/>
      </c>
      <c r="AG406" s="10" t="str">
        <f t="shared" si="129"/>
        <v/>
      </c>
      <c r="AH406" t="str">
        <f t="shared" si="123"/>
        <v/>
      </c>
      <c r="AI406" t="str">
        <f t="shared" si="124"/>
        <v/>
      </c>
      <c r="AJ406" t="str">
        <f t="shared" si="130"/>
        <v/>
      </c>
      <c r="AK406" t="str" cm="1">
        <f t="array" ref="AK406">IFERROR(IF(INDEX($A:$A,ROW())="","",INDEX($A:$A,ROW())),"")</f>
        <v/>
      </c>
      <c r="AL406" t="str" cm="1">
        <f t="array" ref="AL406">IFERROR(INDEX(tblTrades[sol_invested],ROW()-1),"")</f>
        <v/>
      </c>
      <c r="AM406" s="6" t="str" cm="1">
        <f t="array" ref="AM406">IFERROR(INDEX(tblAnalysis[P&amp;L SOL],ROW()-1),"")</f>
        <v/>
      </c>
      <c r="AN406" t="str" cm="1">
        <f t="array" ref="AN406">IFERROR(IF(INDEX(tblTrades[sol_invested],ROW()-1)&gt;0.5,INDEX(tblAnalysis[Token],ROW()-1)&amp;" ("&amp;TEXT(INDEX(tblTrades[sol_invested],ROW()-1),"0.0")&amp;" SOL)",""),"")</f>
        <v/>
      </c>
      <c r="AO406" s="7"/>
      <c r="AP406" s="12" t="str" cm="1">
        <f t="array" ref="AP406">IFERROR(INDEX(tblAnalysis[Entry MC ($)],ROW()-1),"")</f>
        <v/>
      </c>
      <c r="AQ406" s="10" t="str" cm="1">
        <f t="array" ref="AQ406">IFERROR(INDEX(tblAnalysis[P&amp;L %],ROW()-1),"")</f>
        <v/>
      </c>
      <c r="AR406" t="str" cm="1">
        <f t="array" ref="AR406">IFERROR(INDEX(tblAnalysis[Hold Time (s)],ROW()-1),"")</f>
        <v/>
      </c>
      <c r="AS406" s="6" t="str" cm="1">
        <f t="array" ref="AS406">IFERROR(INDEX(tblAnalysis[P&amp;L SOL],ROW()-1),"")</f>
        <v/>
      </c>
      <c r="AT406" s="6" t="str">
        <f t="array" ref="AT406">IFERROR(INDEX(tblAnalysis[P&amp;L SOL],ROW()-1),"")</f>
        <v/>
      </c>
      <c r="AZ406" s="10"/>
      <c r="BA406" s="10"/>
      <c r="BF406" t="str">
        <f t="shared" si="125"/>
        <v/>
      </c>
      <c r="BG406" s="27" t="str">
        <f t="shared" si="126"/>
        <v/>
      </c>
      <c r="BH406" t="str">
        <f t="shared" si="127"/>
        <v/>
      </c>
      <c r="BI406" t="str">
        <f t="shared" si="131"/>
        <v/>
      </c>
      <c r="BL406" s="29" t="e">
        <f t="shared" si="110"/>
        <v>#N/A</v>
      </c>
      <c r="BM406" s="29" t="e">
        <f t="shared" si="111"/>
        <v>#N/A</v>
      </c>
    </row>
    <row r="407" spans="17:65" x14ac:dyDescent="0.35">
      <c r="Q407" s="27"/>
      <c r="R407" s="6" t="str">
        <f>IF(Q407="","",SUMIFS(tblAnalysis[P&amp;L SOL],tblAnalysis[Date],Q407))</f>
        <v/>
      </c>
      <c r="S407" s="10" t="str">
        <f>IF(Q407="","",SUMIFS(tblAnalysis[P&amp;L %],tblAnalysis[Date],Q407))</f>
        <v/>
      </c>
      <c r="T407" s="6" t="str">
        <f>IF(Q407="","",IFERROR(SUM($R$2:R407),""))</f>
        <v/>
      </c>
      <c r="U407" t="str">
        <f>IF(Q407="","",COUNTIFS(tblAnalysis[Date],Q407))</f>
        <v/>
      </c>
      <c r="V407" t="str">
        <f>IF(R407="","",COUNTIFS(tblAnalysis[Date],R407))</f>
        <v/>
      </c>
      <c r="W407" s="27" t="str">
        <f t="shared" si="116"/>
        <v/>
      </c>
      <c r="X407" s="6" t="str">
        <f t="shared" si="117"/>
        <v/>
      </c>
      <c r="Y407" s="6" t="str">
        <f>IF(Q407="","",MAX(X407,_xlfn.MAXIFS(tblAnalysis[Cum P&amp;L SOL],tblAnalysis[Date],Q407)))</f>
        <v/>
      </c>
      <c r="Z407" s="6" t="str">
        <f>IF(Q407="","",MIN(X407,_xlfn.MINIFS(tblAnalysis[Cum P&amp;L SOL],tblAnalysis[Date],Q407)))</f>
        <v/>
      </c>
      <c r="AA407" s="6" t="str">
        <f t="shared" si="118"/>
        <v/>
      </c>
      <c r="AB407" s="6" t="str">
        <f t="shared" si="128"/>
        <v/>
      </c>
      <c r="AC407" s="27" t="str">
        <f t="shared" si="119"/>
        <v/>
      </c>
      <c r="AD407" s="10" t="str">
        <f t="shared" si="120"/>
        <v/>
      </c>
      <c r="AE407" s="10" t="str">
        <f t="shared" si="121"/>
        <v/>
      </c>
      <c r="AF407" s="10" t="str">
        <f t="shared" si="122"/>
        <v/>
      </c>
      <c r="AG407" s="10" t="str">
        <f t="shared" si="129"/>
        <v/>
      </c>
      <c r="AH407" t="str">
        <f t="shared" si="123"/>
        <v/>
      </c>
      <c r="AI407" t="str">
        <f t="shared" si="124"/>
        <v/>
      </c>
      <c r="AJ407" t="str">
        <f t="shared" si="130"/>
        <v/>
      </c>
      <c r="AK407" t="str" cm="1">
        <f t="array" ref="AK407">IFERROR(IF(INDEX($A:$A,ROW())="","",INDEX($A:$A,ROW())),"")</f>
        <v/>
      </c>
      <c r="AL407" t="str" cm="1">
        <f t="array" ref="AL407">IFERROR(INDEX(tblTrades[sol_invested],ROW()-1),"")</f>
        <v/>
      </c>
      <c r="AM407" s="6" t="str" cm="1">
        <f t="array" ref="AM407">IFERROR(INDEX(tblAnalysis[P&amp;L SOL],ROW()-1),"")</f>
        <v/>
      </c>
      <c r="AN407" t="str" cm="1">
        <f t="array" ref="AN407">IFERROR(IF(INDEX(tblTrades[sol_invested],ROW()-1)&gt;0.5,INDEX(tblAnalysis[Token],ROW()-1)&amp;" ("&amp;TEXT(INDEX(tblTrades[sol_invested],ROW()-1),"0.0")&amp;" SOL)",""),"")</f>
        <v/>
      </c>
      <c r="AO407" s="7"/>
      <c r="AP407" s="12" t="str" cm="1">
        <f t="array" ref="AP407">IFERROR(INDEX(tblAnalysis[Entry MC ($)],ROW()-1),"")</f>
        <v/>
      </c>
      <c r="AQ407" s="10" t="str" cm="1">
        <f t="array" ref="AQ407">IFERROR(INDEX(tblAnalysis[P&amp;L %],ROW()-1),"")</f>
        <v/>
      </c>
      <c r="AR407" t="str" cm="1">
        <f t="array" ref="AR407">IFERROR(INDEX(tblAnalysis[Hold Time (s)],ROW()-1),"")</f>
        <v/>
      </c>
      <c r="AS407" s="6" t="str" cm="1">
        <f t="array" ref="AS407">IFERROR(INDEX(tblAnalysis[P&amp;L SOL],ROW()-1),"")</f>
        <v/>
      </c>
      <c r="AT407" s="6" t="str">
        <f t="array" ref="AT407">IFERROR(INDEX(tblAnalysis[P&amp;L SOL],ROW()-1),"")</f>
        <v/>
      </c>
      <c r="AZ407" s="10"/>
      <c r="BA407" s="10"/>
      <c r="BF407" t="str">
        <f t="shared" si="125"/>
        <v/>
      </c>
      <c r="BG407" s="27" t="str">
        <f t="shared" si="126"/>
        <v/>
      </c>
      <c r="BH407" t="str">
        <f t="shared" si="127"/>
        <v/>
      </c>
      <c r="BI407" t="str">
        <f t="shared" si="131"/>
        <v/>
      </c>
      <c r="BL407" s="29" t="e">
        <f t="shared" si="110"/>
        <v>#N/A</v>
      </c>
      <c r="BM407" s="29" t="e">
        <f t="shared" si="111"/>
        <v>#N/A</v>
      </c>
    </row>
    <row r="408" spans="17:65" x14ac:dyDescent="0.35">
      <c r="Q408" s="27"/>
      <c r="R408" s="6" t="str">
        <f>IF(Q408="","",SUMIFS(tblAnalysis[P&amp;L SOL],tblAnalysis[Date],Q408))</f>
        <v/>
      </c>
      <c r="S408" s="10" t="str">
        <f>IF(Q408="","",SUMIFS(tblAnalysis[P&amp;L %],tblAnalysis[Date],Q408))</f>
        <v/>
      </c>
      <c r="T408" s="6" t="str">
        <f>IF(Q408="","",IFERROR(SUM($R$2:R408),""))</f>
        <v/>
      </c>
      <c r="U408" t="str">
        <f>IF(Q408="","",COUNTIFS(tblAnalysis[Date],Q408))</f>
        <v/>
      </c>
      <c r="V408" t="str">
        <f>IF(R408="","",COUNTIFS(tblAnalysis[Date],R408))</f>
        <v/>
      </c>
      <c r="W408" s="27" t="str">
        <f t="shared" si="116"/>
        <v/>
      </c>
      <c r="X408" s="6" t="str">
        <f t="shared" si="117"/>
        <v/>
      </c>
      <c r="Y408" s="6" t="str">
        <f>IF(Q408="","",MAX(X408,_xlfn.MAXIFS(tblAnalysis[Cum P&amp;L SOL],tblAnalysis[Date],Q408)))</f>
        <v/>
      </c>
      <c r="Z408" s="6" t="str">
        <f>IF(Q408="","",MIN(X408,_xlfn.MINIFS(tblAnalysis[Cum P&amp;L SOL],tblAnalysis[Date],Q408)))</f>
        <v/>
      </c>
      <c r="AA408" s="6" t="str">
        <f t="shared" si="118"/>
        <v/>
      </c>
      <c r="AB408" s="6" t="str">
        <f t="shared" si="128"/>
        <v/>
      </c>
      <c r="AC408" s="27" t="str">
        <f t="shared" si="119"/>
        <v/>
      </c>
      <c r="AD408" s="10" t="str">
        <f t="shared" si="120"/>
        <v/>
      </c>
      <c r="AE408" s="10" t="str">
        <f t="shared" si="121"/>
        <v/>
      </c>
      <c r="AF408" s="10" t="str">
        <f t="shared" si="122"/>
        <v/>
      </c>
      <c r="AG408" s="10" t="str">
        <f t="shared" si="129"/>
        <v/>
      </c>
      <c r="AH408" t="str">
        <f t="shared" si="123"/>
        <v/>
      </c>
      <c r="AI408" t="str">
        <f t="shared" si="124"/>
        <v/>
      </c>
      <c r="AJ408" t="str">
        <f t="shared" si="130"/>
        <v/>
      </c>
      <c r="AK408" t="str" cm="1">
        <f t="array" ref="AK408">IFERROR(IF(INDEX($A:$A,ROW())="","",INDEX($A:$A,ROW())),"")</f>
        <v/>
      </c>
      <c r="AL408" t="str" cm="1">
        <f t="array" ref="AL408">IFERROR(INDEX(tblTrades[sol_invested],ROW()-1),"")</f>
        <v/>
      </c>
      <c r="AM408" s="6" t="str" cm="1">
        <f t="array" ref="AM408">IFERROR(INDEX(tblAnalysis[P&amp;L SOL],ROW()-1),"")</f>
        <v/>
      </c>
      <c r="AN408" t="str" cm="1">
        <f t="array" ref="AN408">IFERROR(IF(INDEX(tblTrades[sol_invested],ROW()-1)&gt;0.5,INDEX(tblAnalysis[Token],ROW()-1)&amp;" ("&amp;TEXT(INDEX(tblTrades[sol_invested],ROW()-1),"0.0")&amp;" SOL)",""),"")</f>
        <v/>
      </c>
      <c r="AO408" s="7"/>
      <c r="AP408" s="12" t="str" cm="1">
        <f t="array" ref="AP408">IFERROR(INDEX(tblAnalysis[Entry MC ($)],ROW()-1),"")</f>
        <v/>
      </c>
      <c r="AQ408" s="10" t="str" cm="1">
        <f t="array" ref="AQ408">IFERROR(INDEX(tblAnalysis[P&amp;L %],ROW()-1),"")</f>
        <v/>
      </c>
      <c r="AR408" t="str" cm="1">
        <f t="array" ref="AR408">IFERROR(INDEX(tblAnalysis[Hold Time (s)],ROW()-1),"")</f>
        <v/>
      </c>
      <c r="AS408" s="6" t="str" cm="1">
        <f t="array" ref="AS408">IFERROR(INDEX(tblAnalysis[P&amp;L SOL],ROW()-1),"")</f>
        <v/>
      </c>
      <c r="AT408" s="6" t="str">
        <f t="array" ref="AT408">IFERROR(INDEX(tblAnalysis[P&amp;L SOL],ROW()-1),"")</f>
        <v/>
      </c>
      <c r="AZ408" s="10"/>
      <c r="BA408" s="10"/>
      <c r="BF408" t="str">
        <f t="shared" si="125"/>
        <v/>
      </c>
      <c r="BG408" s="27" t="str">
        <f t="shared" si="126"/>
        <v/>
      </c>
      <c r="BH408" t="str">
        <f t="shared" si="127"/>
        <v/>
      </c>
      <c r="BI408" t="str">
        <f t="shared" si="131"/>
        <v/>
      </c>
      <c r="BL408" s="29" t="e">
        <f t="shared" si="110"/>
        <v>#N/A</v>
      </c>
      <c r="BM408" s="29" t="e">
        <f t="shared" si="111"/>
        <v>#N/A</v>
      </c>
    </row>
    <row r="409" spans="17:65" x14ac:dyDescent="0.35">
      <c r="Q409" s="27"/>
      <c r="R409" s="6" t="str">
        <f>IF(Q409="","",SUMIFS(tblAnalysis[P&amp;L SOL],tblAnalysis[Date],Q409))</f>
        <v/>
      </c>
      <c r="S409" s="10" t="str">
        <f>IF(Q409="","",SUMIFS(tblAnalysis[P&amp;L %],tblAnalysis[Date],Q409))</f>
        <v/>
      </c>
      <c r="T409" s="6" t="str">
        <f>IF(Q409="","",IFERROR(SUM($R$2:R409),""))</f>
        <v/>
      </c>
      <c r="U409" t="str">
        <f>IF(Q409="","",COUNTIFS(tblAnalysis[Date],Q409))</f>
        <v/>
      </c>
      <c r="V409" t="str">
        <f>IF(R409="","",COUNTIFS(tblAnalysis[Date],R409))</f>
        <v/>
      </c>
      <c r="W409" s="27" t="str">
        <f t="shared" si="116"/>
        <v/>
      </c>
      <c r="X409" s="6" t="str">
        <f t="shared" si="117"/>
        <v/>
      </c>
      <c r="Y409" s="6" t="str">
        <f>IF(Q409="","",MAX(X409,_xlfn.MAXIFS(tblAnalysis[Cum P&amp;L SOL],tblAnalysis[Date],Q409)))</f>
        <v/>
      </c>
      <c r="Z409" s="6" t="str">
        <f>IF(Q409="","",MIN(X409,_xlfn.MINIFS(tblAnalysis[Cum P&amp;L SOL],tblAnalysis[Date],Q409)))</f>
        <v/>
      </c>
      <c r="AA409" s="6" t="str">
        <f t="shared" si="118"/>
        <v/>
      </c>
      <c r="AB409" s="6" t="str">
        <f t="shared" si="128"/>
        <v/>
      </c>
      <c r="AC409" s="27" t="str">
        <f t="shared" si="119"/>
        <v/>
      </c>
      <c r="AD409" s="10" t="str">
        <f t="shared" si="120"/>
        <v/>
      </c>
      <c r="AE409" s="10" t="str">
        <f t="shared" si="121"/>
        <v/>
      </c>
      <c r="AF409" s="10" t="str">
        <f t="shared" si="122"/>
        <v/>
      </c>
      <c r="AG409" s="10" t="str">
        <f t="shared" si="129"/>
        <v/>
      </c>
      <c r="AH409" t="str">
        <f t="shared" si="123"/>
        <v/>
      </c>
      <c r="AI409" t="str">
        <f t="shared" si="124"/>
        <v/>
      </c>
      <c r="AJ409" t="str">
        <f t="shared" si="130"/>
        <v/>
      </c>
      <c r="AK409" t="str" cm="1">
        <f t="array" ref="AK409">IFERROR(IF(INDEX($A:$A,ROW())="","",INDEX($A:$A,ROW())),"")</f>
        <v/>
      </c>
      <c r="AL409" t="str" cm="1">
        <f t="array" ref="AL409">IFERROR(INDEX(tblTrades[sol_invested],ROW()-1),"")</f>
        <v/>
      </c>
      <c r="AM409" s="6" t="str" cm="1">
        <f t="array" ref="AM409">IFERROR(INDEX(tblAnalysis[P&amp;L SOL],ROW()-1),"")</f>
        <v/>
      </c>
      <c r="AN409" t="str" cm="1">
        <f t="array" ref="AN409">IFERROR(IF(INDEX(tblTrades[sol_invested],ROW()-1)&gt;0.5,INDEX(tblAnalysis[Token],ROW()-1)&amp;" ("&amp;TEXT(INDEX(tblTrades[sol_invested],ROW()-1),"0.0")&amp;" SOL)",""),"")</f>
        <v/>
      </c>
      <c r="AO409" s="7"/>
      <c r="AP409" s="12" t="str" cm="1">
        <f t="array" ref="AP409">IFERROR(INDEX(tblAnalysis[Entry MC ($)],ROW()-1),"")</f>
        <v/>
      </c>
      <c r="AQ409" s="10" t="str" cm="1">
        <f t="array" ref="AQ409">IFERROR(INDEX(tblAnalysis[P&amp;L %],ROW()-1),"")</f>
        <v/>
      </c>
      <c r="AR409" t="str" cm="1">
        <f t="array" ref="AR409">IFERROR(INDEX(tblAnalysis[Hold Time (s)],ROW()-1),"")</f>
        <v/>
      </c>
      <c r="AS409" s="6" t="str" cm="1">
        <f t="array" ref="AS409">IFERROR(INDEX(tblAnalysis[P&amp;L SOL],ROW()-1),"")</f>
        <v/>
      </c>
      <c r="AT409" s="6" t="str">
        <f t="array" ref="AT409">IFERROR(INDEX(tblAnalysis[P&amp;L SOL],ROW()-1),"")</f>
        <v/>
      </c>
      <c r="AZ409" s="10"/>
      <c r="BA409" s="10"/>
      <c r="BF409" t="str">
        <f t="shared" si="125"/>
        <v/>
      </c>
      <c r="BG409" s="27" t="str">
        <f t="shared" si="126"/>
        <v/>
      </c>
      <c r="BH409" t="str">
        <f t="shared" si="127"/>
        <v/>
      </c>
      <c r="BI409" t="str">
        <f t="shared" si="131"/>
        <v/>
      </c>
      <c r="BL409" s="29" t="e">
        <f t="shared" si="110"/>
        <v>#N/A</v>
      </c>
      <c r="BM409" s="29" t="e">
        <f t="shared" si="111"/>
        <v>#N/A</v>
      </c>
    </row>
    <row r="410" spans="17:65" x14ac:dyDescent="0.35">
      <c r="Q410" s="27"/>
      <c r="R410" s="6" t="str">
        <f>IF(Q410="","",SUMIFS(tblAnalysis[P&amp;L SOL],tblAnalysis[Date],Q410))</f>
        <v/>
      </c>
      <c r="S410" s="10" t="str">
        <f>IF(Q410="","",SUMIFS(tblAnalysis[P&amp;L %],tblAnalysis[Date],Q410))</f>
        <v/>
      </c>
      <c r="T410" s="6" t="str">
        <f>IF(Q410="","",IFERROR(SUM($R$2:R410),""))</f>
        <v/>
      </c>
      <c r="U410" t="str">
        <f>IF(Q410="","",COUNTIFS(tblAnalysis[Date],Q410))</f>
        <v/>
      </c>
      <c r="V410" t="str">
        <f>IF(R410="","",COUNTIFS(tblAnalysis[Date],R410))</f>
        <v/>
      </c>
      <c r="W410" s="27" t="str">
        <f t="shared" si="116"/>
        <v/>
      </c>
      <c r="X410" s="6" t="str">
        <f t="shared" si="117"/>
        <v/>
      </c>
      <c r="Y410" s="6" t="str">
        <f>IF(Q410="","",MAX(X410,_xlfn.MAXIFS(tblAnalysis[Cum P&amp;L SOL],tblAnalysis[Date],Q410)))</f>
        <v/>
      </c>
      <c r="Z410" s="6" t="str">
        <f>IF(Q410="","",MIN(X410,_xlfn.MINIFS(tblAnalysis[Cum P&amp;L SOL],tblAnalysis[Date],Q410)))</f>
        <v/>
      </c>
      <c r="AA410" s="6" t="str">
        <f t="shared" si="118"/>
        <v/>
      </c>
      <c r="AB410" s="6" t="str">
        <f t="shared" si="128"/>
        <v/>
      </c>
      <c r="AC410" s="27" t="str">
        <f t="shared" si="119"/>
        <v/>
      </c>
      <c r="AD410" s="10" t="str">
        <f t="shared" si="120"/>
        <v/>
      </c>
      <c r="AE410" s="10" t="str">
        <f t="shared" si="121"/>
        <v/>
      </c>
      <c r="AF410" s="10" t="str">
        <f t="shared" si="122"/>
        <v/>
      </c>
      <c r="AG410" s="10" t="str">
        <f t="shared" si="129"/>
        <v/>
      </c>
      <c r="AH410" t="str">
        <f t="shared" si="123"/>
        <v/>
      </c>
      <c r="AI410" t="str">
        <f t="shared" si="124"/>
        <v/>
      </c>
      <c r="AJ410" t="str">
        <f t="shared" si="130"/>
        <v/>
      </c>
      <c r="AK410" t="str" cm="1">
        <f t="array" ref="AK410">IFERROR(IF(INDEX($A:$A,ROW())="","",INDEX($A:$A,ROW())),"")</f>
        <v/>
      </c>
      <c r="AL410" t="str" cm="1">
        <f t="array" ref="AL410">IFERROR(INDEX(tblTrades[sol_invested],ROW()-1),"")</f>
        <v/>
      </c>
      <c r="AM410" s="6" t="str" cm="1">
        <f t="array" ref="AM410">IFERROR(INDEX(tblAnalysis[P&amp;L SOL],ROW()-1),"")</f>
        <v/>
      </c>
      <c r="AN410" t="str" cm="1">
        <f t="array" ref="AN410">IFERROR(IF(INDEX(tblTrades[sol_invested],ROW()-1)&gt;0.5,INDEX(tblAnalysis[Token],ROW()-1)&amp;" ("&amp;TEXT(INDEX(tblTrades[sol_invested],ROW()-1),"0.0")&amp;" SOL)",""),"")</f>
        <v/>
      </c>
      <c r="AO410" s="7"/>
      <c r="AP410" s="12" t="str" cm="1">
        <f t="array" ref="AP410">IFERROR(INDEX(tblAnalysis[Entry MC ($)],ROW()-1),"")</f>
        <v/>
      </c>
      <c r="AQ410" s="10" t="str" cm="1">
        <f t="array" ref="AQ410">IFERROR(INDEX(tblAnalysis[P&amp;L %],ROW()-1),"")</f>
        <v/>
      </c>
      <c r="AR410" t="str" cm="1">
        <f t="array" ref="AR410">IFERROR(INDEX(tblAnalysis[Hold Time (s)],ROW()-1),"")</f>
        <v/>
      </c>
      <c r="AS410" s="6" t="str" cm="1">
        <f t="array" ref="AS410">IFERROR(INDEX(tblAnalysis[P&amp;L SOL],ROW()-1),"")</f>
        <v/>
      </c>
      <c r="AT410" s="6" t="str">
        <f t="array" ref="AT410">IFERROR(INDEX(tblAnalysis[P&amp;L SOL],ROW()-1),"")</f>
        <v/>
      </c>
      <c r="AZ410" s="10"/>
      <c r="BA410" s="10"/>
      <c r="BF410" t="str">
        <f t="shared" si="125"/>
        <v/>
      </c>
      <c r="BG410" s="27" t="str">
        <f t="shared" si="126"/>
        <v/>
      </c>
      <c r="BH410" t="str">
        <f t="shared" si="127"/>
        <v/>
      </c>
      <c r="BI410" t="str">
        <f t="shared" si="131"/>
        <v/>
      </c>
      <c r="BL410" s="29" t="e">
        <f t="shared" si="110"/>
        <v>#N/A</v>
      </c>
      <c r="BM410" s="29" t="e">
        <f t="shared" si="111"/>
        <v>#N/A</v>
      </c>
    </row>
    <row r="411" spans="17:65" x14ac:dyDescent="0.35">
      <c r="Q411" s="27"/>
      <c r="R411" s="6" t="str">
        <f>IF(Q411="","",SUMIFS(tblAnalysis[P&amp;L SOL],tblAnalysis[Date],Q411))</f>
        <v/>
      </c>
      <c r="S411" s="10" t="str">
        <f>IF(Q411="","",SUMIFS(tblAnalysis[P&amp;L %],tblAnalysis[Date],Q411))</f>
        <v/>
      </c>
      <c r="T411" s="6" t="str">
        <f>IF(Q411="","",IFERROR(SUM($R$2:R411),""))</f>
        <v/>
      </c>
      <c r="U411" t="str">
        <f>IF(Q411="","",COUNTIFS(tblAnalysis[Date],Q411))</f>
        <v/>
      </c>
      <c r="V411" t="str">
        <f>IF(R411="","",COUNTIFS(tblAnalysis[Date],R411))</f>
        <v/>
      </c>
      <c r="W411" s="27" t="str">
        <f t="shared" si="116"/>
        <v/>
      </c>
      <c r="X411" s="6" t="str">
        <f t="shared" si="117"/>
        <v/>
      </c>
      <c r="Y411" s="6" t="str">
        <f>IF(Q411="","",MAX(X411,_xlfn.MAXIFS(tblAnalysis[Cum P&amp;L SOL],tblAnalysis[Date],Q411)))</f>
        <v/>
      </c>
      <c r="Z411" s="6" t="str">
        <f>IF(Q411="","",MIN(X411,_xlfn.MINIFS(tblAnalysis[Cum P&amp;L SOL],tblAnalysis[Date],Q411)))</f>
        <v/>
      </c>
      <c r="AA411" s="6" t="str">
        <f t="shared" si="118"/>
        <v/>
      </c>
      <c r="AB411" s="6" t="str">
        <f t="shared" si="128"/>
        <v/>
      </c>
      <c r="AC411" s="27" t="str">
        <f t="shared" si="119"/>
        <v/>
      </c>
      <c r="AD411" s="10" t="str">
        <f t="shared" si="120"/>
        <v/>
      </c>
      <c r="AE411" s="10" t="str">
        <f t="shared" si="121"/>
        <v/>
      </c>
      <c r="AF411" s="10" t="str">
        <f t="shared" si="122"/>
        <v/>
      </c>
      <c r="AG411" s="10" t="str">
        <f t="shared" si="129"/>
        <v/>
      </c>
      <c r="AH411" t="str">
        <f t="shared" si="123"/>
        <v/>
      </c>
      <c r="AI411" t="str">
        <f t="shared" si="124"/>
        <v/>
      </c>
      <c r="AJ411" t="str">
        <f t="shared" si="130"/>
        <v/>
      </c>
      <c r="AK411" t="str" cm="1">
        <f t="array" ref="AK411">IFERROR(IF(INDEX($A:$A,ROW())="","",INDEX($A:$A,ROW())),"")</f>
        <v/>
      </c>
      <c r="AL411" t="str" cm="1">
        <f t="array" ref="AL411">IFERROR(INDEX(tblTrades[sol_invested],ROW()-1),"")</f>
        <v/>
      </c>
      <c r="AM411" s="6" t="str" cm="1">
        <f t="array" ref="AM411">IFERROR(INDEX(tblAnalysis[P&amp;L SOL],ROW()-1),"")</f>
        <v/>
      </c>
      <c r="AN411" t="str" cm="1">
        <f t="array" ref="AN411">IFERROR(IF(INDEX(tblTrades[sol_invested],ROW()-1)&gt;0.5,INDEX(tblAnalysis[Token],ROW()-1)&amp;" ("&amp;TEXT(INDEX(tblTrades[sol_invested],ROW()-1),"0.0")&amp;" SOL)",""),"")</f>
        <v/>
      </c>
      <c r="AO411" s="7"/>
      <c r="AP411" s="12" t="str" cm="1">
        <f t="array" ref="AP411">IFERROR(INDEX(tblAnalysis[Entry MC ($)],ROW()-1),"")</f>
        <v/>
      </c>
      <c r="AQ411" s="10" t="str" cm="1">
        <f t="array" ref="AQ411">IFERROR(INDEX(tblAnalysis[P&amp;L %],ROW()-1),"")</f>
        <v/>
      </c>
      <c r="AR411" t="str" cm="1">
        <f t="array" ref="AR411">IFERROR(INDEX(tblAnalysis[Hold Time (s)],ROW()-1),"")</f>
        <v/>
      </c>
      <c r="AS411" s="6" t="str" cm="1">
        <f t="array" ref="AS411">IFERROR(INDEX(tblAnalysis[P&amp;L SOL],ROW()-1),"")</f>
        <v/>
      </c>
      <c r="AT411" s="6" t="str">
        <f t="array" ref="AT411">IFERROR(INDEX(tblAnalysis[P&amp;L SOL],ROW()-1),"")</f>
        <v/>
      </c>
      <c r="AZ411" s="10"/>
      <c r="BA411" s="10"/>
      <c r="BF411" t="str">
        <f t="shared" si="125"/>
        <v/>
      </c>
      <c r="BG411" s="27" t="str">
        <f t="shared" si="126"/>
        <v/>
      </c>
      <c r="BH411" t="str">
        <f t="shared" si="127"/>
        <v/>
      </c>
      <c r="BI411" t="str">
        <f t="shared" si="131"/>
        <v/>
      </c>
      <c r="BL411" s="29" t="e">
        <f t="shared" si="110"/>
        <v>#N/A</v>
      </c>
      <c r="BM411" s="29" t="e">
        <f t="shared" si="111"/>
        <v>#N/A</v>
      </c>
    </row>
    <row r="412" spans="17:65" x14ac:dyDescent="0.35">
      <c r="Q412" s="27"/>
      <c r="R412" s="6" t="str">
        <f>IF(Q412="","",SUMIFS(tblAnalysis[P&amp;L SOL],tblAnalysis[Date],Q412))</f>
        <v/>
      </c>
      <c r="S412" s="10" t="str">
        <f>IF(Q412="","",SUMIFS(tblAnalysis[P&amp;L %],tblAnalysis[Date],Q412))</f>
        <v/>
      </c>
      <c r="T412" s="6" t="str">
        <f>IF(Q412="","",IFERROR(SUM($R$2:R412),""))</f>
        <v/>
      </c>
      <c r="U412" t="str">
        <f>IF(Q412="","",COUNTIFS(tblAnalysis[Date],Q412))</f>
        <v/>
      </c>
      <c r="V412" t="str">
        <f>IF(R412="","",COUNTIFS(tblAnalysis[Date],R412))</f>
        <v/>
      </c>
      <c r="W412" s="27" t="str">
        <f t="shared" si="116"/>
        <v/>
      </c>
      <c r="X412" s="6" t="str">
        <f t="shared" si="117"/>
        <v/>
      </c>
      <c r="Y412" s="6" t="str">
        <f>IF(Q412="","",MAX(X412,_xlfn.MAXIFS(tblAnalysis[Cum P&amp;L SOL],tblAnalysis[Date],Q412)))</f>
        <v/>
      </c>
      <c r="Z412" s="6" t="str">
        <f>IF(Q412="","",MIN(X412,_xlfn.MINIFS(tblAnalysis[Cum P&amp;L SOL],tblAnalysis[Date],Q412)))</f>
        <v/>
      </c>
      <c r="AA412" s="6" t="str">
        <f t="shared" si="118"/>
        <v/>
      </c>
      <c r="AB412" s="6" t="str">
        <f t="shared" si="128"/>
        <v/>
      </c>
      <c r="AC412" s="27" t="str">
        <f t="shared" si="119"/>
        <v/>
      </c>
      <c r="AD412" s="10" t="str">
        <f t="shared" si="120"/>
        <v/>
      </c>
      <c r="AE412" s="10" t="str">
        <f t="shared" si="121"/>
        <v/>
      </c>
      <c r="AF412" s="10" t="str">
        <f t="shared" si="122"/>
        <v/>
      </c>
      <c r="AG412" s="10" t="str">
        <f t="shared" si="129"/>
        <v/>
      </c>
      <c r="AH412" t="str">
        <f t="shared" si="123"/>
        <v/>
      </c>
      <c r="AI412" t="str">
        <f t="shared" si="124"/>
        <v/>
      </c>
      <c r="AJ412" t="str">
        <f t="shared" si="130"/>
        <v/>
      </c>
      <c r="AK412" t="str" cm="1">
        <f t="array" ref="AK412">IFERROR(IF(INDEX($A:$A,ROW())="","",INDEX($A:$A,ROW())),"")</f>
        <v/>
      </c>
      <c r="AL412" t="str" cm="1">
        <f t="array" ref="AL412">IFERROR(INDEX(tblTrades[sol_invested],ROW()-1),"")</f>
        <v/>
      </c>
      <c r="AM412" s="6" t="str" cm="1">
        <f t="array" ref="AM412">IFERROR(INDEX(tblAnalysis[P&amp;L SOL],ROW()-1),"")</f>
        <v/>
      </c>
      <c r="AN412" t="str" cm="1">
        <f t="array" ref="AN412">IFERROR(IF(INDEX(tblTrades[sol_invested],ROW()-1)&gt;0.5,INDEX(tblAnalysis[Token],ROW()-1)&amp;" ("&amp;TEXT(INDEX(tblTrades[sol_invested],ROW()-1),"0.0")&amp;" SOL)",""),"")</f>
        <v/>
      </c>
      <c r="AO412" s="7"/>
      <c r="AP412" s="12" t="str" cm="1">
        <f t="array" ref="AP412">IFERROR(INDEX(tblAnalysis[Entry MC ($)],ROW()-1),"")</f>
        <v/>
      </c>
      <c r="AQ412" s="10" t="str" cm="1">
        <f t="array" ref="AQ412">IFERROR(INDEX(tblAnalysis[P&amp;L %],ROW()-1),"")</f>
        <v/>
      </c>
      <c r="AR412" t="str" cm="1">
        <f t="array" ref="AR412">IFERROR(INDEX(tblAnalysis[Hold Time (s)],ROW()-1),"")</f>
        <v/>
      </c>
      <c r="AS412" s="6" t="str" cm="1">
        <f t="array" ref="AS412">IFERROR(INDEX(tblAnalysis[P&amp;L SOL],ROW()-1),"")</f>
        <v/>
      </c>
      <c r="AT412" s="6" t="str">
        <f t="array" ref="AT412">IFERROR(INDEX(tblAnalysis[P&amp;L SOL],ROW()-1),"")</f>
        <v/>
      </c>
      <c r="AZ412" s="10"/>
      <c r="BA412" s="10"/>
      <c r="BF412" t="str">
        <f t="shared" si="125"/>
        <v/>
      </c>
      <c r="BG412" s="27" t="str">
        <f t="shared" si="126"/>
        <v/>
      </c>
      <c r="BH412" t="str">
        <f t="shared" si="127"/>
        <v/>
      </c>
      <c r="BI412" t="str">
        <f t="shared" si="131"/>
        <v/>
      </c>
      <c r="BL412" s="29" t="e">
        <f t="shared" si="110"/>
        <v>#N/A</v>
      </c>
      <c r="BM412" s="29" t="e">
        <f t="shared" si="111"/>
        <v>#N/A</v>
      </c>
    </row>
    <row r="413" spans="17:65" x14ac:dyDescent="0.35">
      <c r="Q413" s="27"/>
      <c r="R413" s="6" t="str">
        <f>IF(Q413="","",SUMIFS(tblAnalysis[P&amp;L SOL],tblAnalysis[Date],Q413))</f>
        <v/>
      </c>
      <c r="S413" s="10" t="str">
        <f>IF(Q413="","",SUMIFS(tblAnalysis[P&amp;L %],tblAnalysis[Date],Q413))</f>
        <v/>
      </c>
      <c r="T413" s="6" t="str">
        <f>IF(Q413="","",IFERROR(SUM($R$2:R413),""))</f>
        <v/>
      </c>
      <c r="U413" t="str">
        <f>IF(Q413="","",COUNTIFS(tblAnalysis[Date],Q413))</f>
        <v/>
      </c>
      <c r="V413" t="str">
        <f>IF(R413="","",COUNTIFS(tblAnalysis[Date],R413))</f>
        <v/>
      </c>
      <c r="W413" s="27" t="str">
        <f t="shared" si="116"/>
        <v/>
      </c>
      <c r="X413" s="6" t="str">
        <f t="shared" si="117"/>
        <v/>
      </c>
      <c r="Y413" s="6" t="str">
        <f>IF(Q413="","",MAX(X413,_xlfn.MAXIFS(tblAnalysis[Cum P&amp;L SOL],tblAnalysis[Date],Q413)))</f>
        <v/>
      </c>
      <c r="Z413" s="6" t="str">
        <f>IF(Q413="","",MIN(X413,_xlfn.MINIFS(tblAnalysis[Cum P&amp;L SOL],tblAnalysis[Date],Q413)))</f>
        <v/>
      </c>
      <c r="AA413" s="6" t="str">
        <f t="shared" si="118"/>
        <v/>
      </c>
      <c r="AB413" s="6" t="str">
        <f t="shared" si="128"/>
        <v/>
      </c>
      <c r="AC413" s="27" t="str">
        <f t="shared" si="119"/>
        <v/>
      </c>
      <c r="AD413" s="10" t="str">
        <f t="shared" si="120"/>
        <v/>
      </c>
      <c r="AE413" s="10" t="str">
        <f t="shared" si="121"/>
        <v/>
      </c>
      <c r="AF413" s="10" t="str">
        <f t="shared" si="122"/>
        <v/>
      </c>
      <c r="AG413" s="10" t="str">
        <f t="shared" si="129"/>
        <v/>
      </c>
      <c r="AH413" t="str">
        <f t="shared" si="123"/>
        <v/>
      </c>
      <c r="AI413" t="str">
        <f t="shared" si="124"/>
        <v/>
      </c>
      <c r="AJ413" t="str">
        <f t="shared" si="130"/>
        <v/>
      </c>
      <c r="AK413" t="str" cm="1">
        <f t="array" ref="AK413">IFERROR(IF(INDEX($A:$A,ROW())="","",INDEX($A:$A,ROW())),"")</f>
        <v/>
      </c>
      <c r="AL413" t="str" cm="1">
        <f t="array" ref="AL413">IFERROR(INDEX(tblTrades[sol_invested],ROW()-1),"")</f>
        <v/>
      </c>
      <c r="AM413" s="6" t="str" cm="1">
        <f t="array" ref="AM413">IFERROR(INDEX(tblAnalysis[P&amp;L SOL],ROW()-1),"")</f>
        <v/>
      </c>
      <c r="AN413" t="str" cm="1">
        <f t="array" ref="AN413">IFERROR(IF(INDEX(tblTrades[sol_invested],ROW()-1)&gt;0.5,INDEX(tblAnalysis[Token],ROW()-1)&amp;" ("&amp;TEXT(INDEX(tblTrades[sol_invested],ROW()-1),"0.0")&amp;" SOL)",""),"")</f>
        <v/>
      </c>
      <c r="AO413" s="7"/>
      <c r="AP413" s="12" t="str" cm="1">
        <f t="array" ref="AP413">IFERROR(INDEX(tblAnalysis[Entry MC ($)],ROW()-1),"")</f>
        <v/>
      </c>
      <c r="AQ413" s="10" t="str" cm="1">
        <f t="array" ref="AQ413">IFERROR(INDEX(tblAnalysis[P&amp;L %],ROW()-1),"")</f>
        <v/>
      </c>
      <c r="AR413" t="str" cm="1">
        <f t="array" ref="AR413">IFERROR(INDEX(tblAnalysis[Hold Time (s)],ROW()-1),"")</f>
        <v/>
      </c>
      <c r="AS413" s="6" t="str" cm="1">
        <f t="array" ref="AS413">IFERROR(INDEX(tblAnalysis[P&amp;L SOL],ROW()-1),"")</f>
        <v/>
      </c>
      <c r="AT413" s="6" t="str">
        <f t="array" ref="AT413">IFERROR(INDEX(tblAnalysis[P&amp;L SOL],ROW()-1),"")</f>
        <v/>
      </c>
      <c r="AZ413" s="10"/>
      <c r="BA413" s="10"/>
      <c r="BF413" t="str">
        <f t="shared" si="125"/>
        <v/>
      </c>
      <c r="BG413" s="27" t="str">
        <f t="shared" si="126"/>
        <v/>
      </c>
      <c r="BH413" t="str">
        <f t="shared" si="127"/>
        <v/>
      </c>
      <c r="BI413" t="str">
        <f t="shared" si="131"/>
        <v/>
      </c>
      <c r="BL413" s="29" t="e">
        <f t="shared" si="110"/>
        <v>#N/A</v>
      </c>
      <c r="BM413" s="29" t="e">
        <f t="shared" si="111"/>
        <v>#N/A</v>
      </c>
    </row>
    <row r="414" spans="17:65" x14ac:dyDescent="0.35">
      <c r="Q414" s="27"/>
      <c r="R414" s="6" t="str">
        <f>IF(Q414="","",SUMIFS(tblAnalysis[P&amp;L SOL],tblAnalysis[Date],Q414))</f>
        <v/>
      </c>
      <c r="S414" s="10" t="str">
        <f>IF(Q414="","",SUMIFS(tblAnalysis[P&amp;L %],tblAnalysis[Date],Q414))</f>
        <v/>
      </c>
      <c r="T414" s="6" t="str">
        <f>IF(Q414="","",IFERROR(SUM($R$2:R414),""))</f>
        <v/>
      </c>
      <c r="U414" t="str">
        <f>IF(Q414="","",COUNTIFS(tblAnalysis[Date],Q414))</f>
        <v/>
      </c>
      <c r="V414" t="str">
        <f>IF(R414="","",COUNTIFS(tblAnalysis[Date],R414))</f>
        <v/>
      </c>
      <c r="W414" s="27" t="str">
        <f t="shared" si="116"/>
        <v/>
      </c>
      <c r="X414" s="6" t="str">
        <f t="shared" si="117"/>
        <v/>
      </c>
      <c r="Y414" s="6" t="str">
        <f>IF(Q414="","",MAX(X414,_xlfn.MAXIFS(tblAnalysis[Cum P&amp;L SOL],tblAnalysis[Date],Q414)))</f>
        <v/>
      </c>
      <c r="Z414" s="6" t="str">
        <f>IF(Q414="","",MIN(X414,_xlfn.MINIFS(tblAnalysis[Cum P&amp;L SOL],tblAnalysis[Date],Q414)))</f>
        <v/>
      </c>
      <c r="AA414" s="6" t="str">
        <f t="shared" si="118"/>
        <v/>
      </c>
      <c r="AB414" s="6" t="str">
        <f t="shared" si="128"/>
        <v/>
      </c>
      <c r="AC414" s="27" t="str">
        <f t="shared" si="119"/>
        <v/>
      </c>
      <c r="AD414" s="10" t="str">
        <f t="shared" si="120"/>
        <v/>
      </c>
      <c r="AE414" s="10" t="str">
        <f t="shared" si="121"/>
        <v/>
      </c>
      <c r="AF414" s="10" t="str">
        <f t="shared" si="122"/>
        <v/>
      </c>
      <c r="AG414" s="10" t="str">
        <f t="shared" si="129"/>
        <v/>
      </c>
      <c r="AH414" t="str">
        <f t="shared" si="123"/>
        <v/>
      </c>
      <c r="AI414" t="str">
        <f t="shared" si="124"/>
        <v/>
      </c>
      <c r="AJ414" t="str">
        <f t="shared" si="130"/>
        <v/>
      </c>
      <c r="AK414" t="str" cm="1">
        <f t="array" ref="AK414">IFERROR(IF(INDEX($A:$A,ROW())="","",INDEX($A:$A,ROW())),"")</f>
        <v/>
      </c>
      <c r="AL414" t="str" cm="1">
        <f t="array" ref="AL414">IFERROR(INDEX(tblTrades[sol_invested],ROW()-1),"")</f>
        <v/>
      </c>
      <c r="AM414" s="6" t="str" cm="1">
        <f t="array" ref="AM414">IFERROR(INDEX(tblAnalysis[P&amp;L SOL],ROW()-1),"")</f>
        <v/>
      </c>
      <c r="AN414" t="str" cm="1">
        <f t="array" ref="AN414">IFERROR(IF(INDEX(tblTrades[sol_invested],ROW()-1)&gt;0.5,INDEX(tblAnalysis[Token],ROW()-1)&amp;" ("&amp;TEXT(INDEX(tblTrades[sol_invested],ROW()-1),"0.0")&amp;" SOL)",""),"")</f>
        <v/>
      </c>
      <c r="AO414" s="7"/>
      <c r="AP414" s="12" t="str" cm="1">
        <f t="array" ref="AP414">IFERROR(INDEX(tblAnalysis[Entry MC ($)],ROW()-1),"")</f>
        <v/>
      </c>
      <c r="AQ414" s="10" t="str" cm="1">
        <f t="array" ref="AQ414">IFERROR(INDEX(tblAnalysis[P&amp;L %],ROW()-1),"")</f>
        <v/>
      </c>
      <c r="AR414" t="str" cm="1">
        <f t="array" ref="AR414">IFERROR(INDEX(tblAnalysis[Hold Time (s)],ROW()-1),"")</f>
        <v/>
      </c>
      <c r="AS414" s="6" t="str" cm="1">
        <f t="array" ref="AS414">IFERROR(INDEX(tblAnalysis[P&amp;L SOL],ROW()-1),"")</f>
        <v/>
      </c>
      <c r="AT414" s="6" t="str">
        <f t="array" ref="AT414">IFERROR(INDEX(tblAnalysis[P&amp;L SOL],ROW()-1),"")</f>
        <v/>
      </c>
      <c r="AZ414" s="10"/>
      <c r="BA414" s="10"/>
      <c r="BF414" t="str">
        <f t="shared" si="125"/>
        <v/>
      </c>
      <c r="BG414" s="27" t="str">
        <f t="shared" si="126"/>
        <v/>
      </c>
      <c r="BH414" t="str">
        <f t="shared" si="127"/>
        <v/>
      </c>
      <c r="BI414" t="str">
        <f t="shared" si="131"/>
        <v/>
      </c>
      <c r="BL414" s="29" t="e">
        <f t="shared" si="110"/>
        <v>#N/A</v>
      </c>
      <c r="BM414" s="29" t="e">
        <f t="shared" si="111"/>
        <v>#N/A</v>
      </c>
    </row>
    <row r="415" spans="17:65" x14ac:dyDescent="0.35">
      <c r="Q415" s="27"/>
      <c r="R415" s="6" t="str">
        <f>IF(Q415="","",SUMIFS(tblAnalysis[P&amp;L SOL],tblAnalysis[Date],Q415))</f>
        <v/>
      </c>
      <c r="S415" s="10" t="str">
        <f>IF(Q415="","",SUMIFS(tblAnalysis[P&amp;L %],tblAnalysis[Date],Q415))</f>
        <v/>
      </c>
      <c r="T415" s="6" t="str">
        <f>IF(Q415="","",IFERROR(SUM($R$2:R415),""))</f>
        <v/>
      </c>
      <c r="U415" t="str">
        <f>IF(Q415="","",COUNTIFS(tblAnalysis[Date],Q415))</f>
        <v/>
      </c>
      <c r="V415" t="str">
        <f>IF(R415="","",COUNTIFS(tblAnalysis[Date],R415))</f>
        <v/>
      </c>
      <c r="W415" s="27" t="str">
        <f t="shared" si="116"/>
        <v/>
      </c>
      <c r="X415" s="6" t="str">
        <f t="shared" si="117"/>
        <v/>
      </c>
      <c r="Y415" s="6" t="str">
        <f>IF(Q415="","",MAX(X415,_xlfn.MAXIFS(tblAnalysis[Cum P&amp;L SOL],tblAnalysis[Date],Q415)))</f>
        <v/>
      </c>
      <c r="Z415" s="6" t="str">
        <f>IF(Q415="","",MIN(X415,_xlfn.MINIFS(tblAnalysis[Cum P&amp;L SOL],tblAnalysis[Date],Q415)))</f>
        <v/>
      </c>
      <c r="AA415" s="6" t="str">
        <f t="shared" si="118"/>
        <v/>
      </c>
      <c r="AB415" s="6" t="str">
        <f t="shared" si="128"/>
        <v/>
      </c>
      <c r="AC415" s="27" t="str">
        <f t="shared" si="119"/>
        <v/>
      </c>
      <c r="AD415" s="10" t="str">
        <f t="shared" si="120"/>
        <v/>
      </c>
      <c r="AE415" s="10" t="str">
        <f t="shared" si="121"/>
        <v/>
      </c>
      <c r="AF415" s="10" t="str">
        <f t="shared" si="122"/>
        <v/>
      </c>
      <c r="AG415" s="10" t="str">
        <f t="shared" si="129"/>
        <v/>
      </c>
      <c r="AH415" t="str">
        <f t="shared" si="123"/>
        <v/>
      </c>
      <c r="AI415" t="str">
        <f t="shared" si="124"/>
        <v/>
      </c>
      <c r="AJ415" t="str">
        <f t="shared" si="130"/>
        <v/>
      </c>
      <c r="AK415" t="str" cm="1">
        <f t="array" ref="AK415">IFERROR(IF(INDEX($A:$A,ROW())="","",INDEX($A:$A,ROW())),"")</f>
        <v/>
      </c>
      <c r="AL415" t="str" cm="1">
        <f t="array" ref="AL415">IFERROR(INDEX(tblTrades[sol_invested],ROW()-1),"")</f>
        <v/>
      </c>
      <c r="AM415" s="6" t="str" cm="1">
        <f t="array" ref="AM415">IFERROR(INDEX(tblAnalysis[P&amp;L SOL],ROW()-1),"")</f>
        <v/>
      </c>
      <c r="AN415" t="str" cm="1">
        <f t="array" ref="AN415">IFERROR(IF(INDEX(tblTrades[sol_invested],ROW()-1)&gt;0.5,INDEX(tblAnalysis[Token],ROW()-1)&amp;" ("&amp;TEXT(INDEX(tblTrades[sol_invested],ROW()-1),"0.0")&amp;" SOL)",""),"")</f>
        <v/>
      </c>
      <c r="AO415" s="7"/>
      <c r="AP415" s="12" t="str" cm="1">
        <f t="array" ref="AP415">IFERROR(INDEX(tblAnalysis[Entry MC ($)],ROW()-1),"")</f>
        <v/>
      </c>
      <c r="AQ415" s="10" t="str" cm="1">
        <f t="array" ref="AQ415">IFERROR(INDEX(tblAnalysis[P&amp;L %],ROW()-1),"")</f>
        <v/>
      </c>
      <c r="AR415" t="str" cm="1">
        <f t="array" ref="AR415">IFERROR(INDEX(tblAnalysis[Hold Time (s)],ROW()-1),"")</f>
        <v/>
      </c>
      <c r="AS415" s="6" t="str" cm="1">
        <f t="array" ref="AS415">IFERROR(INDEX(tblAnalysis[P&amp;L SOL],ROW()-1),"")</f>
        <v/>
      </c>
      <c r="AT415" s="6" t="str">
        <f t="array" ref="AT415">IFERROR(INDEX(tblAnalysis[P&amp;L SOL],ROW()-1),"")</f>
        <v/>
      </c>
      <c r="AZ415" s="10"/>
      <c r="BA415" s="10"/>
      <c r="BF415" t="str">
        <f t="shared" si="125"/>
        <v/>
      </c>
      <c r="BG415" s="27" t="str">
        <f t="shared" si="126"/>
        <v/>
      </c>
      <c r="BH415" t="str">
        <f t="shared" si="127"/>
        <v/>
      </c>
      <c r="BI415" t="str">
        <f t="shared" si="131"/>
        <v/>
      </c>
      <c r="BL415" s="29" t="e">
        <f t="shared" si="110"/>
        <v>#N/A</v>
      </c>
      <c r="BM415" s="29" t="e">
        <f t="shared" si="111"/>
        <v>#N/A</v>
      </c>
    </row>
    <row r="416" spans="17:65" x14ac:dyDescent="0.35">
      <c r="Q416" s="27"/>
      <c r="R416" s="6" t="str">
        <f>IF(Q416="","",SUMIFS(tblAnalysis[P&amp;L SOL],tblAnalysis[Date],Q416))</f>
        <v/>
      </c>
      <c r="S416" s="10" t="str">
        <f>IF(Q416="","",SUMIFS(tblAnalysis[P&amp;L %],tblAnalysis[Date],Q416))</f>
        <v/>
      </c>
      <c r="T416" s="6" t="str">
        <f>IF(Q416="","",IFERROR(SUM($R$2:R416),""))</f>
        <v/>
      </c>
      <c r="U416" t="str">
        <f>IF(Q416="","",COUNTIFS(tblAnalysis[Date],Q416))</f>
        <v/>
      </c>
      <c r="V416" t="str">
        <f>IF(R416="","",COUNTIFS(tblAnalysis[Date],R416))</f>
        <v/>
      </c>
      <c r="W416" s="27" t="str">
        <f t="shared" si="116"/>
        <v/>
      </c>
      <c r="X416" s="6" t="str">
        <f t="shared" si="117"/>
        <v/>
      </c>
      <c r="Y416" s="6" t="str">
        <f>IF(Q416="","",MAX(X416,_xlfn.MAXIFS(tblAnalysis[Cum P&amp;L SOL],tblAnalysis[Date],Q416)))</f>
        <v/>
      </c>
      <c r="Z416" s="6" t="str">
        <f>IF(Q416="","",MIN(X416,_xlfn.MINIFS(tblAnalysis[Cum P&amp;L SOL],tblAnalysis[Date],Q416)))</f>
        <v/>
      </c>
      <c r="AA416" s="6" t="str">
        <f t="shared" si="118"/>
        <v/>
      </c>
      <c r="AB416" s="6" t="str">
        <f t="shared" si="128"/>
        <v/>
      </c>
      <c r="AC416" s="27" t="str">
        <f t="shared" si="119"/>
        <v/>
      </c>
      <c r="AD416" s="10" t="str">
        <f t="shared" si="120"/>
        <v/>
      </c>
      <c r="AE416" s="10" t="str">
        <f t="shared" si="121"/>
        <v/>
      </c>
      <c r="AF416" s="10" t="str">
        <f t="shared" si="122"/>
        <v/>
      </c>
      <c r="AG416" s="10" t="str">
        <f t="shared" si="129"/>
        <v/>
      </c>
      <c r="AH416" t="str">
        <f t="shared" si="123"/>
        <v/>
      </c>
      <c r="AI416" t="str">
        <f t="shared" si="124"/>
        <v/>
      </c>
      <c r="AJ416" t="str">
        <f t="shared" si="130"/>
        <v/>
      </c>
      <c r="AK416" t="str" cm="1">
        <f t="array" ref="AK416">IFERROR(IF(INDEX($A:$A,ROW())="","",INDEX($A:$A,ROW())),"")</f>
        <v/>
      </c>
      <c r="AL416" t="str" cm="1">
        <f t="array" ref="AL416">IFERROR(INDEX(tblTrades[sol_invested],ROW()-1),"")</f>
        <v/>
      </c>
      <c r="AM416" s="6" t="str" cm="1">
        <f t="array" ref="AM416">IFERROR(INDEX(tblAnalysis[P&amp;L SOL],ROW()-1),"")</f>
        <v/>
      </c>
      <c r="AN416" t="str" cm="1">
        <f t="array" ref="AN416">IFERROR(IF(INDEX(tblTrades[sol_invested],ROW()-1)&gt;0.5,INDEX(tblAnalysis[Token],ROW()-1)&amp;" ("&amp;TEXT(INDEX(tblTrades[sol_invested],ROW()-1),"0.0")&amp;" SOL)",""),"")</f>
        <v/>
      </c>
      <c r="AO416" s="7"/>
      <c r="AP416" s="12" t="str" cm="1">
        <f t="array" ref="AP416">IFERROR(INDEX(tblAnalysis[Entry MC ($)],ROW()-1),"")</f>
        <v/>
      </c>
      <c r="AQ416" s="10" t="str" cm="1">
        <f t="array" ref="AQ416">IFERROR(INDEX(tblAnalysis[P&amp;L %],ROW()-1),"")</f>
        <v/>
      </c>
      <c r="AR416" t="str" cm="1">
        <f t="array" ref="AR416">IFERROR(INDEX(tblAnalysis[Hold Time (s)],ROW()-1),"")</f>
        <v/>
      </c>
      <c r="AS416" s="6" t="str" cm="1">
        <f t="array" ref="AS416">IFERROR(INDEX(tblAnalysis[P&amp;L SOL],ROW()-1),"")</f>
        <v/>
      </c>
      <c r="AT416" s="6" t="str">
        <f t="array" ref="AT416">IFERROR(INDEX(tblAnalysis[P&amp;L SOL],ROW()-1),"")</f>
        <v/>
      </c>
      <c r="AZ416" s="10"/>
      <c r="BA416" s="10"/>
      <c r="BF416" t="str">
        <f t="shared" si="125"/>
        <v/>
      </c>
      <c r="BG416" s="27" t="str">
        <f t="shared" si="126"/>
        <v/>
      </c>
      <c r="BH416" t="str">
        <f t="shared" si="127"/>
        <v/>
      </c>
      <c r="BI416" t="str">
        <f t="shared" si="131"/>
        <v/>
      </c>
      <c r="BL416" s="29" t="e">
        <f t="shared" si="110"/>
        <v>#N/A</v>
      </c>
      <c r="BM416" s="29" t="e">
        <f t="shared" si="111"/>
        <v>#N/A</v>
      </c>
    </row>
    <row r="417" spans="17:65" x14ac:dyDescent="0.35">
      <c r="Q417" s="27"/>
      <c r="R417" s="6" t="str">
        <f>IF(Q417="","",SUMIFS(tblAnalysis[P&amp;L SOL],tblAnalysis[Date],Q417))</f>
        <v/>
      </c>
      <c r="S417" s="10" t="str">
        <f>IF(Q417="","",SUMIFS(tblAnalysis[P&amp;L %],tblAnalysis[Date],Q417))</f>
        <v/>
      </c>
      <c r="T417" s="6" t="str">
        <f>IF(Q417="","",IFERROR(SUM($R$2:R417),""))</f>
        <v/>
      </c>
      <c r="U417" t="str">
        <f>IF(Q417="","",COUNTIFS(tblAnalysis[Date],Q417))</f>
        <v/>
      </c>
      <c r="V417" t="str">
        <f>IF(R417="","",COUNTIFS(tblAnalysis[Date],R417))</f>
        <v/>
      </c>
      <c r="W417" s="27" t="str">
        <f t="shared" si="116"/>
        <v/>
      </c>
      <c r="X417" s="6" t="str">
        <f t="shared" si="117"/>
        <v/>
      </c>
      <c r="Y417" s="6" t="str">
        <f>IF(Q417="","",MAX(X417,_xlfn.MAXIFS(tblAnalysis[Cum P&amp;L SOL],tblAnalysis[Date],Q417)))</f>
        <v/>
      </c>
      <c r="Z417" s="6" t="str">
        <f>IF(Q417="","",MIN(X417,_xlfn.MINIFS(tblAnalysis[Cum P&amp;L SOL],tblAnalysis[Date],Q417)))</f>
        <v/>
      </c>
      <c r="AA417" s="6" t="str">
        <f t="shared" si="118"/>
        <v/>
      </c>
      <c r="AB417" s="6" t="str">
        <f t="shared" si="128"/>
        <v/>
      </c>
      <c r="AC417" s="27" t="str">
        <f t="shared" si="119"/>
        <v/>
      </c>
      <c r="AD417" s="10" t="str">
        <f t="shared" si="120"/>
        <v/>
      </c>
      <c r="AE417" s="10" t="str">
        <f t="shared" si="121"/>
        <v/>
      </c>
      <c r="AF417" s="10" t="str">
        <f t="shared" si="122"/>
        <v/>
      </c>
      <c r="AG417" s="10" t="str">
        <f t="shared" si="129"/>
        <v/>
      </c>
      <c r="AH417" t="str">
        <f t="shared" si="123"/>
        <v/>
      </c>
      <c r="AI417" t="str">
        <f t="shared" si="124"/>
        <v/>
      </c>
      <c r="AJ417" t="str">
        <f t="shared" si="130"/>
        <v/>
      </c>
      <c r="AK417" t="str" cm="1">
        <f t="array" ref="AK417">IFERROR(IF(INDEX($A:$A,ROW())="","",INDEX($A:$A,ROW())),"")</f>
        <v/>
      </c>
      <c r="AL417" t="str" cm="1">
        <f t="array" ref="AL417">IFERROR(INDEX(tblTrades[sol_invested],ROW()-1),"")</f>
        <v/>
      </c>
      <c r="AM417" s="6" t="str" cm="1">
        <f t="array" ref="AM417">IFERROR(INDEX(tblAnalysis[P&amp;L SOL],ROW()-1),"")</f>
        <v/>
      </c>
      <c r="AN417" t="str" cm="1">
        <f t="array" ref="AN417">IFERROR(IF(INDEX(tblTrades[sol_invested],ROW()-1)&gt;0.5,INDEX(tblAnalysis[Token],ROW()-1)&amp;" ("&amp;TEXT(INDEX(tblTrades[sol_invested],ROW()-1),"0.0")&amp;" SOL)",""),"")</f>
        <v/>
      </c>
      <c r="AO417" s="7"/>
      <c r="AP417" s="12" t="str" cm="1">
        <f t="array" ref="AP417">IFERROR(INDEX(tblAnalysis[Entry MC ($)],ROW()-1),"")</f>
        <v/>
      </c>
      <c r="AQ417" s="10" t="str" cm="1">
        <f t="array" ref="AQ417">IFERROR(INDEX(tblAnalysis[P&amp;L %],ROW()-1),"")</f>
        <v/>
      </c>
      <c r="AR417" t="str" cm="1">
        <f t="array" ref="AR417">IFERROR(INDEX(tblAnalysis[Hold Time (s)],ROW()-1),"")</f>
        <v/>
      </c>
      <c r="AS417" s="6" t="str" cm="1">
        <f t="array" ref="AS417">IFERROR(INDEX(tblAnalysis[P&amp;L SOL],ROW()-1),"")</f>
        <v/>
      </c>
      <c r="AT417" s="6" t="str">
        <f t="array" ref="AT417">IFERROR(INDEX(tblAnalysis[P&amp;L SOL],ROW()-1),"")</f>
        <v/>
      </c>
      <c r="AZ417" s="10"/>
      <c r="BA417" s="10"/>
      <c r="BF417" t="str">
        <f t="shared" si="125"/>
        <v/>
      </c>
      <c r="BG417" s="27" t="str">
        <f t="shared" si="126"/>
        <v/>
      </c>
      <c r="BH417" t="str">
        <f t="shared" si="127"/>
        <v/>
      </c>
      <c r="BI417" t="str">
        <f t="shared" si="131"/>
        <v/>
      </c>
      <c r="BL417" s="29" t="e">
        <f t="shared" si="110"/>
        <v>#N/A</v>
      </c>
      <c r="BM417" s="29" t="e">
        <f t="shared" si="111"/>
        <v>#N/A</v>
      </c>
    </row>
    <row r="418" spans="17:65" x14ac:dyDescent="0.35">
      <c r="Q418" s="27"/>
      <c r="R418" s="6" t="str">
        <f>IF(Q418="","",SUMIFS(tblAnalysis[P&amp;L SOL],tblAnalysis[Date],Q418))</f>
        <v/>
      </c>
      <c r="S418" s="10" t="str">
        <f>IF(Q418="","",SUMIFS(tblAnalysis[P&amp;L %],tblAnalysis[Date],Q418))</f>
        <v/>
      </c>
      <c r="T418" s="6" t="str">
        <f>IF(Q418="","",IFERROR(SUM($R$2:R418),""))</f>
        <v/>
      </c>
      <c r="U418" t="str">
        <f>IF(Q418="","",COUNTIFS(tblAnalysis[Date],Q418))</f>
        <v/>
      </c>
      <c r="V418" t="str">
        <f>IF(R418="","",COUNTIFS(tblAnalysis[Date],R418))</f>
        <v/>
      </c>
      <c r="W418" s="27" t="str">
        <f t="shared" si="116"/>
        <v/>
      </c>
      <c r="X418" s="6" t="str">
        <f t="shared" si="117"/>
        <v/>
      </c>
      <c r="Y418" s="6" t="str">
        <f>IF(Q418="","",MAX(X418,_xlfn.MAXIFS(tblAnalysis[Cum P&amp;L SOL],tblAnalysis[Date],Q418)))</f>
        <v/>
      </c>
      <c r="Z418" s="6" t="str">
        <f>IF(Q418="","",MIN(X418,_xlfn.MINIFS(tblAnalysis[Cum P&amp;L SOL],tblAnalysis[Date],Q418)))</f>
        <v/>
      </c>
      <c r="AA418" s="6" t="str">
        <f t="shared" si="118"/>
        <v/>
      </c>
      <c r="AB418" s="6" t="str">
        <f t="shared" si="128"/>
        <v/>
      </c>
      <c r="AC418" s="27" t="str">
        <f t="shared" si="119"/>
        <v/>
      </c>
      <c r="AD418" s="10" t="str">
        <f t="shared" si="120"/>
        <v/>
      </c>
      <c r="AE418" s="10" t="str">
        <f t="shared" si="121"/>
        <v/>
      </c>
      <c r="AF418" s="10" t="str">
        <f t="shared" si="122"/>
        <v/>
      </c>
      <c r="AG418" s="10" t="str">
        <f t="shared" si="129"/>
        <v/>
      </c>
      <c r="AH418" t="str">
        <f t="shared" si="123"/>
        <v/>
      </c>
      <c r="AI418" t="str">
        <f t="shared" si="124"/>
        <v/>
      </c>
      <c r="AJ418" t="str">
        <f t="shared" si="130"/>
        <v/>
      </c>
      <c r="AK418" t="str" cm="1">
        <f t="array" ref="AK418">IFERROR(IF(INDEX($A:$A,ROW())="","",INDEX($A:$A,ROW())),"")</f>
        <v/>
      </c>
      <c r="AL418" t="str" cm="1">
        <f t="array" ref="AL418">IFERROR(INDEX(tblTrades[sol_invested],ROW()-1),"")</f>
        <v/>
      </c>
      <c r="AM418" s="6" t="str" cm="1">
        <f t="array" ref="AM418">IFERROR(INDEX(tblAnalysis[P&amp;L SOL],ROW()-1),"")</f>
        <v/>
      </c>
      <c r="AN418" t="str" cm="1">
        <f t="array" ref="AN418">IFERROR(IF(INDEX(tblTrades[sol_invested],ROW()-1)&gt;0.5,INDEX(tblAnalysis[Token],ROW()-1)&amp;" ("&amp;TEXT(INDEX(tblTrades[sol_invested],ROW()-1),"0.0")&amp;" SOL)",""),"")</f>
        <v/>
      </c>
      <c r="AO418" s="7"/>
      <c r="AP418" s="12" t="str" cm="1">
        <f t="array" ref="AP418">IFERROR(INDEX(tblAnalysis[Entry MC ($)],ROW()-1),"")</f>
        <v/>
      </c>
      <c r="AQ418" s="10" t="str" cm="1">
        <f t="array" ref="AQ418">IFERROR(INDEX(tblAnalysis[P&amp;L %],ROW()-1),"")</f>
        <v/>
      </c>
      <c r="AR418" t="str" cm="1">
        <f t="array" ref="AR418">IFERROR(INDEX(tblAnalysis[Hold Time (s)],ROW()-1),"")</f>
        <v/>
      </c>
      <c r="AS418" s="6" t="str" cm="1">
        <f t="array" ref="AS418">IFERROR(INDEX(tblAnalysis[P&amp;L SOL],ROW()-1),"")</f>
        <v/>
      </c>
      <c r="AT418" s="6" t="str">
        <f t="array" ref="AT418">IFERROR(INDEX(tblAnalysis[P&amp;L SOL],ROW()-1),"")</f>
        <v/>
      </c>
      <c r="AZ418" s="10"/>
      <c r="BA418" s="10"/>
      <c r="BF418" t="str">
        <f t="shared" si="125"/>
        <v/>
      </c>
      <c r="BG418" s="27" t="str">
        <f t="shared" si="126"/>
        <v/>
      </c>
      <c r="BH418" t="str">
        <f t="shared" si="127"/>
        <v/>
      </c>
      <c r="BI418" t="str">
        <f t="shared" si="131"/>
        <v/>
      </c>
      <c r="BL418" s="29" t="e">
        <f t="shared" si="110"/>
        <v>#N/A</v>
      </c>
      <c r="BM418" s="29" t="e">
        <f t="shared" si="111"/>
        <v>#N/A</v>
      </c>
    </row>
    <row r="419" spans="17:65" x14ac:dyDescent="0.35">
      <c r="Q419" s="27"/>
      <c r="R419" s="6" t="str">
        <f>IF(Q419="","",SUMIFS(tblAnalysis[P&amp;L SOL],tblAnalysis[Date],Q419))</f>
        <v/>
      </c>
      <c r="S419" s="10" t="str">
        <f>IF(Q419="","",SUMIFS(tblAnalysis[P&amp;L %],tblAnalysis[Date],Q419))</f>
        <v/>
      </c>
      <c r="T419" s="6" t="str">
        <f>IF(Q419="","",IFERROR(SUM($R$2:R419),""))</f>
        <v/>
      </c>
      <c r="U419" t="str">
        <f>IF(Q419="","",COUNTIFS(tblAnalysis[Date],Q419))</f>
        <v/>
      </c>
      <c r="V419" t="str">
        <f>IF(R419="","",COUNTIFS(tblAnalysis[Date],R419))</f>
        <v/>
      </c>
      <c r="W419" s="27" t="str">
        <f t="shared" si="116"/>
        <v/>
      </c>
      <c r="X419" s="6" t="str">
        <f t="shared" si="117"/>
        <v/>
      </c>
      <c r="Y419" s="6" t="str">
        <f>IF(Q419="","",MAX(X419,_xlfn.MAXIFS(tblAnalysis[Cum P&amp;L SOL],tblAnalysis[Date],Q419)))</f>
        <v/>
      </c>
      <c r="Z419" s="6" t="str">
        <f>IF(Q419="","",MIN(X419,_xlfn.MINIFS(tblAnalysis[Cum P&amp;L SOL],tblAnalysis[Date],Q419)))</f>
        <v/>
      </c>
      <c r="AA419" s="6" t="str">
        <f t="shared" si="118"/>
        <v/>
      </c>
      <c r="AB419" s="6" t="str">
        <f t="shared" si="128"/>
        <v/>
      </c>
      <c r="AC419" s="27" t="str">
        <f t="shared" si="119"/>
        <v/>
      </c>
      <c r="AD419" s="10" t="str">
        <f t="shared" si="120"/>
        <v/>
      </c>
      <c r="AE419" s="10" t="str">
        <f t="shared" si="121"/>
        <v/>
      </c>
      <c r="AF419" s="10" t="str">
        <f t="shared" si="122"/>
        <v/>
      </c>
      <c r="AG419" s="10" t="str">
        <f t="shared" si="129"/>
        <v/>
      </c>
      <c r="AH419" t="str">
        <f t="shared" si="123"/>
        <v/>
      </c>
      <c r="AI419" t="str">
        <f t="shared" si="124"/>
        <v/>
      </c>
      <c r="AJ419" t="str">
        <f t="shared" si="130"/>
        <v/>
      </c>
      <c r="AK419" t="str" cm="1">
        <f t="array" ref="AK419">IFERROR(IF(INDEX($A:$A,ROW())="","",INDEX($A:$A,ROW())),"")</f>
        <v/>
      </c>
      <c r="AL419" t="str" cm="1">
        <f t="array" ref="AL419">IFERROR(INDEX(tblTrades[sol_invested],ROW()-1),"")</f>
        <v/>
      </c>
      <c r="AM419" s="6" t="str" cm="1">
        <f t="array" ref="AM419">IFERROR(INDEX(tblAnalysis[P&amp;L SOL],ROW()-1),"")</f>
        <v/>
      </c>
      <c r="AN419" t="str" cm="1">
        <f t="array" ref="AN419">IFERROR(IF(INDEX(tblTrades[sol_invested],ROW()-1)&gt;0.5,INDEX(tblAnalysis[Token],ROW()-1)&amp;" ("&amp;TEXT(INDEX(tblTrades[sol_invested],ROW()-1),"0.0")&amp;" SOL)",""),"")</f>
        <v/>
      </c>
      <c r="AO419" s="7"/>
      <c r="AP419" s="12" t="str" cm="1">
        <f t="array" ref="AP419">IFERROR(INDEX(tblAnalysis[Entry MC ($)],ROW()-1),"")</f>
        <v/>
      </c>
      <c r="AQ419" s="10" t="str" cm="1">
        <f t="array" ref="AQ419">IFERROR(INDEX(tblAnalysis[P&amp;L %],ROW()-1),"")</f>
        <v/>
      </c>
      <c r="AR419" t="str" cm="1">
        <f t="array" ref="AR419">IFERROR(INDEX(tblAnalysis[Hold Time (s)],ROW()-1),"")</f>
        <v/>
      </c>
      <c r="AS419" s="6" t="str" cm="1">
        <f t="array" ref="AS419">IFERROR(INDEX(tblAnalysis[P&amp;L SOL],ROW()-1),"")</f>
        <v/>
      </c>
      <c r="AT419" s="6" t="str">
        <f t="array" ref="AT419">IFERROR(INDEX(tblAnalysis[P&amp;L SOL],ROW()-1),"")</f>
        <v/>
      </c>
      <c r="AZ419" s="10"/>
      <c r="BA419" s="10"/>
      <c r="BF419" t="str">
        <f t="shared" si="125"/>
        <v/>
      </c>
      <c r="BG419" s="27" t="str">
        <f t="shared" si="126"/>
        <v/>
      </c>
      <c r="BH419" t="str">
        <f t="shared" si="127"/>
        <v/>
      </c>
      <c r="BI419" t="str">
        <f t="shared" si="131"/>
        <v/>
      </c>
      <c r="BL419" s="29" t="e">
        <f t="shared" si="110"/>
        <v>#N/A</v>
      </c>
      <c r="BM419" s="29" t="e">
        <f t="shared" si="111"/>
        <v>#N/A</v>
      </c>
    </row>
    <row r="420" spans="17:65" x14ac:dyDescent="0.35">
      <c r="Q420" s="27"/>
      <c r="R420" s="6" t="str">
        <f>IF(Q420="","",SUMIFS(tblAnalysis[P&amp;L SOL],tblAnalysis[Date],Q420))</f>
        <v/>
      </c>
      <c r="S420" s="10" t="str">
        <f>IF(Q420="","",SUMIFS(tblAnalysis[P&amp;L %],tblAnalysis[Date],Q420))</f>
        <v/>
      </c>
      <c r="T420" s="6" t="str">
        <f>IF(Q420="","",IFERROR(SUM($R$2:R420),""))</f>
        <v/>
      </c>
      <c r="U420" t="str">
        <f>IF(Q420="","",COUNTIFS(tblAnalysis[Date],Q420))</f>
        <v/>
      </c>
      <c r="V420" t="str">
        <f>IF(R420="","",COUNTIFS(tblAnalysis[Date],R420))</f>
        <v/>
      </c>
      <c r="W420" s="27" t="str">
        <f t="shared" si="116"/>
        <v/>
      </c>
      <c r="X420" s="6" t="str">
        <f t="shared" si="117"/>
        <v/>
      </c>
      <c r="Y420" s="6" t="str">
        <f>IF(Q420="","",MAX(X420,_xlfn.MAXIFS(tblAnalysis[Cum P&amp;L SOL],tblAnalysis[Date],Q420)))</f>
        <v/>
      </c>
      <c r="Z420" s="6" t="str">
        <f>IF(Q420="","",MIN(X420,_xlfn.MINIFS(tblAnalysis[Cum P&amp;L SOL],tblAnalysis[Date],Q420)))</f>
        <v/>
      </c>
      <c r="AA420" s="6" t="str">
        <f t="shared" si="118"/>
        <v/>
      </c>
      <c r="AB420" s="6" t="str">
        <f t="shared" si="128"/>
        <v/>
      </c>
      <c r="AC420" s="27" t="str">
        <f t="shared" si="119"/>
        <v/>
      </c>
      <c r="AD420" s="10" t="str">
        <f t="shared" si="120"/>
        <v/>
      </c>
      <c r="AE420" s="10" t="str">
        <f t="shared" si="121"/>
        <v/>
      </c>
      <c r="AF420" s="10" t="str">
        <f t="shared" si="122"/>
        <v/>
      </c>
      <c r="AG420" s="10" t="str">
        <f t="shared" si="129"/>
        <v/>
      </c>
      <c r="AH420" t="str">
        <f t="shared" si="123"/>
        <v/>
      </c>
      <c r="AI420" t="str">
        <f t="shared" si="124"/>
        <v/>
      </c>
      <c r="AJ420" t="str">
        <f t="shared" si="130"/>
        <v/>
      </c>
      <c r="AK420" t="str" cm="1">
        <f t="array" ref="AK420">IFERROR(IF(INDEX($A:$A,ROW())="","",INDEX($A:$A,ROW())),"")</f>
        <v/>
      </c>
      <c r="AL420" t="str" cm="1">
        <f t="array" ref="AL420">IFERROR(INDEX(tblTrades[sol_invested],ROW()-1),"")</f>
        <v/>
      </c>
      <c r="AM420" s="6" t="str" cm="1">
        <f t="array" ref="AM420">IFERROR(INDEX(tblAnalysis[P&amp;L SOL],ROW()-1),"")</f>
        <v/>
      </c>
      <c r="AN420" t="str" cm="1">
        <f t="array" ref="AN420">IFERROR(IF(INDEX(tblTrades[sol_invested],ROW()-1)&gt;0.5,INDEX(tblAnalysis[Token],ROW()-1)&amp;" ("&amp;TEXT(INDEX(tblTrades[sol_invested],ROW()-1),"0.0")&amp;" SOL)",""),"")</f>
        <v/>
      </c>
      <c r="AO420" s="7"/>
      <c r="AP420" s="12" t="str" cm="1">
        <f t="array" ref="AP420">IFERROR(INDEX(tblAnalysis[Entry MC ($)],ROW()-1),"")</f>
        <v/>
      </c>
      <c r="AQ420" s="10" t="str" cm="1">
        <f t="array" ref="AQ420">IFERROR(INDEX(tblAnalysis[P&amp;L %],ROW()-1),"")</f>
        <v/>
      </c>
      <c r="AR420" t="str" cm="1">
        <f t="array" ref="AR420">IFERROR(INDEX(tblAnalysis[Hold Time (s)],ROW()-1),"")</f>
        <v/>
      </c>
      <c r="AS420" s="6" t="str" cm="1">
        <f t="array" ref="AS420">IFERROR(INDEX(tblAnalysis[P&amp;L SOL],ROW()-1),"")</f>
        <v/>
      </c>
      <c r="AT420" s="6" t="str">
        <f t="array" ref="AT420">IFERROR(INDEX(tblAnalysis[P&amp;L SOL],ROW()-1),"")</f>
        <v/>
      </c>
      <c r="AZ420" s="10"/>
      <c r="BA420" s="10"/>
      <c r="BF420" t="str">
        <f t="shared" si="125"/>
        <v/>
      </c>
      <c r="BG420" s="27" t="str">
        <f t="shared" si="126"/>
        <v/>
      </c>
      <c r="BH420" t="str">
        <f t="shared" si="127"/>
        <v/>
      </c>
      <c r="BI420" t="str">
        <f t="shared" si="131"/>
        <v/>
      </c>
      <c r="BL420" s="29" t="e">
        <f t="shared" si="110"/>
        <v>#N/A</v>
      </c>
      <c r="BM420" s="29" t="e">
        <f t="shared" si="111"/>
        <v>#N/A</v>
      </c>
    </row>
    <row r="421" spans="17:65" x14ac:dyDescent="0.35">
      <c r="Q421" s="27"/>
      <c r="R421" s="6" t="str">
        <f>IF(Q421="","",SUMIFS(tblAnalysis[P&amp;L SOL],tblAnalysis[Date],Q421))</f>
        <v/>
      </c>
      <c r="S421" s="10" t="str">
        <f>IF(Q421="","",SUMIFS(tblAnalysis[P&amp;L %],tblAnalysis[Date],Q421))</f>
        <v/>
      </c>
      <c r="T421" s="6" t="str">
        <f>IF(Q421="","",IFERROR(SUM($R$2:R421),""))</f>
        <v/>
      </c>
      <c r="U421" t="str">
        <f>IF(Q421="","",COUNTIFS(tblAnalysis[Date],Q421))</f>
        <v/>
      </c>
      <c r="V421" t="str">
        <f>IF(R421="","",COUNTIFS(tblAnalysis[Date],R421))</f>
        <v/>
      </c>
      <c r="W421" s="27" t="str">
        <f t="shared" si="116"/>
        <v/>
      </c>
      <c r="X421" s="6" t="str">
        <f t="shared" si="117"/>
        <v/>
      </c>
      <c r="Y421" s="6" t="str">
        <f>IF(Q421="","",MAX(X421,_xlfn.MAXIFS(tblAnalysis[Cum P&amp;L SOL],tblAnalysis[Date],Q421)))</f>
        <v/>
      </c>
      <c r="Z421" s="6" t="str">
        <f>IF(Q421="","",MIN(X421,_xlfn.MINIFS(tblAnalysis[Cum P&amp;L SOL],tblAnalysis[Date],Q421)))</f>
        <v/>
      </c>
      <c r="AA421" s="6" t="str">
        <f t="shared" si="118"/>
        <v/>
      </c>
      <c r="AB421" s="6" t="str">
        <f t="shared" si="128"/>
        <v/>
      </c>
      <c r="AC421" s="27" t="str">
        <f t="shared" si="119"/>
        <v/>
      </c>
      <c r="AD421" s="10" t="str">
        <f t="shared" si="120"/>
        <v/>
      </c>
      <c r="AE421" s="10" t="str">
        <f t="shared" si="121"/>
        <v/>
      </c>
      <c r="AF421" s="10" t="str">
        <f t="shared" si="122"/>
        <v/>
      </c>
      <c r="AG421" s="10" t="str">
        <f t="shared" si="129"/>
        <v/>
      </c>
      <c r="AH421" t="str">
        <f t="shared" si="123"/>
        <v/>
      </c>
      <c r="AI421" t="str">
        <f t="shared" si="124"/>
        <v/>
      </c>
      <c r="AJ421" t="str">
        <f t="shared" si="130"/>
        <v/>
      </c>
      <c r="AK421" t="str" cm="1">
        <f t="array" ref="AK421">IFERROR(IF(INDEX($A:$A,ROW())="","",INDEX($A:$A,ROW())),"")</f>
        <v/>
      </c>
      <c r="AL421" t="str" cm="1">
        <f t="array" ref="AL421">IFERROR(INDEX(tblTrades[sol_invested],ROW()-1),"")</f>
        <v/>
      </c>
      <c r="AM421" s="6" t="str" cm="1">
        <f t="array" ref="AM421">IFERROR(INDEX(tblAnalysis[P&amp;L SOL],ROW()-1),"")</f>
        <v/>
      </c>
      <c r="AN421" t="str" cm="1">
        <f t="array" ref="AN421">IFERROR(IF(INDEX(tblTrades[sol_invested],ROW()-1)&gt;0.5,INDEX(tblAnalysis[Token],ROW()-1)&amp;" ("&amp;TEXT(INDEX(tblTrades[sol_invested],ROW()-1),"0.0")&amp;" SOL)",""),"")</f>
        <v/>
      </c>
      <c r="AO421" s="7"/>
      <c r="AP421" s="12" t="str" cm="1">
        <f t="array" ref="AP421">IFERROR(INDEX(tblAnalysis[Entry MC ($)],ROW()-1),"")</f>
        <v/>
      </c>
      <c r="AQ421" s="10" t="str" cm="1">
        <f t="array" ref="AQ421">IFERROR(INDEX(tblAnalysis[P&amp;L %],ROW()-1),"")</f>
        <v/>
      </c>
      <c r="AR421" t="str" cm="1">
        <f t="array" ref="AR421">IFERROR(INDEX(tblAnalysis[Hold Time (s)],ROW()-1),"")</f>
        <v/>
      </c>
      <c r="AS421" s="6" t="str" cm="1">
        <f t="array" ref="AS421">IFERROR(INDEX(tblAnalysis[P&amp;L SOL],ROW()-1),"")</f>
        <v/>
      </c>
      <c r="AT421" s="6" t="str">
        <f t="array" ref="AT421">IFERROR(INDEX(tblAnalysis[P&amp;L SOL],ROW()-1),"")</f>
        <v/>
      </c>
      <c r="AZ421" s="10"/>
      <c r="BA421" s="10"/>
      <c r="BF421" t="str">
        <f t="shared" si="125"/>
        <v/>
      </c>
      <c r="BG421" s="27" t="str">
        <f t="shared" si="126"/>
        <v/>
      </c>
      <c r="BH421" t="str">
        <f t="shared" si="127"/>
        <v/>
      </c>
      <c r="BI421" t="str">
        <f t="shared" si="131"/>
        <v/>
      </c>
      <c r="BL421" s="29" t="e">
        <f t="shared" si="110"/>
        <v>#N/A</v>
      </c>
      <c r="BM421" s="29" t="e">
        <f t="shared" si="111"/>
        <v>#N/A</v>
      </c>
    </row>
    <row r="422" spans="17:65" x14ac:dyDescent="0.35">
      <c r="Q422" s="27"/>
      <c r="R422" s="6" t="str">
        <f>IF(Q422="","",SUMIFS(tblAnalysis[P&amp;L SOL],tblAnalysis[Date],Q422))</f>
        <v/>
      </c>
      <c r="S422" s="10" t="str">
        <f>IF(Q422="","",SUMIFS(tblAnalysis[P&amp;L %],tblAnalysis[Date],Q422))</f>
        <v/>
      </c>
      <c r="T422" s="6" t="str">
        <f>IF(Q422="","",IFERROR(SUM($R$2:R422),""))</f>
        <v/>
      </c>
      <c r="U422" t="str">
        <f>IF(Q422="","",COUNTIFS(tblAnalysis[Date],Q422))</f>
        <v/>
      </c>
      <c r="V422" t="str">
        <f>IF(R422="","",COUNTIFS(tblAnalysis[Date],R422))</f>
        <v/>
      </c>
      <c r="W422" s="27" t="str">
        <f t="shared" si="116"/>
        <v/>
      </c>
      <c r="X422" s="6" t="str">
        <f t="shared" si="117"/>
        <v/>
      </c>
      <c r="Y422" s="6" t="str">
        <f>IF(Q422="","",MAX(X422,_xlfn.MAXIFS(tblAnalysis[Cum P&amp;L SOL],tblAnalysis[Date],Q422)))</f>
        <v/>
      </c>
      <c r="Z422" s="6" t="str">
        <f>IF(Q422="","",MIN(X422,_xlfn.MINIFS(tblAnalysis[Cum P&amp;L SOL],tblAnalysis[Date],Q422)))</f>
        <v/>
      </c>
      <c r="AA422" s="6" t="str">
        <f t="shared" si="118"/>
        <v/>
      </c>
      <c r="AB422" s="6" t="str">
        <f t="shared" si="128"/>
        <v/>
      </c>
      <c r="AC422" s="27" t="str">
        <f t="shared" si="119"/>
        <v/>
      </c>
      <c r="AD422" s="10" t="str">
        <f t="shared" si="120"/>
        <v/>
      </c>
      <c r="AE422" s="10" t="str">
        <f t="shared" si="121"/>
        <v/>
      </c>
      <c r="AF422" s="10" t="str">
        <f t="shared" si="122"/>
        <v/>
      </c>
      <c r="AG422" s="10" t="str">
        <f t="shared" si="129"/>
        <v/>
      </c>
      <c r="AH422" t="str">
        <f t="shared" si="123"/>
        <v/>
      </c>
      <c r="AI422" t="str">
        <f t="shared" si="124"/>
        <v/>
      </c>
      <c r="AJ422" t="str">
        <f t="shared" si="130"/>
        <v/>
      </c>
      <c r="AK422" t="str" cm="1">
        <f t="array" ref="AK422">IFERROR(IF(INDEX($A:$A,ROW())="","",INDEX($A:$A,ROW())),"")</f>
        <v/>
      </c>
      <c r="AL422" t="str" cm="1">
        <f t="array" ref="AL422">IFERROR(INDEX(tblTrades[sol_invested],ROW()-1),"")</f>
        <v/>
      </c>
      <c r="AM422" s="6" t="str" cm="1">
        <f t="array" ref="AM422">IFERROR(INDEX(tblAnalysis[P&amp;L SOL],ROW()-1),"")</f>
        <v/>
      </c>
      <c r="AN422" t="str" cm="1">
        <f t="array" ref="AN422">IFERROR(IF(INDEX(tblTrades[sol_invested],ROW()-1)&gt;0.5,INDEX(tblAnalysis[Token],ROW()-1)&amp;" ("&amp;TEXT(INDEX(tblTrades[sol_invested],ROW()-1),"0.0")&amp;" SOL)",""),"")</f>
        <v/>
      </c>
      <c r="AO422" s="7"/>
      <c r="AP422" s="12" t="str" cm="1">
        <f t="array" ref="AP422">IFERROR(INDEX(tblAnalysis[Entry MC ($)],ROW()-1),"")</f>
        <v/>
      </c>
      <c r="AQ422" s="10" t="str" cm="1">
        <f t="array" ref="AQ422">IFERROR(INDEX(tblAnalysis[P&amp;L %],ROW()-1),"")</f>
        <v/>
      </c>
      <c r="AR422" t="str" cm="1">
        <f t="array" ref="AR422">IFERROR(INDEX(tblAnalysis[Hold Time (s)],ROW()-1),"")</f>
        <v/>
      </c>
      <c r="AS422" s="6" t="str" cm="1">
        <f t="array" ref="AS422">IFERROR(INDEX(tblAnalysis[P&amp;L SOL],ROW()-1),"")</f>
        <v/>
      </c>
      <c r="AT422" s="6" t="str">
        <f t="array" ref="AT422">IFERROR(INDEX(tblAnalysis[P&amp;L SOL],ROW()-1),"")</f>
        <v/>
      </c>
      <c r="AZ422" s="10"/>
      <c r="BA422" s="10"/>
      <c r="BF422" t="str">
        <f t="shared" si="125"/>
        <v/>
      </c>
      <c r="BG422" s="27" t="str">
        <f t="shared" si="126"/>
        <v/>
      </c>
      <c r="BH422" t="str">
        <f t="shared" si="127"/>
        <v/>
      </c>
      <c r="BI422" t="str">
        <f t="shared" si="131"/>
        <v/>
      </c>
      <c r="BL422" s="29" t="e">
        <f t="shared" si="110"/>
        <v>#N/A</v>
      </c>
      <c r="BM422" s="29" t="e">
        <f t="shared" si="111"/>
        <v>#N/A</v>
      </c>
    </row>
    <row r="423" spans="17:65" x14ac:dyDescent="0.35">
      <c r="Q423" s="27"/>
      <c r="R423" s="6" t="str">
        <f>IF(Q423="","",SUMIFS(tblAnalysis[P&amp;L SOL],tblAnalysis[Date],Q423))</f>
        <v/>
      </c>
      <c r="S423" s="10" t="str">
        <f>IF(Q423="","",SUMIFS(tblAnalysis[P&amp;L %],tblAnalysis[Date],Q423))</f>
        <v/>
      </c>
      <c r="T423" s="6" t="str">
        <f>IF(Q423="","",IFERROR(SUM($R$2:R423),""))</f>
        <v/>
      </c>
      <c r="U423" t="str">
        <f>IF(Q423="","",COUNTIFS(tblAnalysis[Date],Q423))</f>
        <v/>
      </c>
      <c r="V423" t="str">
        <f>IF(R423="","",COUNTIFS(tblAnalysis[Date],R423))</f>
        <v/>
      </c>
      <c r="W423" s="27" t="str">
        <f t="shared" si="116"/>
        <v/>
      </c>
      <c r="X423" s="6" t="str">
        <f t="shared" si="117"/>
        <v/>
      </c>
      <c r="Y423" s="6" t="str">
        <f>IF(Q423="","",MAX(X423,_xlfn.MAXIFS(tblAnalysis[Cum P&amp;L SOL],tblAnalysis[Date],Q423)))</f>
        <v/>
      </c>
      <c r="Z423" s="6" t="str">
        <f>IF(Q423="","",MIN(X423,_xlfn.MINIFS(tblAnalysis[Cum P&amp;L SOL],tblAnalysis[Date],Q423)))</f>
        <v/>
      </c>
      <c r="AA423" s="6" t="str">
        <f t="shared" si="118"/>
        <v/>
      </c>
      <c r="AB423" s="6" t="str">
        <f t="shared" si="128"/>
        <v/>
      </c>
      <c r="AC423" s="27" t="str">
        <f t="shared" si="119"/>
        <v/>
      </c>
      <c r="AD423" s="10" t="str">
        <f t="shared" si="120"/>
        <v/>
      </c>
      <c r="AE423" s="10" t="str">
        <f t="shared" si="121"/>
        <v/>
      </c>
      <c r="AF423" s="10" t="str">
        <f t="shared" si="122"/>
        <v/>
      </c>
      <c r="AG423" s="10" t="str">
        <f t="shared" si="129"/>
        <v/>
      </c>
      <c r="AH423" t="str">
        <f t="shared" si="123"/>
        <v/>
      </c>
      <c r="AI423" t="str">
        <f t="shared" si="124"/>
        <v/>
      </c>
      <c r="AJ423" t="str">
        <f t="shared" si="130"/>
        <v/>
      </c>
      <c r="AK423" t="str" cm="1">
        <f t="array" ref="AK423">IFERROR(IF(INDEX($A:$A,ROW())="","",INDEX($A:$A,ROW())),"")</f>
        <v/>
      </c>
      <c r="AL423" t="str" cm="1">
        <f t="array" ref="AL423">IFERROR(INDEX(tblTrades[sol_invested],ROW()-1),"")</f>
        <v/>
      </c>
      <c r="AM423" s="6" t="str" cm="1">
        <f t="array" ref="AM423">IFERROR(INDEX(tblAnalysis[P&amp;L SOL],ROW()-1),"")</f>
        <v/>
      </c>
      <c r="AN423" t="str" cm="1">
        <f t="array" ref="AN423">IFERROR(IF(INDEX(tblTrades[sol_invested],ROW()-1)&gt;0.5,INDEX(tblAnalysis[Token],ROW()-1)&amp;" ("&amp;TEXT(INDEX(tblTrades[sol_invested],ROW()-1),"0.0")&amp;" SOL)",""),"")</f>
        <v/>
      </c>
      <c r="AO423" s="7"/>
      <c r="AP423" s="12" t="str" cm="1">
        <f t="array" ref="AP423">IFERROR(INDEX(tblAnalysis[Entry MC ($)],ROW()-1),"")</f>
        <v/>
      </c>
      <c r="AQ423" s="10" t="str" cm="1">
        <f t="array" ref="AQ423">IFERROR(INDEX(tblAnalysis[P&amp;L %],ROW()-1),"")</f>
        <v/>
      </c>
      <c r="AR423" t="str" cm="1">
        <f t="array" ref="AR423">IFERROR(INDEX(tblAnalysis[Hold Time (s)],ROW()-1),"")</f>
        <v/>
      </c>
      <c r="AS423" s="6" t="str" cm="1">
        <f t="array" ref="AS423">IFERROR(INDEX(tblAnalysis[P&amp;L SOL],ROW()-1),"")</f>
        <v/>
      </c>
      <c r="AT423" s="6" t="str">
        <f t="array" ref="AT423">IFERROR(INDEX(tblAnalysis[P&amp;L SOL],ROW()-1),"")</f>
        <v/>
      </c>
      <c r="AZ423" s="10"/>
      <c r="BA423" s="10"/>
      <c r="BF423" t="str">
        <f t="shared" si="125"/>
        <v/>
      </c>
      <c r="BG423" s="27" t="str">
        <f t="shared" si="126"/>
        <v/>
      </c>
      <c r="BH423" t="str">
        <f t="shared" si="127"/>
        <v/>
      </c>
      <c r="BI423" t="str">
        <f t="shared" si="131"/>
        <v/>
      </c>
      <c r="BL423" s="29" t="e">
        <f t="shared" si="110"/>
        <v>#N/A</v>
      </c>
      <c r="BM423" s="29" t="e">
        <f t="shared" si="111"/>
        <v>#N/A</v>
      </c>
    </row>
    <row r="424" spans="17:65" x14ac:dyDescent="0.35">
      <c r="Q424" s="27"/>
      <c r="R424" s="6" t="str">
        <f>IF(Q424="","",SUMIFS(tblAnalysis[P&amp;L SOL],tblAnalysis[Date],Q424))</f>
        <v/>
      </c>
      <c r="S424" s="10" t="str">
        <f>IF(Q424="","",SUMIFS(tblAnalysis[P&amp;L %],tblAnalysis[Date],Q424))</f>
        <v/>
      </c>
      <c r="T424" s="6" t="str">
        <f>IF(Q424="","",IFERROR(SUM($R$2:R424),""))</f>
        <v/>
      </c>
      <c r="U424" t="str">
        <f>IF(Q424="","",COUNTIFS(tblAnalysis[Date],Q424))</f>
        <v/>
      </c>
      <c r="V424" t="str">
        <f>IF(R424="","",COUNTIFS(tblAnalysis[Date],R424))</f>
        <v/>
      </c>
      <c r="W424" s="27" t="str">
        <f t="shared" si="116"/>
        <v/>
      </c>
      <c r="X424" s="6" t="str">
        <f t="shared" si="117"/>
        <v/>
      </c>
      <c r="Y424" s="6" t="str">
        <f>IF(Q424="","",MAX(X424,_xlfn.MAXIFS(tblAnalysis[Cum P&amp;L SOL],tblAnalysis[Date],Q424)))</f>
        <v/>
      </c>
      <c r="Z424" s="6" t="str">
        <f>IF(Q424="","",MIN(X424,_xlfn.MINIFS(tblAnalysis[Cum P&amp;L SOL],tblAnalysis[Date],Q424)))</f>
        <v/>
      </c>
      <c r="AA424" s="6" t="str">
        <f t="shared" si="118"/>
        <v/>
      </c>
      <c r="AB424" s="6" t="str">
        <f t="shared" si="128"/>
        <v/>
      </c>
      <c r="AC424" s="27" t="str">
        <f t="shared" si="119"/>
        <v/>
      </c>
      <c r="AD424" s="10" t="str">
        <f t="shared" si="120"/>
        <v/>
      </c>
      <c r="AE424" s="10" t="str">
        <f t="shared" si="121"/>
        <v/>
      </c>
      <c r="AF424" s="10" t="str">
        <f t="shared" si="122"/>
        <v/>
      </c>
      <c r="AG424" s="10" t="str">
        <f t="shared" si="129"/>
        <v/>
      </c>
      <c r="AH424" t="str">
        <f t="shared" si="123"/>
        <v/>
      </c>
      <c r="AI424" t="str">
        <f t="shared" si="124"/>
        <v/>
      </c>
      <c r="AJ424" t="str">
        <f t="shared" si="130"/>
        <v/>
      </c>
      <c r="AK424" t="str" cm="1">
        <f t="array" ref="AK424">IFERROR(IF(INDEX($A:$A,ROW())="","",INDEX($A:$A,ROW())),"")</f>
        <v/>
      </c>
      <c r="AL424" t="str" cm="1">
        <f t="array" ref="AL424">IFERROR(INDEX(tblTrades[sol_invested],ROW()-1),"")</f>
        <v/>
      </c>
      <c r="AM424" s="6" t="str" cm="1">
        <f t="array" ref="AM424">IFERROR(INDEX(tblAnalysis[P&amp;L SOL],ROW()-1),"")</f>
        <v/>
      </c>
      <c r="AN424" t="str" cm="1">
        <f t="array" ref="AN424">IFERROR(IF(INDEX(tblTrades[sol_invested],ROW()-1)&gt;0.5,INDEX(tblAnalysis[Token],ROW()-1)&amp;" ("&amp;TEXT(INDEX(tblTrades[sol_invested],ROW()-1),"0.0")&amp;" SOL)",""),"")</f>
        <v/>
      </c>
      <c r="AO424" s="7"/>
      <c r="AP424" s="12" t="str" cm="1">
        <f t="array" ref="AP424">IFERROR(INDEX(tblAnalysis[Entry MC ($)],ROW()-1),"")</f>
        <v/>
      </c>
      <c r="AQ424" s="10" t="str" cm="1">
        <f t="array" ref="AQ424">IFERROR(INDEX(tblAnalysis[P&amp;L %],ROW()-1),"")</f>
        <v/>
      </c>
      <c r="AR424" t="str" cm="1">
        <f t="array" ref="AR424">IFERROR(INDEX(tblAnalysis[Hold Time (s)],ROW()-1),"")</f>
        <v/>
      </c>
      <c r="AS424" s="6" t="str" cm="1">
        <f t="array" ref="AS424">IFERROR(INDEX(tblAnalysis[P&amp;L SOL],ROW()-1),"")</f>
        <v/>
      </c>
      <c r="AT424" s="6" t="str">
        <f t="array" ref="AT424">IFERROR(INDEX(tblAnalysis[P&amp;L SOL],ROW()-1),"")</f>
        <v/>
      </c>
      <c r="AZ424" s="10"/>
      <c r="BA424" s="10"/>
      <c r="BF424" t="str">
        <f t="shared" si="125"/>
        <v/>
      </c>
      <c r="BG424" s="27" t="str">
        <f t="shared" si="126"/>
        <v/>
      </c>
      <c r="BH424" t="str">
        <f t="shared" si="127"/>
        <v/>
      </c>
      <c r="BI424" t="str">
        <f t="shared" si="131"/>
        <v/>
      </c>
      <c r="BL424" s="29" t="e">
        <f t="shared" ref="BL424:BL487" si="132">IF(ISNUMBER(G414),IF(G414&gt;0,G414,NA()),NA())</f>
        <v>#N/A</v>
      </c>
      <c r="BM424" s="29" t="e">
        <f t="shared" ref="BM424:BM487" si="133">IF(ISNUMBER(G414),IF(G414&lt;=0,G414,NA()),NA())</f>
        <v>#N/A</v>
      </c>
    </row>
    <row r="425" spans="17:65" x14ac:dyDescent="0.35">
      <c r="Q425" s="27"/>
      <c r="R425" s="6" t="str">
        <f>IF(Q425="","",SUMIFS(tblAnalysis[P&amp;L SOL],tblAnalysis[Date],Q425))</f>
        <v/>
      </c>
      <c r="S425" s="10" t="str">
        <f>IF(Q425="","",SUMIFS(tblAnalysis[P&amp;L %],tblAnalysis[Date],Q425))</f>
        <v/>
      </c>
      <c r="T425" s="6" t="str">
        <f>IF(Q425="","",IFERROR(SUM($R$2:R425),""))</f>
        <v/>
      </c>
      <c r="U425" t="str">
        <f>IF(Q425="","",COUNTIFS(tblAnalysis[Date],Q425))</f>
        <v/>
      </c>
      <c r="V425" t="str">
        <f>IF(R425="","",COUNTIFS(tblAnalysis[Date],R425))</f>
        <v/>
      </c>
      <c r="W425" s="27" t="str">
        <f t="shared" si="116"/>
        <v/>
      </c>
      <c r="X425" s="6" t="str">
        <f t="shared" si="117"/>
        <v/>
      </c>
      <c r="Y425" s="6" t="str">
        <f>IF(Q425="","",MAX(X425,_xlfn.MAXIFS(tblAnalysis[Cum P&amp;L SOL],tblAnalysis[Date],Q425)))</f>
        <v/>
      </c>
      <c r="Z425" s="6" t="str">
        <f>IF(Q425="","",MIN(X425,_xlfn.MINIFS(tblAnalysis[Cum P&amp;L SOL],tblAnalysis[Date],Q425)))</f>
        <v/>
      </c>
      <c r="AA425" s="6" t="str">
        <f t="shared" si="118"/>
        <v/>
      </c>
      <c r="AB425" s="6" t="str">
        <f t="shared" ref="AB425:AB456" si="134">IF(R425="","",U425)</f>
        <v/>
      </c>
      <c r="AC425" s="27" t="str">
        <f t="shared" si="119"/>
        <v/>
      </c>
      <c r="AD425" s="10" t="str">
        <f t="shared" si="120"/>
        <v/>
      </c>
      <c r="AE425" s="10" t="str">
        <f t="shared" si="121"/>
        <v/>
      </c>
      <c r="AF425" s="10" t="str">
        <f t="shared" si="122"/>
        <v/>
      </c>
      <c r="AG425" s="10" t="str">
        <f t="shared" ref="AG425:AG456" si="135">IF(R425="","",(AB425-Y425)/$BK$1)</f>
        <v/>
      </c>
      <c r="AH425" t="str">
        <f t="shared" si="123"/>
        <v/>
      </c>
      <c r="AI425" t="str">
        <f t="shared" si="124"/>
        <v/>
      </c>
      <c r="AJ425" t="str">
        <f t="shared" ref="AJ425:AJ456" si="136">IF(R425="","",IF(AB425&lt;Y425,V425,0))</f>
        <v/>
      </c>
      <c r="AK425" t="str" cm="1">
        <f t="array" ref="AK425">IFERROR(IF(INDEX($A:$A,ROW())="","",INDEX($A:$A,ROW())),"")</f>
        <v/>
      </c>
      <c r="AL425" t="str" cm="1">
        <f t="array" ref="AL425">IFERROR(INDEX(tblTrades[sol_invested],ROW()-1),"")</f>
        <v/>
      </c>
      <c r="AM425" s="6" t="str" cm="1">
        <f t="array" ref="AM425">IFERROR(INDEX(tblAnalysis[P&amp;L SOL],ROW()-1),"")</f>
        <v/>
      </c>
      <c r="AN425" t="str" cm="1">
        <f t="array" ref="AN425">IFERROR(IF(INDEX(tblTrades[sol_invested],ROW()-1)&gt;0.5,INDEX(tblAnalysis[Token],ROW()-1)&amp;" ("&amp;TEXT(INDEX(tblTrades[sol_invested],ROW()-1),"0.0")&amp;" SOL)",""),"")</f>
        <v/>
      </c>
      <c r="AO425" s="7"/>
      <c r="AP425" s="12" t="str" cm="1">
        <f t="array" ref="AP425">IFERROR(INDEX(tblAnalysis[Entry MC ($)],ROW()-1),"")</f>
        <v/>
      </c>
      <c r="AQ425" s="10" t="str" cm="1">
        <f t="array" ref="AQ425">IFERROR(INDEX(tblAnalysis[P&amp;L %],ROW()-1),"")</f>
        <v/>
      </c>
      <c r="AR425" t="str" cm="1">
        <f t="array" ref="AR425">IFERROR(INDEX(tblAnalysis[Hold Time (s)],ROW()-1),"")</f>
        <v/>
      </c>
      <c r="AS425" s="6" t="str" cm="1">
        <f t="array" ref="AS425">IFERROR(INDEX(tblAnalysis[P&amp;L SOL],ROW()-1),"")</f>
        <v/>
      </c>
      <c r="AT425" s="6" t="str">
        <f t="array" ref="AT425">IFERROR(INDEX(tblAnalysis[P&amp;L SOL],ROW()-1),"")</f>
        <v/>
      </c>
      <c r="AZ425" s="10"/>
      <c r="BA425" s="10"/>
      <c r="BF425" t="str">
        <f t="shared" si="125"/>
        <v/>
      </c>
      <c r="BG425" s="27" t="str">
        <f t="shared" si="126"/>
        <v/>
      </c>
      <c r="BH425" t="str">
        <f t="shared" si="127"/>
        <v/>
      </c>
      <c r="BI425" t="str">
        <f t="shared" ref="BI425:BI456" si="137">IF(X425="","",-2.5)</f>
        <v/>
      </c>
      <c r="BL425" s="29" t="e">
        <f t="shared" si="132"/>
        <v>#N/A</v>
      </c>
      <c r="BM425" s="29" t="e">
        <f t="shared" si="133"/>
        <v>#N/A</v>
      </c>
    </row>
    <row r="426" spans="17:65" x14ac:dyDescent="0.35">
      <c r="Q426" s="27"/>
      <c r="R426" s="6" t="str">
        <f>IF(Q426="","",SUMIFS(tblAnalysis[P&amp;L SOL],tblAnalysis[Date],Q426))</f>
        <v/>
      </c>
      <c r="S426" s="10" t="str">
        <f>IF(Q426="","",SUMIFS(tblAnalysis[P&amp;L %],tblAnalysis[Date],Q426))</f>
        <v/>
      </c>
      <c r="T426" s="6" t="str">
        <f>IF(Q426="","",IFERROR(SUM($R$2:R426),""))</f>
        <v/>
      </c>
      <c r="U426" t="str">
        <f>IF(Q426="","",COUNTIFS(tblAnalysis[Date],Q426))</f>
        <v/>
      </c>
      <c r="V426" t="str">
        <f>IF(R426="","",COUNTIFS(tblAnalysis[Date],R426))</f>
        <v/>
      </c>
      <c r="W426" s="27" t="str">
        <f t="shared" si="116"/>
        <v/>
      </c>
      <c r="X426" s="6" t="str">
        <f t="shared" si="117"/>
        <v/>
      </c>
      <c r="Y426" s="6" t="str">
        <f>IF(Q426="","",MAX(X426,_xlfn.MAXIFS(tblAnalysis[Cum P&amp;L SOL],tblAnalysis[Date],Q426)))</f>
        <v/>
      </c>
      <c r="Z426" s="6" t="str">
        <f>IF(Q426="","",MIN(X426,_xlfn.MINIFS(tblAnalysis[Cum P&amp;L SOL],tblAnalysis[Date],Q426)))</f>
        <v/>
      </c>
      <c r="AA426" s="6" t="str">
        <f t="shared" si="118"/>
        <v/>
      </c>
      <c r="AB426" s="6" t="str">
        <f t="shared" si="134"/>
        <v/>
      </c>
      <c r="AC426" s="27" t="str">
        <f t="shared" si="119"/>
        <v/>
      </c>
      <c r="AD426" s="10" t="str">
        <f t="shared" si="120"/>
        <v/>
      </c>
      <c r="AE426" s="10" t="str">
        <f t="shared" si="121"/>
        <v/>
      </c>
      <c r="AF426" s="10" t="str">
        <f t="shared" si="122"/>
        <v/>
      </c>
      <c r="AG426" s="10" t="str">
        <f t="shared" si="135"/>
        <v/>
      </c>
      <c r="AH426" t="str">
        <f t="shared" si="123"/>
        <v/>
      </c>
      <c r="AI426" t="str">
        <f t="shared" si="124"/>
        <v/>
      </c>
      <c r="AJ426" t="str">
        <f t="shared" si="136"/>
        <v/>
      </c>
      <c r="AK426" t="str" cm="1">
        <f t="array" ref="AK426">IFERROR(IF(INDEX($A:$A,ROW())="","",INDEX($A:$A,ROW())),"")</f>
        <v/>
      </c>
      <c r="AL426" t="str" cm="1">
        <f t="array" ref="AL426">IFERROR(INDEX(tblTrades[sol_invested],ROW()-1),"")</f>
        <v/>
      </c>
      <c r="AM426" s="6" t="str" cm="1">
        <f t="array" ref="AM426">IFERROR(INDEX(tblAnalysis[P&amp;L SOL],ROW()-1),"")</f>
        <v/>
      </c>
      <c r="AN426" t="str" cm="1">
        <f t="array" ref="AN426">IFERROR(IF(INDEX(tblTrades[sol_invested],ROW()-1)&gt;0.5,INDEX(tblAnalysis[Token],ROW()-1)&amp;" ("&amp;TEXT(INDEX(tblTrades[sol_invested],ROW()-1),"0.0")&amp;" SOL)",""),"")</f>
        <v/>
      </c>
      <c r="AO426" s="7"/>
      <c r="AP426" s="12" t="str" cm="1">
        <f t="array" ref="AP426">IFERROR(INDEX(tblAnalysis[Entry MC ($)],ROW()-1),"")</f>
        <v/>
      </c>
      <c r="AQ426" s="10" t="str" cm="1">
        <f t="array" ref="AQ426">IFERROR(INDEX(tblAnalysis[P&amp;L %],ROW()-1),"")</f>
        <v/>
      </c>
      <c r="AR426" t="str" cm="1">
        <f t="array" ref="AR426">IFERROR(INDEX(tblAnalysis[Hold Time (s)],ROW()-1),"")</f>
        <v/>
      </c>
      <c r="AS426" s="6" t="str" cm="1">
        <f t="array" ref="AS426">IFERROR(INDEX(tblAnalysis[P&amp;L SOL],ROW()-1),"")</f>
        <v/>
      </c>
      <c r="AT426" s="6" t="str">
        <f t="array" ref="AT426">IFERROR(INDEX(tblAnalysis[P&amp;L SOL],ROW()-1),"")</f>
        <v/>
      </c>
      <c r="AZ426" s="10"/>
      <c r="BA426" s="10"/>
      <c r="BF426" t="str">
        <f t="shared" si="125"/>
        <v/>
      </c>
      <c r="BG426" s="27" t="str">
        <f t="shared" si="126"/>
        <v/>
      </c>
      <c r="BH426" t="str">
        <f t="shared" si="127"/>
        <v/>
      </c>
      <c r="BI426" t="str">
        <f t="shared" si="137"/>
        <v/>
      </c>
      <c r="BL426" s="29" t="e">
        <f t="shared" si="132"/>
        <v>#N/A</v>
      </c>
      <c r="BM426" s="29" t="e">
        <f t="shared" si="133"/>
        <v>#N/A</v>
      </c>
    </row>
    <row r="427" spans="17:65" x14ac:dyDescent="0.35">
      <c r="Q427" s="27"/>
      <c r="R427" s="6" t="str">
        <f>IF(Q427="","",SUMIFS(tblAnalysis[P&amp;L SOL],tblAnalysis[Date],Q427))</f>
        <v/>
      </c>
      <c r="S427" s="10" t="str">
        <f>IF(Q427="","",SUMIFS(tblAnalysis[P&amp;L %],tblAnalysis[Date],Q427))</f>
        <v/>
      </c>
      <c r="T427" s="6" t="str">
        <f>IF(Q427="","",IFERROR(SUM($R$2:R427),""))</f>
        <v/>
      </c>
      <c r="U427" t="str">
        <f>IF(Q427="","",COUNTIFS(tblAnalysis[Date],Q427))</f>
        <v/>
      </c>
      <c r="V427" t="str">
        <f>IF(R427="","",COUNTIFS(tblAnalysis[Date],R427))</f>
        <v/>
      </c>
      <c r="W427" s="27" t="str">
        <f t="shared" si="116"/>
        <v/>
      </c>
      <c r="X427" s="6" t="str">
        <f t="shared" si="117"/>
        <v/>
      </c>
      <c r="Y427" s="6" t="str">
        <f>IF(Q427="","",MAX(X427,_xlfn.MAXIFS(tblAnalysis[Cum P&amp;L SOL],tblAnalysis[Date],Q427)))</f>
        <v/>
      </c>
      <c r="Z427" s="6" t="str">
        <f>IF(Q427="","",MIN(X427,_xlfn.MINIFS(tblAnalysis[Cum P&amp;L SOL],tblAnalysis[Date],Q427)))</f>
        <v/>
      </c>
      <c r="AA427" s="6" t="str">
        <f t="shared" si="118"/>
        <v/>
      </c>
      <c r="AB427" s="6" t="str">
        <f t="shared" si="134"/>
        <v/>
      </c>
      <c r="AC427" s="27" t="str">
        <f t="shared" si="119"/>
        <v/>
      </c>
      <c r="AD427" s="10" t="str">
        <f t="shared" si="120"/>
        <v/>
      </c>
      <c r="AE427" s="10" t="str">
        <f t="shared" si="121"/>
        <v/>
      </c>
      <c r="AF427" s="10" t="str">
        <f t="shared" si="122"/>
        <v/>
      </c>
      <c r="AG427" s="10" t="str">
        <f t="shared" si="135"/>
        <v/>
      </c>
      <c r="AH427" t="str">
        <f t="shared" si="123"/>
        <v/>
      </c>
      <c r="AI427" t="str">
        <f t="shared" si="124"/>
        <v/>
      </c>
      <c r="AJ427" t="str">
        <f t="shared" si="136"/>
        <v/>
      </c>
      <c r="AK427" t="str" cm="1">
        <f t="array" ref="AK427">IFERROR(IF(INDEX($A:$A,ROW())="","",INDEX($A:$A,ROW())),"")</f>
        <v/>
      </c>
      <c r="AL427" t="str" cm="1">
        <f t="array" ref="AL427">IFERROR(INDEX(tblTrades[sol_invested],ROW()-1),"")</f>
        <v/>
      </c>
      <c r="AM427" s="6" t="str" cm="1">
        <f t="array" ref="AM427">IFERROR(INDEX(tblAnalysis[P&amp;L SOL],ROW()-1),"")</f>
        <v/>
      </c>
      <c r="AN427" t="str" cm="1">
        <f t="array" ref="AN427">IFERROR(IF(INDEX(tblTrades[sol_invested],ROW()-1)&gt;0.5,INDEX(tblAnalysis[Token],ROW()-1)&amp;" ("&amp;TEXT(INDEX(tblTrades[sol_invested],ROW()-1),"0.0")&amp;" SOL)",""),"")</f>
        <v/>
      </c>
      <c r="AO427" s="7"/>
      <c r="AP427" s="12" t="str" cm="1">
        <f t="array" ref="AP427">IFERROR(INDEX(tblAnalysis[Entry MC ($)],ROW()-1),"")</f>
        <v/>
      </c>
      <c r="AQ427" s="10" t="str" cm="1">
        <f t="array" ref="AQ427">IFERROR(INDEX(tblAnalysis[P&amp;L %],ROW()-1),"")</f>
        <v/>
      </c>
      <c r="AR427" t="str" cm="1">
        <f t="array" ref="AR427">IFERROR(INDEX(tblAnalysis[Hold Time (s)],ROW()-1),"")</f>
        <v/>
      </c>
      <c r="AS427" s="6" t="str" cm="1">
        <f t="array" ref="AS427">IFERROR(INDEX(tblAnalysis[P&amp;L SOL],ROW()-1),"")</f>
        <v/>
      </c>
      <c r="AT427" s="6" t="str">
        <f t="array" ref="AT427">IFERROR(INDEX(tblAnalysis[P&amp;L SOL],ROW()-1),"")</f>
        <v/>
      </c>
      <c r="AZ427" s="10"/>
      <c r="BA427" s="10"/>
      <c r="BF427" t="str">
        <f t="shared" si="125"/>
        <v/>
      </c>
      <c r="BG427" s="27" t="str">
        <f t="shared" si="126"/>
        <v/>
      </c>
      <c r="BH427" t="str">
        <f t="shared" si="127"/>
        <v/>
      </c>
      <c r="BI427" t="str">
        <f t="shared" si="137"/>
        <v/>
      </c>
      <c r="BL427" s="29" t="e">
        <f t="shared" si="132"/>
        <v>#N/A</v>
      </c>
      <c r="BM427" s="29" t="e">
        <f t="shared" si="133"/>
        <v>#N/A</v>
      </c>
    </row>
    <row r="428" spans="17:65" x14ac:dyDescent="0.35">
      <c r="Q428" s="27"/>
      <c r="R428" s="6" t="str">
        <f>IF(Q428="","",SUMIFS(tblAnalysis[P&amp;L SOL],tblAnalysis[Date],Q428))</f>
        <v/>
      </c>
      <c r="S428" s="10" t="str">
        <f>IF(Q428="","",SUMIFS(tblAnalysis[P&amp;L %],tblAnalysis[Date],Q428))</f>
        <v/>
      </c>
      <c r="T428" s="6" t="str">
        <f>IF(Q428="","",IFERROR(SUM($R$2:R428),""))</f>
        <v/>
      </c>
      <c r="U428" t="str">
        <f>IF(Q428="","",COUNTIFS(tblAnalysis[Date],Q428))</f>
        <v/>
      </c>
      <c r="V428" t="str">
        <f>IF(R428="","",COUNTIFS(tblAnalysis[Date],R428))</f>
        <v/>
      </c>
      <c r="W428" s="27" t="str">
        <f t="shared" si="116"/>
        <v/>
      </c>
      <c r="X428" s="6" t="str">
        <f t="shared" si="117"/>
        <v/>
      </c>
      <c r="Y428" s="6" t="str">
        <f>IF(Q428="","",MAX(X428,_xlfn.MAXIFS(tblAnalysis[Cum P&amp;L SOL],tblAnalysis[Date],Q428)))</f>
        <v/>
      </c>
      <c r="Z428" s="6" t="str">
        <f>IF(Q428="","",MIN(X428,_xlfn.MINIFS(tblAnalysis[Cum P&amp;L SOL],tblAnalysis[Date],Q428)))</f>
        <v/>
      </c>
      <c r="AA428" s="6" t="str">
        <f t="shared" si="118"/>
        <v/>
      </c>
      <c r="AB428" s="6" t="str">
        <f t="shared" si="134"/>
        <v/>
      </c>
      <c r="AC428" s="27" t="str">
        <f t="shared" si="119"/>
        <v/>
      </c>
      <c r="AD428" s="10" t="str">
        <f t="shared" si="120"/>
        <v/>
      </c>
      <c r="AE428" s="10" t="str">
        <f t="shared" si="121"/>
        <v/>
      </c>
      <c r="AF428" s="10" t="str">
        <f t="shared" si="122"/>
        <v/>
      </c>
      <c r="AG428" s="10" t="str">
        <f t="shared" si="135"/>
        <v/>
      </c>
      <c r="AH428" t="str">
        <f t="shared" si="123"/>
        <v/>
      </c>
      <c r="AI428" t="str">
        <f t="shared" si="124"/>
        <v/>
      </c>
      <c r="AJ428" t="str">
        <f t="shared" si="136"/>
        <v/>
      </c>
      <c r="AK428" t="str" cm="1">
        <f t="array" ref="AK428">IFERROR(IF(INDEX($A:$A,ROW())="","",INDEX($A:$A,ROW())),"")</f>
        <v/>
      </c>
      <c r="AL428" t="str" cm="1">
        <f t="array" ref="AL428">IFERROR(INDEX(tblTrades[sol_invested],ROW()-1),"")</f>
        <v/>
      </c>
      <c r="AM428" s="6" t="str" cm="1">
        <f t="array" ref="AM428">IFERROR(INDEX(tblAnalysis[P&amp;L SOL],ROW()-1),"")</f>
        <v/>
      </c>
      <c r="AN428" t="str" cm="1">
        <f t="array" ref="AN428">IFERROR(IF(INDEX(tblTrades[sol_invested],ROW()-1)&gt;0.5,INDEX(tblAnalysis[Token],ROW()-1)&amp;" ("&amp;TEXT(INDEX(tblTrades[sol_invested],ROW()-1),"0.0")&amp;" SOL)",""),"")</f>
        <v/>
      </c>
      <c r="AO428" s="7"/>
      <c r="AP428" s="12" t="str" cm="1">
        <f t="array" ref="AP428">IFERROR(INDEX(tblAnalysis[Entry MC ($)],ROW()-1),"")</f>
        <v/>
      </c>
      <c r="AQ428" s="10" t="str" cm="1">
        <f t="array" ref="AQ428">IFERROR(INDEX(tblAnalysis[P&amp;L %],ROW()-1),"")</f>
        <v/>
      </c>
      <c r="AR428" t="str" cm="1">
        <f t="array" ref="AR428">IFERROR(INDEX(tblAnalysis[Hold Time (s)],ROW()-1),"")</f>
        <v/>
      </c>
      <c r="AS428" s="6" t="str" cm="1">
        <f t="array" ref="AS428">IFERROR(INDEX(tblAnalysis[P&amp;L SOL],ROW()-1),"")</f>
        <v/>
      </c>
      <c r="AT428" s="6" t="str">
        <f t="array" ref="AT428">IFERROR(INDEX(tblAnalysis[P&amp;L SOL],ROW()-1),"")</f>
        <v/>
      </c>
      <c r="AZ428" s="10"/>
      <c r="BA428" s="10"/>
      <c r="BF428" t="str">
        <f t="shared" si="125"/>
        <v/>
      </c>
      <c r="BG428" s="27" t="str">
        <f t="shared" si="126"/>
        <v/>
      </c>
      <c r="BH428" t="str">
        <f t="shared" si="127"/>
        <v/>
      </c>
      <c r="BI428" t="str">
        <f t="shared" si="137"/>
        <v/>
      </c>
      <c r="BL428" s="29" t="e">
        <f t="shared" si="132"/>
        <v>#N/A</v>
      </c>
      <c r="BM428" s="29" t="e">
        <f t="shared" si="133"/>
        <v>#N/A</v>
      </c>
    </row>
    <row r="429" spans="17:65" x14ac:dyDescent="0.35">
      <c r="Q429" s="27"/>
      <c r="R429" s="6" t="str">
        <f>IF(Q429="","",SUMIFS(tblAnalysis[P&amp;L SOL],tblAnalysis[Date],Q429))</f>
        <v/>
      </c>
      <c r="S429" s="10" t="str">
        <f>IF(Q429="","",SUMIFS(tblAnalysis[P&amp;L %],tblAnalysis[Date],Q429))</f>
        <v/>
      </c>
      <c r="T429" s="6" t="str">
        <f>IF(Q429="","",IFERROR(SUM($R$2:R429),""))</f>
        <v/>
      </c>
      <c r="U429" t="str">
        <f>IF(Q429="","",COUNTIFS(tblAnalysis[Date],Q429))</f>
        <v/>
      </c>
      <c r="V429" t="str">
        <f>IF(R429="","",COUNTIFS(tblAnalysis[Date],R429))</f>
        <v/>
      </c>
      <c r="W429" s="27" t="str">
        <f t="shared" si="116"/>
        <v/>
      </c>
      <c r="X429" s="6" t="str">
        <f t="shared" si="117"/>
        <v/>
      </c>
      <c r="Y429" s="6" t="str">
        <f>IF(Q429="","",MAX(X429,_xlfn.MAXIFS(tblAnalysis[Cum P&amp;L SOL],tblAnalysis[Date],Q429)))</f>
        <v/>
      </c>
      <c r="Z429" s="6" t="str">
        <f>IF(Q429="","",MIN(X429,_xlfn.MINIFS(tblAnalysis[Cum P&amp;L SOL],tblAnalysis[Date],Q429)))</f>
        <v/>
      </c>
      <c r="AA429" s="6" t="str">
        <f t="shared" si="118"/>
        <v/>
      </c>
      <c r="AB429" s="6" t="str">
        <f t="shared" si="134"/>
        <v/>
      </c>
      <c r="AC429" s="27" t="str">
        <f t="shared" si="119"/>
        <v/>
      </c>
      <c r="AD429" s="10" t="str">
        <f t="shared" si="120"/>
        <v/>
      </c>
      <c r="AE429" s="10" t="str">
        <f t="shared" si="121"/>
        <v/>
      </c>
      <c r="AF429" s="10" t="str">
        <f t="shared" si="122"/>
        <v/>
      </c>
      <c r="AG429" s="10" t="str">
        <f t="shared" si="135"/>
        <v/>
      </c>
      <c r="AH429" t="str">
        <f t="shared" si="123"/>
        <v/>
      </c>
      <c r="AI429" t="str">
        <f t="shared" si="124"/>
        <v/>
      </c>
      <c r="AJ429" t="str">
        <f t="shared" si="136"/>
        <v/>
      </c>
      <c r="AK429" t="str" cm="1">
        <f t="array" ref="AK429">IFERROR(IF(INDEX($A:$A,ROW())="","",INDEX($A:$A,ROW())),"")</f>
        <v/>
      </c>
      <c r="AL429" t="str" cm="1">
        <f t="array" ref="AL429">IFERROR(INDEX(tblTrades[sol_invested],ROW()-1),"")</f>
        <v/>
      </c>
      <c r="AM429" s="6" t="str" cm="1">
        <f t="array" ref="AM429">IFERROR(INDEX(tblAnalysis[P&amp;L SOL],ROW()-1),"")</f>
        <v/>
      </c>
      <c r="AN429" t="str" cm="1">
        <f t="array" ref="AN429">IFERROR(IF(INDEX(tblTrades[sol_invested],ROW()-1)&gt;0.5,INDEX(tblAnalysis[Token],ROW()-1)&amp;" ("&amp;TEXT(INDEX(tblTrades[sol_invested],ROW()-1),"0.0")&amp;" SOL)",""),"")</f>
        <v/>
      </c>
      <c r="AO429" s="7"/>
      <c r="AP429" s="12" t="str" cm="1">
        <f t="array" ref="AP429">IFERROR(INDEX(tblAnalysis[Entry MC ($)],ROW()-1),"")</f>
        <v/>
      </c>
      <c r="AQ429" s="10" t="str" cm="1">
        <f t="array" ref="AQ429">IFERROR(INDEX(tblAnalysis[P&amp;L %],ROW()-1),"")</f>
        <v/>
      </c>
      <c r="AR429" t="str" cm="1">
        <f t="array" ref="AR429">IFERROR(INDEX(tblAnalysis[Hold Time (s)],ROW()-1),"")</f>
        <v/>
      </c>
      <c r="AS429" s="6" t="str" cm="1">
        <f t="array" ref="AS429">IFERROR(INDEX(tblAnalysis[P&amp;L SOL],ROW()-1),"")</f>
        <v/>
      </c>
      <c r="AT429" s="6" t="str">
        <f t="array" ref="AT429">IFERROR(INDEX(tblAnalysis[P&amp;L SOL],ROW()-1),"")</f>
        <v/>
      </c>
      <c r="AZ429" s="10"/>
      <c r="BA429" s="10"/>
      <c r="BF429" t="str">
        <f t="shared" si="125"/>
        <v/>
      </c>
      <c r="BG429" s="27" t="str">
        <f t="shared" si="126"/>
        <v/>
      </c>
      <c r="BH429" t="str">
        <f t="shared" si="127"/>
        <v/>
      </c>
      <c r="BI429" t="str">
        <f t="shared" si="137"/>
        <v/>
      </c>
      <c r="BL429" s="29" t="e">
        <f t="shared" si="132"/>
        <v>#N/A</v>
      </c>
      <c r="BM429" s="29" t="e">
        <f t="shared" si="133"/>
        <v>#N/A</v>
      </c>
    </row>
    <row r="430" spans="17:65" x14ac:dyDescent="0.35">
      <c r="Q430" s="27"/>
      <c r="R430" s="6" t="str">
        <f>IF(Q430="","",SUMIFS(tblAnalysis[P&amp;L SOL],tblAnalysis[Date],Q430))</f>
        <v/>
      </c>
      <c r="S430" s="10" t="str">
        <f>IF(Q430="","",SUMIFS(tblAnalysis[P&amp;L %],tblAnalysis[Date],Q430))</f>
        <v/>
      </c>
      <c r="T430" s="6" t="str">
        <f>IF(Q430="","",IFERROR(SUM($R$2:R430),""))</f>
        <v/>
      </c>
      <c r="U430" t="str">
        <f>IF(Q430="","",COUNTIFS(tblAnalysis[Date],Q430))</f>
        <v/>
      </c>
      <c r="V430" t="str">
        <f>IF(R430="","",COUNTIFS(tblAnalysis[Date],R430))</f>
        <v/>
      </c>
      <c r="W430" s="27" t="str">
        <f t="shared" si="116"/>
        <v/>
      </c>
      <c r="X430" s="6" t="str">
        <f t="shared" si="117"/>
        <v/>
      </c>
      <c r="Y430" s="6" t="str">
        <f>IF(Q430="","",MAX(X430,_xlfn.MAXIFS(tblAnalysis[Cum P&amp;L SOL],tblAnalysis[Date],Q430)))</f>
        <v/>
      </c>
      <c r="Z430" s="6" t="str">
        <f>IF(Q430="","",MIN(X430,_xlfn.MINIFS(tblAnalysis[Cum P&amp;L SOL],tblAnalysis[Date],Q430)))</f>
        <v/>
      </c>
      <c r="AA430" s="6" t="str">
        <f t="shared" si="118"/>
        <v/>
      </c>
      <c r="AB430" s="6" t="str">
        <f t="shared" si="134"/>
        <v/>
      </c>
      <c r="AC430" s="27" t="str">
        <f t="shared" si="119"/>
        <v/>
      </c>
      <c r="AD430" s="10" t="str">
        <f t="shared" si="120"/>
        <v/>
      </c>
      <c r="AE430" s="10" t="str">
        <f t="shared" si="121"/>
        <v/>
      </c>
      <c r="AF430" s="10" t="str">
        <f t="shared" si="122"/>
        <v/>
      </c>
      <c r="AG430" s="10" t="str">
        <f t="shared" si="135"/>
        <v/>
      </c>
      <c r="AH430" t="str">
        <f t="shared" si="123"/>
        <v/>
      </c>
      <c r="AI430" t="str">
        <f t="shared" si="124"/>
        <v/>
      </c>
      <c r="AJ430" t="str">
        <f t="shared" si="136"/>
        <v/>
      </c>
      <c r="AK430" t="str" cm="1">
        <f t="array" ref="AK430">IFERROR(IF(INDEX($A:$A,ROW())="","",INDEX($A:$A,ROW())),"")</f>
        <v/>
      </c>
      <c r="AL430" t="str" cm="1">
        <f t="array" ref="AL430">IFERROR(INDEX(tblTrades[sol_invested],ROW()-1),"")</f>
        <v/>
      </c>
      <c r="AM430" s="6" t="str" cm="1">
        <f t="array" ref="AM430">IFERROR(INDEX(tblAnalysis[P&amp;L SOL],ROW()-1),"")</f>
        <v/>
      </c>
      <c r="AN430" t="str" cm="1">
        <f t="array" ref="AN430">IFERROR(IF(INDEX(tblTrades[sol_invested],ROW()-1)&gt;0.5,INDEX(tblAnalysis[Token],ROW()-1)&amp;" ("&amp;TEXT(INDEX(tblTrades[sol_invested],ROW()-1),"0.0")&amp;" SOL)",""),"")</f>
        <v/>
      </c>
      <c r="AO430" s="7"/>
      <c r="AP430" s="12" t="str" cm="1">
        <f t="array" ref="AP430">IFERROR(INDEX(tblAnalysis[Entry MC ($)],ROW()-1),"")</f>
        <v/>
      </c>
      <c r="AQ430" s="10" t="str" cm="1">
        <f t="array" ref="AQ430">IFERROR(INDEX(tblAnalysis[P&amp;L %],ROW()-1),"")</f>
        <v/>
      </c>
      <c r="AR430" t="str" cm="1">
        <f t="array" ref="AR430">IFERROR(INDEX(tblAnalysis[Hold Time (s)],ROW()-1),"")</f>
        <v/>
      </c>
      <c r="AS430" s="6" t="str" cm="1">
        <f t="array" ref="AS430">IFERROR(INDEX(tblAnalysis[P&amp;L SOL],ROW()-1),"")</f>
        <v/>
      </c>
      <c r="AT430" s="6" t="str">
        <f t="array" ref="AT430">IFERROR(INDEX(tblAnalysis[P&amp;L SOL],ROW()-1),"")</f>
        <v/>
      </c>
      <c r="AZ430" s="10"/>
      <c r="BA430" s="10"/>
      <c r="BF430" t="str">
        <f t="shared" si="125"/>
        <v/>
      </c>
      <c r="BG430" s="27" t="str">
        <f t="shared" si="126"/>
        <v/>
      </c>
      <c r="BH430" t="str">
        <f t="shared" si="127"/>
        <v/>
      </c>
      <c r="BI430" t="str">
        <f t="shared" si="137"/>
        <v/>
      </c>
      <c r="BL430" s="29" t="e">
        <f t="shared" si="132"/>
        <v>#N/A</v>
      </c>
      <c r="BM430" s="29" t="e">
        <f t="shared" si="133"/>
        <v>#N/A</v>
      </c>
    </row>
    <row r="431" spans="17:65" x14ac:dyDescent="0.35">
      <c r="Q431" s="27"/>
      <c r="R431" s="6" t="str">
        <f>IF(Q431="","",SUMIFS(tblAnalysis[P&amp;L SOL],tblAnalysis[Date],Q431))</f>
        <v/>
      </c>
      <c r="S431" s="10" t="str">
        <f>IF(Q431="","",SUMIFS(tblAnalysis[P&amp;L %],tblAnalysis[Date],Q431))</f>
        <v/>
      </c>
      <c r="T431" s="6" t="str">
        <f>IF(Q431="","",IFERROR(SUM($R$2:R431),""))</f>
        <v/>
      </c>
      <c r="U431" t="str">
        <f>IF(Q431="","",COUNTIFS(tblAnalysis[Date],Q431))</f>
        <v/>
      </c>
      <c r="V431" t="str">
        <f>IF(R431="","",COUNTIFS(tblAnalysis[Date],R431))</f>
        <v/>
      </c>
      <c r="W431" s="27" t="str">
        <f t="shared" si="116"/>
        <v/>
      </c>
      <c r="X431" s="6" t="str">
        <f t="shared" si="117"/>
        <v/>
      </c>
      <c r="Y431" s="6" t="str">
        <f>IF(Q431="","",MAX(X431,_xlfn.MAXIFS(tblAnalysis[Cum P&amp;L SOL],tblAnalysis[Date],Q431)))</f>
        <v/>
      </c>
      <c r="Z431" s="6" t="str">
        <f>IF(Q431="","",MIN(X431,_xlfn.MINIFS(tblAnalysis[Cum P&amp;L SOL],tblAnalysis[Date],Q431)))</f>
        <v/>
      </c>
      <c r="AA431" s="6" t="str">
        <f t="shared" si="118"/>
        <v/>
      </c>
      <c r="AB431" s="6" t="str">
        <f t="shared" si="134"/>
        <v/>
      </c>
      <c r="AC431" s="27" t="str">
        <f t="shared" si="119"/>
        <v/>
      </c>
      <c r="AD431" s="10" t="str">
        <f t="shared" si="120"/>
        <v/>
      </c>
      <c r="AE431" s="10" t="str">
        <f t="shared" si="121"/>
        <v/>
      </c>
      <c r="AF431" s="10" t="str">
        <f t="shared" si="122"/>
        <v/>
      </c>
      <c r="AG431" s="10" t="str">
        <f t="shared" si="135"/>
        <v/>
      </c>
      <c r="AH431" t="str">
        <f t="shared" si="123"/>
        <v/>
      </c>
      <c r="AI431" t="str">
        <f t="shared" si="124"/>
        <v/>
      </c>
      <c r="AJ431" t="str">
        <f t="shared" si="136"/>
        <v/>
      </c>
      <c r="AK431" t="str" cm="1">
        <f t="array" ref="AK431">IFERROR(IF(INDEX($A:$A,ROW())="","",INDEX($A:$A,ROW())),"")</f>
        <v/>
      </c>
      <c r="AL431" t="str" cm="1">
        <f t="array" ref="AL431">IFERROR(INDEX(tblTrades[sol_invested],ROW()-1),"")</f>
        <v/>
      </c>
      <c r="AM431" s="6" t="str" cm="1">
        <f t="array" ref="AM431">IFERROR(INDEX(tblAnalysis[P&amp;L SOL],ROW()-1),"")</f>
        <v/>
      </c>
      <c r="AN431" t="str" cm="1">
        <f t="array" ref="AN431">IFERROR(IF(INDEX(tblTrades[sol_invested],ROW()-1)&gt;0.5,INDEX(tblAnalysis[Token],ROW()-1)&amp;" ("&amp;TEXT(INDEX(tblTrades[sol_invested],ROW()-1),"0.0")&amp;" SOL)",""),"")</f>
        <v/>
      </c>
      <c r="AO431" s="7"/>
      <c r="AP431" s="12" t="str" cm="1">
        <f t="array" ref="AP431">IFERROR(INDEX(tblAnalysis[Entry MC ($)],ROW()-1),"")</f>
        <v/>
      </c>
      <c r="AQ431" s="10" t="str" cm="1">
        <f t="array" ref="AQ431">IFERROR(INDEX(tblAnalysis[P&amp;L %],ROW()-1),"")</f>
        <v/>
      </c>
      <c r="AR431" t="str" cm="1">
        <f t="array" ref="AR431">IFERROR(INDEX(tblAnalysis[Hold Time (s)],ROW()-1),"")</f>
        <v/>
      </c>
      <c r="AS431" s="6" t="str" cm="1">
        <f t="array" ref="AS431">IFERROR(INDEX(tblAnalysis[P&amp;L SOL],ROW()-1),"")</f>
        <v/>
      </c>
      <c r="AT431" s="6" t="str">
        <f t="array" ref="AT431">IFERROR(INDEX(tblAnalysis[P&amp;L SOL],ROW()-1),"")</f>
        <v/>
      </c>
      <c r="AZ431" s="10"/>
      <c r="BA431" s="10"/>
      <c r="BF431" t="str">
        <f t="shared" si="125"/>
        <v/>
      </c>
      <c r="BG431" s="27" t="str">
        <f t="shared" si="126"/>
        <v/>
      </c>
      <c r="BH431" t="str">
        <f t="shared" si="127"/>
        <v/>
      </c>
      <c r="BI431" t="str">
        <f t="shared" si="137"/>
        <v/>
      </c>
      <c r="BL431" s="29" t="e">
        <f t="shared" si="132"/>
        <v>#N/A</v>
      </c>
      <c r="BM431" s="29" t="e">
        <f t="shared" si="133"/>
        <v>#N/A</v>
      </c>
    </row>
    <row r="432" spans="17:65" x14ac:dyDescent="0.35">
      <c r="Q432" s="27"/>
      <c r="R432" s="6" t="str">
        <f>IF(Q432="","",SUMIFS(tblAnalysis[P&amp;L SOL],tblAnalysis[Date],Q432))</f>
        <v/>
      </c>
      <c r="S432" s="10" t="str">
        <f>IF(Q432="","",SUMIFS(tblAnalysis[P&amp;L %],tblAnalysis[Date],Q432))</f>
        <v/>
      </c>
      <c r="T432" s="6" t="str">
        <f>IF(Q432="","",IFERROR(SUM($R$2:R432),""))</f>
        <v/>
      </c>
      <c r="U432" t="str">
        <f>IF(Q432="","",COUNTIFS(tblAnalysis[Date],Q432))</f>
        <v/>
      </c>
      <c r="V432" t="str">
        <f>IF(R432="","",COUNTIFS(tblAnalysis[Date],R432))</f>
        <v/>
      </c>
      <c r="W432" s="27" t="str">
        <f t="shared" si="116"/>
        <v/>
      </c>
      <c r="X432" s="6" t="str">
        <f t="shared" si="117"/>
        <v/>
      </c>
      <c r="Y432" s="6" t="str">
        <f>IF(Q432="","",MAX(X432,_xlfn.MAXIFS(tblAnalysis[Cum P&amp;L SOL],tblAnalysis[Date],Q432)))</f>
        <v/>
      </c>
      <c r="Z432" s="6" t="str">
        <f>IF(Q432="","",MIN(X432,_xlfn.MINIFS(tblAnalysis[Cum P&amp;L SOL],tblAnalysis[Date],Q432)))</f>
        <v/>
      </c>
      <c r="AA432" s="6" t="str">
        <f t="shared" si="118"/>
        <v/>
      </c>
      <c r="AB432" s="6" t="str">
        <f t="shared" si="134"/>
        <v/>
      </c>
      <c r="AC432" s="27" t="str">
        <f t="shared" si="119"/>
        <v/>
      </c>
      <c r="AD432" s="10" t="str">
        <f t="shared" si="120"/>
        <v/>
      </c>
      <c r="AE432" s="10" t="str">
        <f t="shared" si="121"/>
        <v/>
      </c>
      <c r="AF432" s="10" t="str">
        <f t="shared" si="122"/>
        <v/>
      </c>
      <c r="AG432" s="10" t="str">
        <f t="shared" si="135"/>
        <v/>
      </c>
      <c r="AH432" t="str">
        <f t="shared" si="123"/>
        <v/>
      </c>
      <c r="AI432" t="str">
        <f t="shared" si="124"/>
        <v/>
      </c>
      <c r="AJ432" t="str">
        <f t="shared" si="136"/>
        <v/>
      </c>
      <c r="AK432" t="str" cm="1">
        <f t="array" ref="AK432">IFERROR(IF(INDEX($A:$A,ROW())="","",INDEX($A:$A,ROW())),"")</f>
        <v/>
      </c>
      <c r="AL432" t="str" cm="1">
        <f t="array" ref="AL432">IFERROR(INDEX(tblTrades[sol_invested],ROW()-1),"")</f>
        <v/>
      </c>
      <c r="AM432" s="6" t="str" cm="1">
        <f t="array" ref="AM432">IFERROR(INDEX(tblAnalysis[P&amp;L SOL],ROW()-1),"")</f>
        <v/>
      </c>
      <c r="AN432" t="str" cm="1">
        <f t="array" ref="AN432">IFERROR(IF(INDEX(tblTrades[sol_invested],ROW()-1)&gt;0.5,INDEX(tblAnalysis[Token],ROW()-1)&amp;" ("&amp;TEXT(INDEX(tblTrades[sol_invested],ROW()-1),"0.0")&amp;" SOL)",""),"")</f>
        <v/>
      </c>
      <c r="AO432" s="7"/>
      <c r="AP432" s="12" t="str" cm="1">
        <f t="array" ref="AP432">IFERROR(INDEX(tblAnalysis[Entry MC ($)],ROW()-1),"")</f>
        <v/>
      </c>
      <c r="AQ432" s="10" t="str" cm="1">
        <f t="array" ref="AQ432">IFERROR(INDEX(tblAnalysis[P&amp;L %],ROW()-1),"")</f>
        <v/>
      </c>
      <c r="AR432" t="str" cm="1">
        <f t="array" ref="AR432">IFERROR(INDEX(tblAnalysis[Hold Time (s)],ROW()-1),"")</f>
        <v/>
      </c>
      <c r="AS432" s="6" t="str" cm="1">
        <f t="array" ref="AS432">IFERROR(INDEX(tblAnalysis[P&amp;L SOL],ROW()-1),"")</f>
        <v/>
      </c>
      <c r="AT432" s="6" t="str">
        <f t="array" ref="AT432">IFERROR(INDEX(tblAnalysis[P&amp;L SOL],ROW()-1),"")</f>
        <v/>
      </c>
      <c r="AZ432" s="10"/>
      <c r="BA432" s="10"/>
      <c r="BF432" t="str">
        <f t="shared" si="125"/>
        <v/>
      </c>
      <c r="BG432" s="27" t="str">
        <f t="shared" si="126"/>
        <v/>
      </c>
      <c r="BH432" t="str">
        <f t="shared" si="127"/>
        <v/>
      </c>
      <c r="BI432" t="str">
        <f t="shared" si="137"/>
        <v/>
      </c>
      <c r="BL432" s="29" t="e">
        <f t="shared" si="132"/>
        <v>#N/A</v>
      </c>
      <c r="BM432" s="29" t="e">
        <f t="shared" si="133"/>
        <v>#N/A</v>
      </c>
    </row>
    <row r="433" spans="17:65" x14ac:dyDescent="0.35">
      <c r="Q433" s="27"/>
      <c r="R433" s="6" t="str">
        <f>IF(Q433="","",SUMIFS(tblAnalysis[P&amp;L SOL],tblAnalysis[Date],Q433))</f>
        <v/>
      </c>
      <c r="S433" s="10" t="str">
        <f>IF(Q433="","",SUMIFS(tblAnalysis[P&amp;L %],tblAnalysis[Date],Q433))</f>
        <v/>
      </c>
      <c r="T433" s="6" t="str">
        <f>IF(Q433="","",IFERROR(SUM($R$2:R433),""))</f>
        <v/>
      </c>
      <c r="U433" t="str">
        <f>IF(Q433="","",COUNTIFS(tblAnalysis[Date],Q433))</f>
        <v/>
      </c>
      <c r="V433" t="str">
        <f>IF(R433="","",COUNTIFS(tblAnalysis[Date],R433))</f>
        <v/>
      </c>
      <c r="W433" s="27" t="str">
        <f t="shared" si="116"/>
        <v/>
      </c>
      <c r="X433" s="6" t="str">
        <f t="shared" si="117"/>
        <v/>
      </c>
      <c r="Y433" s="6" t="str">
        <f>IF(Q433="","",MAX(X433,_xlfn.MAXIFS(tblAnalysis[Cum P&amp;L SOL],tblAnalysis[Date],Q433)))</f>
        <v/>
      </c>
      <c r="Z433" s="6" t="str">
        <f>IF(Q433="","",MIN(X433,_xlfn.MINIFS(tblAnalysis[Cum P&amp;L SOL],tblAnalysis[Date],Q433)))</f>
        <v/>
      </c>
      <c r="AA433" s="6" t="str">
        <f t="shared" si="118"/>
        <v/>
      </c>
      <c r="AB433" s="6" t="str">
        <f t="shared" si="134"/>
        <v/>
      </c>
      <c r="AC433" s="27" t="str">
        <f t="shared" si="119"/>
        <v/>
      </c>
      <c r="AD433" s="10" t="str">
        <f t="shared" si="120"/>
        <v/>
      </c>
      <c r="AE433" s="10" t="str">
        <f t="shared" si="121"/>
        <v/>
      </c>
      <c r="AF433" s="10" t="str">
        <f t="shared" si="122"/>
        <v/>
      </c>
      <c r="AG433" s="10" t="str">
        <f t="shared" si="135"/>
        <v/>
      </c>
      <c r="AH433" t="str">
        <f t="shared" si="123"/>
        <v/>
      </c>
      <c r="AI433" t="str">
        <f t="shared" si="124"/>
        <v/>
      </c>
      <c r="AJ433" t="str">
        <f t="shared" si="136"/>
        <v/>
      </c>
      <c r="AK433" t="str" cm="1">
        <f t="array" ref="AK433">IFERROR(IF(INDEX($A:$A,ROW())="","",INDEX($A:$A,ROW())),"")</f>
        <v/>
      </c>
      <c r="AL433" t="str" cm="1">
        <f t="array" ref="AL433">IFERROR(INDEX(tblTrades[sol_invested],ROW()-1),"")</f>
        <v/>
      </c>
      <c r="AM433" s="6" t="str" cm="1">
        <f t="array" ref="AM433">IFERROR(INDEX(tblAnalysis[P&amp;L SOL],ROW()-1),"")</f>
        <v/>
      </c>
      <c r="AN433" t="str" cm="1">
        <f t="array" ref="AN433">IFERROR(IF(INDEX(tblTrades[sol_invested],ROW()-1)&gt;0.5,INDEX(tblAnalysis[Token],ROW()-1)&amp;" ("&amp;TEXT(INDEX(tblTrades[sol_invested],ROW()-1),"0.0")&amp;" SOL)",""),"")</f>
        <v/>
      </c>
      <c r="AO433" s="7"/>
      <c r="AP433" s="12" t="str" cm="1">
        <f t="array" ref="AP433">IFERROR(INDEX(tblAnalysis[Entry MC ($)],ROW()-1),"")</f>
        <v/>
      </c>
      <c r="AQ433" s="10" t="str" cm="1">
        <f t="array" ref="AQ433">IFERROR(INDEX(tblAnalysis[P&amp;L %],ROW()-1),"")</f>
        <v/>
      </c>
      <c r="AR433" t="str" cm="1">
        <f t="array" ref="AR433">IFERROR(INDEX(tblAnalysis[Hold Time (s)],ROW()-1),"")</f>
        <v/>
      </c>
      <c r="AS433" s="6" t="str" cm="1">
        <f t="array" ref="AS433">IFERROR(INDEX(tblAnalysis[P&amp;L SOL],ROW()-1),"")</f>
        <v/>
      </c>
      <c r="AT433" s="6" t="str">
        <f t="array" ref="AT433">IFERROR(INDEX(tblAnalysis[P&amp;L SOL],ROW()-1),"")</f>
        <v/>
      </c>
      <c r="AZ433" s="10"/>
      <c r="BA433" s="10"/>
      <c r="BF433" t="str">
        <f t="shared" si="125"/>
        <v/>
      </c>
      <c r="BG433" s="27" t="str">
        <f t="shared" si="126"/>
        <v/>
      </c>
      <c r="BH433" t="str">
        <f t="shared" si="127"/>
        <v/>
      </c>
      <c r="BI433" t="str">
        <f t="shared" si="137"/>
        <v/>
      </c>
      <c r="BL433" s="29" t="e">
        <f t="shared" si="132"/>
        <v>#N/A</v>
      </c>
      <c r="BM433" s="29" t="e">
        <f t="shared" si="133"/>
        <v>#N/A</v>
      </c>
    </row>
    <row r="434" spans="17:65" x14ac:dyDescent="0.35">
      <c r="Q434" s="27"/>
      <c r="R434" s="6" t="str">
        <f>IF(Q434="","",SUMIFS(tblAnalysis[P&amp;L SOL],tblAnalysis[Date],Q434))</f>
        <v/>
      </c>
      <c r="S434" s="10" t="str">
        <f>IF(Q434="","",SUMIFS(tblAnalysis[P&amp;L %],tblAnalysis[Date],Q434))</f>
        <v/>
      </c>
      <c r="T434" s="6" t="str">
        <f>IF(Q434="","",IFERROR(SUM($R$2:R434),""))</f>
        <v/>
      </c>
      <c r="U434" t="str">
        <f>IF(Q434="","",COUNTIFS(tblAnalysis[Date],Q434))</f>
        <v/>
      </c>
      <c r="V434" t="str">
        <f>IF(R434="","",COUNTIFS(tblAnalysis[Date],R434))</f>
        <v/>
      </c>
      <c r="W434" s="27" t="str">
        <f t="shared" si="116"/>
        <v/>
      </c>
      <c r="X434" s="6" t="str">
        <f t="shared" si="117"/>
        <v/>
      </c>
      <c r="Y434" s="6" t="str">
        <f>IF(Q434="","",MAX(X434,_xlfn.MAXIFS(tblAnalysis[Cum P&amp;L SOL],tblAnalysis[Date],Q434)))</f>
        <v/>
      </c>
      <c r="Z434" s="6" t="str">
        <f>IF(Q434="","",MIN(X434,_xlfn.MINIFS(tblAnalysis[Cum P&amp;L SOL],tblAnalysis[Date],Q434)))</f>
        <v/>
      </c>
      <c r="AA434" s="6" t="str">
        <f t="shared" si="118"/>
        <v/>
      </c>
      <c r="AB434" s="6" t="str">
        <f t="shared" si="134"/>
        <v/>
      </c>
      <c r="AC434" s="27" t="str">
        <f t="shared" si="119"/>
        <v/>
      </c>
      <c r="AD434" s="10" t="str">
        <f t="shared" si="120"/>
        <v/>
      </c>
      <c r="AE434" s="10" t="str">
        <f t="shared" si="121"/>
        <v/>
      </c>
      <c r="AF434" s="10" t="str">
        <f t="shared" si="122"/>
        <v/>
      </c>
      <c r="AG434" s="10" t="str">
        <f t="shared" si="135"/>
        <v/>
      </c>
      <c r="AH434" t="str">
        <f t="shared" si="123"/>
        <v/>
      </c>
      <c r="AI434" t="str">
        <f t="shared" si="124"/>
        <v/>
      </c>
      <c r="AJ434" t="str">
        <f t="shared" si="136"/>
        <v/>
      </c>
      <c r="AK434" t="str" cm="1">
        <f t="array" ref="AK434">IFERROR(IF(INDEX($A:$A,ROW())="","",INDEX($A:$A,ROW())),"")</f>
        <v/>
      </c>
      <c r="AL434" t="str" cm="1">
        <f t="array" ref="AL434">IFERROR(INDEX(tblTrades[sol_invested],ROW()-1),"")</f>
        <v/>
      </c>
      <c r="AM434" s="6" t="str" cm="1">
        <f t="array" ref="AM434">IFERROR(INDEX(tblAnalysis[P&amp;L SOL],ROW()-1),"")</f>
        <v/>
      </c>
      <c r="AN434" t="str" cm="1">
        <f t="array" ref="AN434">IFERROR(IF(INDEX(tblTrades[sol_invested],ROW()-1)&gt;0.5,INDEX(tblAnalysis[Token],ROW()-1)&amp;" ("&amp;TEXT(INDEX(tblTrades[sol_invested],ROW()-1),"0.0")&amp;" SOL)",""),"")</f>
        <v/>
      </c>
      <c r="AO434" s="7"/>
      <c r="AP434" s="12" t="str" cm="1">
        <f t="array" ref="AP434">IFERROR(INDEX(tblAnalysis[Entry MC ($)],ROW()-1),"")</f>
        <v/>
      </c>
      <c r="AQ434" s="10" t="str" cm="1">
        <f t="array" ref="AQ434">IFERROR(INDEX(tblAnalysis[P&amp;L %],ROW()-1),"")</f>
        <v/>
      </c>
      <c r="AR434" t="str" cm="1">
        <f t="array" ref="AR434">IFERROR(INDEX(tblAnalysis[Hold Time (s)],ROW()-1),"")</f>
        <v/>
      </c>
      <c r="AS434" s="6" t="str" cm="1">
        <f t="array" ref="AS434">IFERROR(INDEX(tblAnalysis[P&amp;L SOL],ROW()-1),"")</f>
        <v/>
      </c>
      <c r="AT434" s="6" t="str">
        <f t="array" ref="AT434">IFERROR(INDEX(tblAnalysis[P&amp;L SOL],ROW()-1),"")</f>
        <v/>
      </c>
      <c r="AZ434" s="10"/>
      <c r="BA434" s="10"/>
      <c r="BF434" t="str">
        <f t="shared" si="125"/>
        <v/>
      </c>
      <c r="BG434" s="27" t="str">
        <f t="shared" si="126"/>
        <v/>
      </c>
      <c r="BH434" t="str">
        <f t="shared" si="127"/>
        <v/>
      </c>
      <c r="BI434" t="str">
        <f t="shared" si="137"/>
        <v/>
      </c>
      <c r="BL434" s="29" t="e">
        <f t="shared" si="132"/>
        <v>#N/A</v>
      </c>
      <c r="BM434" s="29" t="e">
        <f t="shared" si="133"/>
        <v>#N/A</v>
      </c>
    </row>
    <row r="435" spans="17:65" x14ac:dyDescent="0.35">
      <c r="Q435" s="27"/>
      <c r="R435" s="6" t="str">
        <f>IF(Q435="","",SUMIFS(tblAnalysis[P&amp;L SOL],tblAnalysis[Date],Q435))</f>
        <v/>
      </c>
      <c r="S435" s="10" t="str">
        <f>IF(Q435="","",SUMIFS(tblAnalysis[P&amp;L %],tblAnalysis[Date],Q435))</f>
        <v/>
      </c>
      <c r="T435" s="6" t="str">
        <f>IF(Q435="","",IFERROR(SUM($R$2:R435),""))</f>
        <v/>
      </c>
      <c r="U435" t="str">
        <f>IF(Q435="","",COUNTIFS(tblAnalysis[Date],Q435))</f>
        <v/>
      </c>
      <c r="V435" t="str">
        <f>IF(R435="","",COUNTIFS(tblAnalysis[Date],R435))</f>
        <v/>
      </c>
      <c r="W435" s="27" t="str">
        <f t="shared" si="116"/>
        <v/>
      </c>
      <c r="X435" s="6" t="str">
        <f t="shared" si="117"/>
        <v/>
      </c>
      <c r="Y435" s="6" t="str">
        <f>IF(Q435="","",MAX(X435,_xlfn.MAXIFS(tblAnalysis[Cum P&amp;L SOL],tblAnalysis[Date],Q435)))</f>
        <v/>
      </c>
      <c r="Z435" s="6" t="str">
        <f>IF(Q435="","",MIN(X435,_xlfn.MINIFS(tblAnalysis[Cum P&amp;L SOL],tblAnalysis[Date],Q435)))</f>
        <v/>
      </c>
      <c r="AA435" s="6" t="str">
        <f t="shared" si="118"/>
        <v/>
      </c>
      <c r="AB435" s="6" t="str">
        <f t="shared" si="134"/>
        <v/>
      </c>
      <c r="AC435" s="27" t="str">
        <f t="shared" si="119"/>
        <v/>
      </c>
      <c r="AD435" s="10" t="str">
        <f t="shared" si="120"/>
        <v/>
      </c>
      <c r="AE435" s="10" t="str">
        <f t="shared" si="121"/>
        <v/>
      </c>
      <c r="AF435" s="10" t="str">
        <f t="shared" si="122"/>
        <v/>
      </c>
      <c r="AG435" s="10" t="str">
        <f t="shared" si="135"/>
        <v/>
      </c>
      <c r="AH435" t="str">
        <f t="shared" si="123"/>
        <v/>
      </c>
      <c r="AI435" t="str">
        <f t="shared" si="124"/>
        <v/>
      </c>
      <c r="AJ435" t="str">
        <f t="shared" si="136"/>
        <v/>
      </c>
      <c r="AK435" t="str" cm="1">
        <f t="array" ref="AK435">IFERROR(IF(INDEX($A:$A,ROW())="","",INDEX($A:$A,ROW())),"")</f>
        <v/>
      </c>
      <c r="AL435" t="str" cm="1">
        <f t="array" ref="AL435">IFERROR(INDEX(tblTrades[sol_invested],ROW()-1),"")</f>
        <v/>
      </c>
      <c r="AM435" s="6" t="str" cm="1">
        <f t="array" ref="AM435">IFERROR(INDEX(tblAnalysis[P&amp;L SOL],ROW()-1),"")</f>
        <v/>
      </c>
      <c r="AN435" t="str" cm="1">
        <f t="array" ref="AN435">IFERROR(IF(INDEX(tblTrades[sol_invested],ROW()-1)&gt;0.5,INDEX(tblAnalysis[Token],ROW()-1)&amp;" ("&amp;TEXT(INDEX(tblTrades[sol_invested],ROW()-1),"0.0")&amp;" SOL)",""),"")</f>
        <v/>
      </c>
      <c r="AO435" s="7"/>
      <c r="AP435" s="12" t="str" cm="1">
        <f t="array" ref="AP435">IFERROR(INDEX(tblAnalysis[Entry MC ($)],ROW()-1),"")</f>
        <v/>
      </c>
      <c r="AQ435" s="10" t="str" cm="1">
        <f t="array" ref="AQ435">IFERROR(INDEX(tblAnalysis[P&amp;L %],ROW()-1),"")</f>
        <v/>
      </c>
      <c r="AR435" t="str" cm="1">
        <f t="array" ref="AR435">IFERROR(INDEX(tblAnalysis[Hold Time (s)],ROW()-1),"")</f>
        <v/>
      </c>
      <c r="AS435" s="6" t="str" cm="1">
        <f t="array" ref="AS435">IFERROR(INDEX(tblAnalysis[P&amp;L SOL],ROW()-1),"")</f>
        <v/>
      </c>
      <c r="AT435" s="6" t="str">
        <f t="array" ref="AT435">IFERROR(INDEX(tblAnalysis[P&amp;L SOL],ROW()-1),"")</f>
        <v/>
      </c>
      <c r="AZ435" s="10"/>
      <c r="BA435" s="10"/>
      <c r="BF435" t="str">
        <f t="shared" si="125"/>
        <v/>
      </c>
      <c r="BG435" s="27" t="str">
        <f t="shared" si="126"/>
        <v/>
      </c>
      <c r="BH435" t="str">
        <f t="shared" si="127"/>
        <v/>
      </c>
      <c r="BI435" t="str">
        <f t="shared" si="137"/>
        <v/>
      </c>
      <c r="BL435" s="29" t="e">
        <f t="shared" si="132"/>
        <v>#N/A</v>
      </c>
      <c r="BM435" s="29" t="e">
        <f t="shared" si="133"/>
        <v>#N/A</v>
      </c>
    </row>
    <row r="436" spans="17:65" x14ac:dyDescent="0.35">
      <c r="Q436" s="27"/>
      <c r="R436" s="6" t="str">
        <f>IF(Q436="","",SUMIFS(tblAnalysis[P&amp;L SOL],tblAnalysis[Date],Q436))</f>
        <v/>
      </c>
      <c r="S436" s="10" t="str">
        <f>IF(Q436="","",SUMIFS(tblAnalysis[P&amp;L %],tblAnalysis[Date],Q436))</f>
        <v/>
      </c>
      <c r="T436" s="6" t="str">
        <f>IF(Q436="","",IFERROR(SUM($R$2:R436),""))</f>
        <v/>
      </c>
      <c r="U436" t="str">
        <f>IF(Q436="","",COUNTIFS(tblAnalysis[Date],Q436))</f>
        <v/>
      </c>
      <c r="V436" t="str">
        <f>IF(R436="","",COUNTIFS(tblAnalysis[Date],R436))</f>
        <v/>
      </c>
      <c r="W436" s="27" t="str">
        <f t="shared" si="116"/>
        <v/>
      </c>
      <c r="X436" s="6" t="str">
        <f t="shared" si="117"/>
        <v/>
      </c>
      <c r="Y436" s="6" t="str">
        <f>IF(Q436="","",MAX(X436,_xlfn.MAXIFS(tblAnalysis[Cum P&amp;L SOL],tblAnalysis[Date],Q436)))</f>
        <v/>
      </c>
      <c r="Z436" s="6" t="str">
        <f>IF(Q436="","",MIN(X436,_xlfn.MINIFS(tblAnalysis[Cum P&amp;L SOL],tblAnalysis[Date],Q436)))</f>
        <v/>
      </c>
      <c r="AA436" s="6" t="str">
        <f t="shared" si="118"/>
        <v/>
      </c>
      <c r="AB436" s="6" t="str">
        <f t="shared" si="134"/>
        <v/>
      </c>
      <c r="AC436" s="27" t="str">
        <f t="shared" si="119"/>
        <v/>
      </c>
      <c r="AD436" s="10" t="str">
        <f t="shared" si="120"/>
        <v/>
      </c>
      <c r="AE436" s="10" t="str">
        <f t="shared" si="121"/>
        <v/>
      </c>
      <c r="AF436" s="10" t="str">
        <f t="shared" si="122"/>
        <v/>
      </c>
      <c r="AG436" s="10" t="str">
        <f t="shared" si="135"/>
        <v/>
      </c>
      <c r="AH436" t="str">
        <f t="shared" si="123"/>
        <v/>
      </c>
      <c r="AI436" t="str">
        <f t="shared" si="124"/>
        <v/>
      </c>
      <c r="AJ436" t="str">
        <f t="shared" si="136"/>
        <v/>
      </c>
      <c r="AK436" t="str" cm="1">
        <f t="array" ref="AK436">IFERROR(IF(INDEX($A:$A,ROW())="","",INDEX($A:$A,ROW())),"")</f>
        <v/>
      </c>
      <c r="AL436" t="str" cm="1">
        <f t="array" ref="AL436">IFERROR(INDEX(tblTrades[sol_invested],ROW()-1),"")</f>
        <v/>
      </c>
      <c r="AM436" s="6" t="str" cm="1">
        <f t="array" ref="AM436">IFERROR(INDEX(tblAnalysis[P&amp;L SOL],ROW()-1),"")</f>
        <v/>
      </c>
      <c r="AN436" t="str" cm="1">
        <f t="array" ref="AN436">IFERROR(IF(INDEX(tblTrades[sol_invested],ROW()-1)&gt;0.5,INDEX(tblAnalysis[Token],ROW()-1)&amp;" ("&amp;TEXT(INDEX(tblTrades[sol_invested],ROW()-1),"0.0")&amp;" SOL)",""),"")</f>
        <v/>
      </c>
      <c r="AO436" s="7"/>
      <c r="AP436" s="12" t="str" cm="1">
        <f t="array" ref="AP436">IFERROR(INDEX(tblAnalysis[Entry MC ($)],ROW()-1),"")</f>
        <v/>
      </c>
      <c r="AQ436" s="10" t="str" cm="1">
        <f t="array" ref="AQ436">IFERROR(INDEX(tblAnalysis[P&amp;L %],ROW()-1),"")</f>
        <v/>
      </c>
      <c r="AR436" t="str" cm="1">
        <f t="array" ref="AR436">IFERROR(INDEX(tblAnalysis[Hold Time (s)],ROW()-1),"")</f>
        <v/>
      </c>
      <c r="AS436" s="6" t="str" cm="1">
        <f t="array" ref="AS436">IFERROR(INDEX(tblAnalysis[P&amp;L SOL],ROW()-1),"")</f>
        <v/>
      </c>
      <c r="AT436" s="6" t="str">
        <f t="array" ref="AT436">IFERROR(INDEX(tblAnalysis[P&amp;L SOL],ROW()-1),"")</f>
        <v/>
      </c>
      <c r="AZ436" s="10"/>
      <c r="BA436" s="10"/>
      <c r="BF436" t="str">
        <f t="shared" si="125"/>
        <v/>
      </c>
      <c r="BG436" s="27" t="str">
        <f t="shared" si="126"/>
        <v/>
      </c>
      <c r="BH436" t="str">
        <f t="shared" si="127"/>
        <v/>
      </c>
      <c r="BI436" t="str">
        <f t="shared" si="137"/>
        <v/>
      </c>
      <c r="BL436" s="29" t="e">
        <f t="shared" si="132"/>
        <v>#N/A</v>
      </c>
      <c r="BM436" s="29" t="e">
        <f t="shared" si="133"/>
        <v>#N/A</v>
      </c>
    </row>
    <row r="437" spans="17:65" x14ac:dyDescent="0.35">
      <c r="Q437" s="27"/>
      <c r="R437" s="6" t="str">
        <f>IF(Q437="","",SUMIFS(tblAnalysis[P&amp;L SOL],tblAnalysis[Date],Q437))</f>
        <v/>
      </c>
      <c r="S437" s="10" t="str">
        <f>IF(Q437="","",SUMIFS(tblAnalysis[P&amp;L %],tblAnalysis[Date],Q437))</f>
        <v/>
      </c>
      <c r="T437" s="6" t="str">
        <f>IF(Q437="","",IFERROR(SUM($R$2:R437),""))</f>
        <v/>
      </c>
      <c r="U437" t="str">
        <f>IF(Q437="","",COUNTIFS(tblAnalysis[Date],Q437))</f>
        <v/>
      </c>
      <c r="V437" t="str">
        <f>IF(R437="","",COUNTIFS(tblAnalysis[Date],R437))</f>
        <v/>
      </c>
      <c r="W437" s="27" t="str">
        <f t="shared" si="116"/>
        <v/>
      </c>
      <c r="X437" s="6" t="str">
        <f t="shared" si="117"/>
        <v/>
      </c>
      <c r="Y437" s="6" t="str">
        <f>IF(Q437="","",MAX(X437,_xlfn.MAXIFS(tblAnalysis[Cum P&amp;L SOL],tblAnalysis[Date],Q437)))</f>
        <v/>
      </c>
      <c r="Z437" s="6" t="str">
        <f>IF(Q437="","",MIN(X437,_xlfn.MINIFS(tblAnalysis[Cum P&amp;L SOL],tblAnalysis[Date],Q437)))</f>
        <v/>
      </c>
      <c r="AA437" s="6" t="str">
        <f t="shared" si="118"/>
        <v/>
      </c>
      <c r="AB437" s="6" t="str">
        <f t="shared" si="134"/>
        <v/>
      </c>
      <c r="AC437" s="27" t="str">
        <f t="shared" si="119"/>
        <v/>
      </c>
      <c r="AD437" s="10" t="str">
        <f t="shared" si="120"/>
        <v/>
      </c>
      <c r="AE437" s="10" t="str">
        <f t="shared" si="121"/>
        <v/>
      </c>
      <c r="AF437" s="10" t="str">
        <f t="shared" si="122"/>
        <v/>
      </c>
      <c r="AG437" s="10" t="str">
        <f t="shared" si="135"/>
        <v/>
      </c>
      <c r="AH437" t="str">
        <f t="shared" si="123"/>
        <v/>
      </c>
      <c r="AI437" t="str">
        <f t="shared" si="124"/>
        <v/>
      </c>
      <c r="AJ437" t="str">
        <f t="shared" si="136"/>
        <v/>
      </c>
      <c r="AK437" t="str" cm="1">
        <f t="array" ref="AK437">IFERROR(IF(INDEX($A:$A,ROW())="","",INDEX($A:$A,ROW())),"")</f>
        <v/>
      </c>
      <c r="AL437" t="str" cm="1">
        <f t="array" ref="AL437">IFERROR(INDEX(tblTrades[sol_invested],ROW()-1),"")</f>
        <v/>
      </c>
      <c r="AM437" s="6" t="str" cm="1">
        <f t="array" ref="AM437">IFERROR(INDEX(tblAnalysis[P&amp;L SOL],ROW()-1),"")</f>
        <v/>
      </c>
      <c r="AN437" t="str" cm="1">
        <f t="array" ref="AN437">IFERROR(IF(INDEX(tblTrades[sol_invested],ROW()-1)&gt;0.5,INDEX(tblAnalysis[Token],ROW()-1)&amp;" ("&amp;TEXT(INDEX(tblTrades[sol_invested],ROW()-1),"0.0")&amp;" SOL)",""),"")</f>
        <v/>
      </c>
      <c r="AO437" s="7"/>
      <c r="AP437" s="12" t="str" cm="1">
        <f t="array" ref="AP437">IFERROR(INDEX(tblAnalysis[Entry MC ($)],ROW()-1),"")</f>
        <v/>
      </c>
      <c r="AQ437" s="10" t="str" cm="1">
        <f t="array" ref="AQ437">IFERROR(INDEX(tblAnalysis[P&amp;L %],ROW()-1),"")</f>
        <v/>
      </c>
      <c r="AR437" t="str" cm="1">
        <f t="array" ref="AR437">IFERROR(INDEX(tblAnalysis[Hold Time (s)],ROW()-1),"")</f>
        <v/>
      </c>
      <c r="AS437" s="6" t="str" cm="1">
        <f t="array" ref="AS437">IFERROR(INDEX(tblAnalysis[P&amp;L SOL],ROW()-1),"")</f>
        <v/>
      </c>
      <c r="AT437" s="6" t="str">
        <f t="array" ref="AT437">IFERROR(INDEX(tblAnalysis[P&amp;L SOL],ROW()-1),"")</f>
        <v/>
      </c>
      <c r="AZ437" s="10"/>
      <c r="BA437" s="10"/>
      <c r="BF437" t="str">
        <f t="shared" si="125"/>
        <v/>
      </c>
      <c r="BG437" s="27" t="str">
        <f t="shared" si="126"/>
        <v/>
      </c>
      <c r="BH437" t="str">
        <f t="shared" si="127"/>
        <v/>
      </c>
      <c r="BI437" t="str">
        <f t="shared" si="137"/>
        <v/>
      </c>
      <c r="BL437" s="29" t="e">
        <f t="shared" si="132"/>
        <v>#N/A</v>
      </c>
      <c r="BM437" s="29" t="e">
        <f t="shared" si="133"/>
        <v>#N/A</v>
      </c>
    </row>
    <row r="438" spans="17:65" x14ac:dyDescent="0.35">
      <c r="Q438" s="27"/>
      <c r="R438" s="6" t="str">
        <f>IF(Q438="","",SUMIFS(tblAnalysis[P&amp;L SOL],tblAnalysis[Date],Q438))</f>
        <v/>
      </c>
      <c r="S438" s="10" t="str">
        <f>IF(Q438="","",SUMIFS(tblAnalysis[P&amp;L %],tblAnalysis[Date],Q438))</f>
        <v/>
      </c>
      <c r="T438" s="6" t="str">
        <f>IF(Q438="","",IFERROR(SUM($R$2:R438),""))</f>
        <v/>
      </c>
      <c r="U438" t="str">
        <f>IF(Q438="","",COUNTIFS(tblAnalysis[Date],Q438))</f>
        <v/>
      </c>
      <c r="V438" t="str">
        <f>IF(R438="","",COUNTIFS(tblAnalysis[Date],R438))</f>
        <v/>
      </c>
      <c r="W438" s="27" t="str">
        <f t="shared" si="116"/>
        <v/>
      </c>
      <c r="X438" s="6" t="str">
        <f t="shared" si="117"/>
        <v/>
      </c>
      <c r="Y438" s="6" t="str">
        <f>IF(Q438="","",MAX(X438,_xlfn.MAXIFS(tblAnalysis[Cum P&amp;L SOL],tblAnalysis[Date],Q438)))</f>
        <v/>
      </c>
      <c r="Z438" s="6" t="str">
        <f>IF(Q438="","",MIN(X438,_xlfn.MINIFS(tblAnalysis[Cum P&amp;L SOL],tblAnalysis[Date],Q438)))</f>
        <v/>
      </c>
      <c r="AA438" s="6" t="str">
        <f t="shared" si="118"/>
        <v/>
      </c>
      <c r="AB438" s="6" t="str">
        <f t="shared" si="134"/>
        <v/>
      </c>
      <c r="AC438" s="27" t="str">
        <f t="shared" si="119"/>
        <v/>
      </c>
      <c r="AD438" s="10" t="str">
        <f t="shared" si="120"/>
        <v/>
      </c>
      <c r="AE438" s="10" t="str">
        <f t="shared" si="121"/>
        <v/>
      </c>
      <c r="AF438" s="10" t="str">
        <f t="shared" si="122"/>
        <v/>
      </c>
      <c r="AG438" s="10" t="str">
        <f t="shared" si="135"/>
        <v/>
      </c>
      <c r="AH438" t="str">
        <f t="shared" si="123"/>
        <v/>
      </c>
      <c r="AI438" t="str">
        <f t="shared" si="124"/>
        <v/>
      </c>
      <c r="AJ438" t="str">
        <f t="shared" si="136"/>
        <v/>
      </c>
      <c r="AK438" t="str" cm="1">
        <f t="array" ref="AK438">IFERROR(IF(INDEX($A:$A,ROW())="","",INDEX($A:$A,ROW())),"")</f>
        <v/>
      </c>
      <c r="AL438" t="str" cm="1">
        <f t="array" ref="AL438">IFERROR(INDEX(tblTrades[sol_invested],ROW()-1),"")</f>
        <v/>
      </c>
      <c r="AM438" s="6" t="str" cm="1">
        <f t="array" ref="AM438">IFERROR(INDEX(tblAnalysis[P&amp;L SOL],ROW()-1),"")</f>
        <v/>
      </c>
      <c r="AN438" t="str" cm="1">
        <f t="array" ref="AN438">IFERROR(IF(INDEX(tblTrades[sol_invested],ROW()-1)&gt;0.5,INDEX(tblAnalysis[Token],ROW()-1)&amp;" ("&amp;TEXT(INDEX(tblTrades[sol_invested],ROW()-1),"0.0")&amp;" SOL)",""),"")</f>
        <v/>
      </c>
      <c r="AO438" s="7"/>
      <c r="AP438" s="12" t="str" cm="1">
        <f t="array" ref="AP438">IFERROR(INDEX(tblAnalysis[Entry MC ($)],ROW()-1),"")</f>
        <v/>
      </c>
      <c r="AQ438" s="10" t="str" cm="1">
        <f t="array" ref="AQ438">IFERROR(INDEX(tblAnalysis[P&amp;L %],ROW()-1),"")</f>
        <v/>
      </c>
      <c r="AR438" t="str" cm="1">
        <f t="array" ref="AR438">IFERROR(INDEX(tblAnalysis[Hold Time (s)],ROW()-1),"")</f>
        <v/>
      </c>
      <c r="AS438" s="6" t="str" cm="1">
        <f t="array" ref="AS438">IFERROR(INDEX(tblAnalysis[P&amp;L SOL],ROW()-1),"")</f>
        <v/>
      </c>
      <c r="AT438" s="6" t="str">
        <f t="array" ref="AT438">IFERROR(INDEX(tblAnalysis[P&amp;L SOL],ROW()-1),"")</f>
        <v/>
      </c>
      <c r="AZ438" s="10"/>
      <c r="BA438" s="10"/>
      <c r="BF438" t="str">
        <f t="shared" si="125"/>
        <v/>
      </c>
      <c r="BG438" s="27" t="str">
        <f t="shared" si="126"/>
        <v/>
      </c>
      <c r="BH438" t="str">
        <f t="shared" si="127"/>
        <v/>
      </c>
      <c r="BI438" t="str">
        <f t="shared" si="137"/>
        <v/>
      </c>
      <c r="BL438" s="29" t="e">
        <f t="shared" si="132"/>
        <v>#N/A</v>
      </c>
      <c r="BM438" s="29" t="e">
        <f t="shared" si="133"/>
        <v>#N/A</v>
      </c>
    </row>
    <row r="439" spans="17:65" x14ac:dyDescent="0.35">
      <c r="Q439" s="27"/>
      <c r="R439" s="6" t="str">
        <f>IF(Q439="","",SUMIFS(tblAnalysis[P&amp;L SOL],tblAnalysis[Date],Q439))</f>
        <v/>
      </c>
      <c r="S439" s="10" t="str">
        <f>IF(Q439="","",SUMIFS(tblAnalysis[P&amp;L %],tblAnalysis[Date],Q439))</f>
        <v/>
      </c>
      <c r="T439" s="6" t="str">
        <f>IF(Q439="","",IFERROR(SUM($R$2:R439),""))</f>
        <v/>
      </c>
      <c r="U439" t="str">
        <f>IF(Q439="","",COUNTIFS(tblAnalysis[Date],Q439))</f>
        <v/>
      </c>
      <c r="V439" t="str">
        <f>IF(R439="","",COUNTIFS(tblAnalysis[Date],R439))</f>
        <v/>
      </c>
      <c r="W439" s="27" t="str">
        <f t="shared" si="116"/>
        <v/>
      </c>
      <c r="X439" s="6" t="str">
        <f t="shared" si="117"/>
        <v/>
      </c>
      <c r="Y439" s="6" t="str">
        <f>IF(Q439="","",MAX(X439,_xlfn.MAXIFS(tblAnalysis[Cum P&amp;L SOL],tblAnalysis[Date],Q439)))</f>
        <v/>
      </c>
      <c r="Z439" s="6" t="str">
        <f>IF(Q439="","",MIN(X439,_xlfn.MINIFS(tblAnalysis[Cum P&amp;L SOL],tblAnalysis[Date],Q439)))</f>
        <v/>
      </c>
      <c r="AA439" s="6" t="str">
        <f t="shared" si="118"/>
        <v/>
      </c>
      <c r="AB439" s="6" t="str">
        <f t="shared" si="134"/>
        <v/>
      </c>
      <c r="AC439" s="27" t="str">
        <f t="shared" si="119"/>
        <v/>
      </c>
      <c r="AD439" s="10" t="str">
        <f t="shared" si="120"/>
        <v/>
      </c>
      <c r="AE439" s="10" t="str">
        <f t="shared" si="121"/>
        <v/>
      </c>
      <c r="AF439" s="10" t="str">
        <f t="shared" si="122"/>
        <v/>
      </c>
      <c r="AG439" s="10" t="str">
        <f t="shared" si="135"/>
        <v/>
      </c>
      <c r="AH439" t="str">
        <f t="shared" si="123"/>
        <v/>
      </c>
      <c r="AI439" t="str">
        <f t="shared" si="124"/>
        <v/>
      </c>
      <c r="AJ439" t="str">
        <f t="shared" si="136"/>
        <v/>
      </c>
      <c r="AK439" t="str" cm="1">
        <f t="array" ref="AK439">IFERROR(IF(INDEX($A:$A,ROW())="","",INDEX($A:$A,ROW())),"")</f>
        <v/>
      </c>
      <c r="AL439" t="str" cm="1">
        <f t="array" ref="AL439">IFERROR(INDEX(tblTrades[sol_invested],ROW()-1),"")</f>
        <v/>
      </c>
      <c r="AM439" s="6" t="str" cm="1">
        <f t="array" ref="AM439">IFERROR(INDEX(tblAnalysis[P&amp;L SOL],ROW()-1),"")</f>
        <v/>
      </c>
      <c r="AN439" t="str" cm="1">
        <f t="array" ref="AN439">IFERROR(IF(INDEX(tblTrades[sol_invested],ROW()-1)&gt;0.5,INDEX(tblAnalysis[Token],ROW()-1)&amp;" ("&amp;TEXT(INDEX(tblTrades[sol_invested],ROW()-1),"0.0")&amp;" SOL)",""),"")</f>
        <v/>
      </c>
      <c r="AO439" s="7"/>
      <c r="AP439" s="12" t="str" cm="1">
        <f t="array" ref="AP439">IFERROR(INDEX(tblAnalysis[Entry MC ($)],ROW()-1),"")</f>
        <v/>
      </c>
      <c r="AQ439" s="10" t="str" cm="1">
        <f t="array" ref="AQ439">IFERROR(INDEX(tblAnalysis[P&amp;L %],ROW()-1),"")</f>
        <v/>
      </c>
      <c r="AR439" t="str" cm="1">
        <f t="array" ref="AR439">IFERROR(INDEX(tblAnalysis[Hold Time (s)],ROW()-1),"")</f>
        <v/>
      </c>
      <c r="AS439" s="6" t="str" cm="1">
        <f t="array" ref="AS439">IFERROR(INDEX(tblAnalysis[P&amp;L SOL],ROW()-1),"")</f>
        <v/>
      </c>
      <c r="AT439" s="6" t="str">
        <f t="array" ref="AT439">IFERROR(INDEX(tblAnalysis[P&amp;L SOL],ROW()-1),"")</f>
        <v/>
      </c>
      <c r="AZ439" s="10"/>
      <c r="BA439" s="10"/>
      <c r="BF439" t="str">
        <f t="shared" si="125"/>
        <v/>
      </c>
      <c r="BG439" s="27" t="str">
        <f t="shared" si="126"/>
        <v/>
      </c>
      <c r="BH439" t="str">
        <f t="shared" si="127"/>
        <v/>
      </c>
      <c r="BI439" t="str">
        <f t="shared" si="137"/>
        <v/>
      </c>
      <c r="BL439" s="29" t="e">
        <f t="shared" si="132"/>
        <v>#N/A</v>
      </c>
      <c r="BM439" s="29" t="e">
        <f t="shared" si="133"/>
        <v>#N/A</v>
      </c>
    </row>
    <row r="440" spans="17:65" x14ac:dyDescent="0.35">
      <c r="Q440" s="27"/>
      <c r="R440" s="6" t="str">
        <f>IF(Q440="","",SUMIFS(tblAnalysis[P&amp;L SOL],tblAnalysis[Date],Q440))</f>
        <v/>
      </c>
      <c r="S440" s="10" t="str">
        <f>IF(Q440="","",SUMIFS(tblAnalysis[P&amp;L %],tblAnalysis[Date],Q440))</f>
        <v/>
      </c>
      <c r="T440" s="6" t="str">
        <f>IF(Q440="","",IFERROR(SUM($R$2:R440),""))</f>
        <v/>
      </c>
      <c r="U440" t="str">
        <f>IF(Q440="","",COUNTIFS(tblAnalysis[Date],Q440))</f>
        <v/>
      </c>
      <c r="V440" t="str">
        <f>IF(R440="","",COUNTIFS(tblAnalysis[Date],R440))</f>
        <v/>
      </c>
      <c r="W440" s="27" t="str">
        <f t="shared" si="116"/>
        <v/>
      </c>
      <c r="X440" s="6" t="str">
        <f t="shared" si="117"/>
        <v/>
      </c>
      <c r="Y440" s="6" t="str">
        <f>IF(Q440="","",MAX(X440,_xlfn.MAXIFS(tblAnalysis[Cum P&amp;L SOL],tblAnalysis[Date],Q440)))</f>
        <v/>
      </c>
      <c r="Z440" s="6" t="str">
        <f>IF(Q440="","",MIN(X440,_xlfn.MINIFS(tblAnalysis[Cum P&amp;L SOL],tblAnalysis[Date],Q440)))</f>
        <v/>
      </c>
      <c r="AA440" s="6" t="str">
        <f t="shared" si="118"/>
        <v/>
      </c>
      <c r="AB440" s="6" t="str">
        <f t="shared" si="134"/>
        <v/>
      </c>
      <c r="AC440" s="27" t="str">
        <f t="shared" si="119"/>
        <v/>
      </c>
      <c r="AD440" s="10" t="str">
        <f t="shared" si="120"/>
        <v/>
      </c>
      <c r="AE440" s="10" t="str">
        <f t="shared" si="121"/>
        <v/>
      </c>
      <c r="AF440" s="10" t="str">
        <f t="shared" si="122"/>
        <v/>
      </c>
      <c r="AG440" s="10" t="str">
        <f t="shared" si="135"/>
        <v/>
      </c>
      <c r="AH440" t="str">
        <f t="shared" si="123"/>
        <v/>
      </c>
      <c r="AI440" t="str">
        <f t="shared" si="124"/>
        <v/>
      </c>
      <c r="AJ440" t="str">
        <f t="shared" si="136"/>
        <v/>
      </c>
      <c r="AK440" t="str" cm="1">
        <f t="array" ref="AK440">IFERROR(IF(INDEX($A:$A,ROW())="","",INDEX($A:$A,ROW())),"")</f>
        <v/>
      </c>
      <c r="AL440" t="str" cm="1">
        <f t="array" ref="AL440">IFERROR(INDEX(tblTrades[sol_invested],ROW()-1),"")</f>
        <v/>
      </c>
      <c r="AM440" s="6" t="str" cm="1">
        <f t="array" ref="AM440">IFERROR(INDEX(tblAnalysis[P&amp;L SOL],ROW()-1),"")</f>
        <v/>
      </c>
      <c r="AN440" t="str" cm="1">
        <f t="array" ref="AN440">IFERROR(IF(INDEX(tblTrades[sol_invested],ROW()-1)&gt;0.5,INDEX(tblAnalysis[Token],ROW()-1)&amp;" ("&amp;TEXT(INDEX(tblTrades[sol_invested],ROW()-1),"0.0")&amp;" SOL)",""),"")</f>
        <v/>
      </c>
      <c r="AO440" s="7"/>
      <c r="AP440" s="12" t="str" cm="1">
        <f t="array" ref="AP440">IFERROR(INDEX(tblAnalysis[Entry MC ($)],ROW()-1),"")</f>
        <v/>
      </c>
      <c r="AQ440" s="10" t="str" cm="1">
        <f t="array" ref="AQ440">IFERROR(INDEX(tblAnalysis[P&amp;L %],ROW()-1),"")</f>
        <v/>
      </c>
      <c r="AR440" t="str" cm="1">
        <f t="array" ref="AR440">IFERROR(INDEX(tblAnalysis[Hold Time (s)],ROW()-1),"")</f>
        <v/>
      </c>
      <c r="AS440" s="6" t="str" cm="1">
        <f t="array" ref="AS440">IFERROR(INDEX(tblAnalysis[P&amp;L SOL],ROW()-1),"")</f>
        <v/>
      </c>
      <c r="AT440" s="6" t="str">
        <f t="array" ref="AT440">IFERROR(INDEX(tblAnalysis[P&amp;L SOL],ROW()-1),"")</f>
        <v/>
      </c>
      <c r="AZ440" s="10"/>
      <c r="BA440" s="10"/>
      <c r="BF440" t="str">
        <f t="shared" si="125"/>
        <v/>
      </c>
      <c r="BG440" s="27" t="str">
        <f t="shared" si="126"/>
        <v/>
      </c>
      <c r="BH440" t="str">
        <f t="shared" si="127"/>
        <v/>
      </c>
      <c r="BI440" t="str">
        <f t="shared" si="137"/>
        <v/>
      </c>
      <c r="BL440" s="29" t="e">
        <f t="shared" si="132"/>
        <v>#N/A</v>
      </c>
      <c r="BM440" s="29" t="e">
        <f t="shared" si="133"/>
        <v>#N/A</v>
      </c>
    </row>
    <row r="441" spans="17:65" x14ac:dyDescent="0.35">
      <c r="Q441" s="27"/>
      <c r="R441" s="6" t="str">
        <f>IF(Q441="","",SUMIFS(tblAnalysis[P&amp;L SOL],tblAnalysis[Date],Q441))</f>
        <v/>
      </c>
      <c r="S441" s="10" t="str">
        <f>IF(Q441="","",SUMIFS(tblAnalysis[P&amp;L %],tblAnalysis[Date],Q441))</f>
        <v/>
      </c>
      <c r="T441" s="6" t="str">
        <f>IF(Q441="","",IFERROR(SUM($R$2:R441),""))</f>
        <v/>
      </c>
      <c r="U441" t="str">
        <f>IF(Q441="","",COUNTIFS(tblAnalysis[Date],Q441))</f>
        <v/>
      </c>
      <c r="V441" t="str">
        <f>IF(R441="","",COUNTIFS(tblAnalysis[Date],R441))</f>
        <v/>
      </c>
      <c r="W441" s="27" t="str">
        <f t="shared" si="116"/>
        <v/>
      </c>
      <c r="X441" s="6" t="str">
        <f t="shared" si="117"/>
        <v/>
      </c>
      <c r="Y441" s="6" t="str">
        <f>IF(Q441="","",MAX(X441,_xlfn.MAXIFS(tblAnalysis[Cum P&amp;L SOL],tblAnalysis[Date],Q441)))</f>
        <v/>
      </c>
      <c r="Z441" s="6" t="str">
        <f>IF(Q441="","",MIN(X441,_xlfn.MINIFS(tblAnalysis[Cum P&amp;L SOL],tblAnalysis[Date],Q441)))</f>
        <v/>
      </c>
      <c r="AA441" s="6" t="str">
        <f t="shared" si="118"/>
        <v/>
      </c>
      <c r="AB441" s="6" t="str">
        <f t="shared" si="134"/>
        <v/>
      </c>
      <c r="AC441" s="27" t="str">
        <f t="shared" si="119"/>
        <v/>
      </c>
      <c r="AD441" s="10" t="str">
        <f t="shared" si="120"/>
        <v/>
      </c>
      <c r="AE441" s="10" t="str">
        <f t="shared" si="121"/>
        <v/>
      </c>
      <c r="AF441" s="10" t="str">
        <f t="shared" si="122"/>
        <v/>
      </c>
      <c r="AG441" s="10" t="str">
        <f t="shared" si="135"/>
        <v/>
      </c>
      <c r="AH441" t="str">
        <f t="shared" si="123"/>
        <v/>
      </c>
      <c r="AI441" t="str">
        <f t="shared" si="124"/>
        <v/>
      </c>
      <c r="AJ441" t="str">
        <f t="shared" si="136"/>
        <v/>
      </c>
      <c r="AK441" t="str" cm="1">
        <f t="array" ref="AK441">IFERROR(IF(INDEX($A:$A,ROW())="","",INDEX($A:$A,ROW())),"")</f>
        <v/>
      </c>
      <c r="AL441" t="str" cm="1">
        <f t="array" ref="AL441">IFERROR(INDEX(tblTrades[sol_invested],ROW()-1),"")</f>
        <v/>
      </c>
      <c r="AM441" s="6" t="str" cm="1">
        <f t="array" ref="AM441">IFERROR(INDEX(tblAnalysis[P&amp;L SOL],ROW()-1),"")</f>
        <v/>
      </c>
      <c r="AN441" t="str" cm="1">
        <f t="array" ref="AN441">IFERROR(IF(INDEX(tblTrades[sol_invested],ROW()-1)&gt;0.5,INDEX(tblAnalysis[Token],ROW()-1)&amp;" ("&amp;TEXT(INDEX(tblTrades[sol_invested],ROW()-1),"0.0")&amp;" SOL)",""),"")</f>
        <v/>
      </c>
      <c r="AO441" s="7"/>
      <c r="AP441" s="12" t="str" cm="1">
        <f t="array" ref="AP441">IFERROR(INDEX(tblAnalysis[Entry MC ($)],ROW()-1),"")</f>
        <v/>
      </c>
      <c r="AQ441" s="10" t="str" cm="1">
        <f t="array" ref="AQ441">IFERROR(INDEX(tblAnalysis[P&amp;L %],ROW()-1),"")</f>
        <v/>
      </c>
      <c r="AR441" t="str" cm="1">
        <f t="array" ref="AR441">IFERROR(INDEX(tblAnalysis[Hold Time (s)],ROW()-1),"")</f>
        <v/>
      </c>
      <c r="AS441" s="6" t="str" cm="1">
        <f t="array" ref="AS441">IFERROR(INDEX(tblAnalysis[P&amp;L SOL],ROW()-1),"")</f>
        <v/>
      </c>
      <c r="AT441" s="6" t="str">
        <f t="array" ref="AT441">IFERROR(INDEX(tblAnalysis[P&amp;L SOL],ROW()-1),"")</f>
        <v/>
      </c>
      <c r="AZ441" s="10"/>
      <c r="BA441" s="10"/>
      <c r="BF441" t="str">
        <f t="shared" si="125"/>
        <v/>
      </c>
      <c r="BG441" s="27" t="str">
        <f t="shared" si="126"/>
        <v/>
      </c>
      <c r="BH441" t="str">
        <f t="shared" si="127"/>
        <v/>
      </c>
      <c r="BI441" t="str">
        <f t="shared" si="137"/>
        <v/>
      </c>
      <c r="BL441" s="29" t="e">
        <f t="shared" si="132"/>
        <v>#N/A</v>
      </c>
      <c r="BM441" s="29" t="e">
        <f t="shared" si="133"/>
        <v>#N/A</v>
      </c>
    </row>
    <row r="442" spans="17:65" x14ac:dyDescent="0.35">
      <c r="Q442" s="27"/>
      <c r="R442" s="6" t="str">
        <f>IF(Q442="","",SUMIFS(tblAnalysis[P&amp;L SOL],tblAnalysis[Date],Q442))</f>
        <v/>
      </c>
      <c r="S442" s="10" t="str">
        <f>IF(Q442="","",SUMIFS(tblAnalysis[P&amp;L %],tblAnalysis[Date],Q442))</f>
        <v/>
      </c>
      <c r="T442" s="6" t="str">
        <f>IF(Q442="","",IFERROR(SUM($R$2:R442),""))</f>
        <v/>
      </c>
      <c r="U442" t="str">
        <f>IF(Q442="","",COUNTIFS(tblAnalysis[Date],Q442))</f>
        <v/>
      </c>
      <c r="V442" t="str">
        <f>IF(R442="","",COUNTIFS(tblAnalysis[Date],R442))</f>
        <v/>
      </c>
      <c r="W442" s="27" t="str">
        <f t="shared" si="116"/>
        <v/>
      </c>
      <c r="X442" s="6" t="str">
        <f t="shared" si="117"/>
        <v/>
      </c>
      <c r="Y442" s="6" t="str">
        <f>IF(Q442="","",MAX(X442,_xlfn.MAXIFS(tblAnalysis[Cum P&amp;L SOL],tblAnalysis[Date],Q442)))</f>
        <v/>
      </c>
      <c r="Z442" s="6" t="str">
        <f>IF(Q442="","",MIN(X442,_xlfn.MINIFS(tblAnalysis[Cum P&amp;L SOL],tblAnalysis[Date],Q442)))</f>
        <v/>
      </c>
      <c r="AA442" s="6" t="str">
        <f t="shared" si="118"/>
        <v/>
      </c>
      <c r="AB442" s="6" t="str">
        <f t="shared" si="134"/>
        <v/>
      </c>
      <c r="AC442" s="27" t="str">
        <f t="shared" si="119"/>
        <v/>
      </c>
      <c r="AD442" s="10" t="str">
        <f t="shared" si="120"/>
        <v/>
      </c>
      <c r="AE442" s="10" t="str">
        <f t="shared" si="121"/>
        <v/>
      </c>
      <c r="AF442" s="10" t="str">
        <f t="shared" si="122"/>
        <v/>
      </c>
      <c r="AG442" s="10" t="str">
        <f t="shared" si="135"/>
        <v/>
      </c>
      <c r="AH442" t="str">
        <f t="shared" si="123"/>
        <v/>
      </c>
      <c r="AI442" t="str">
        <f t="shared" si="124"/>
        <v/>
      </c>
      <c r="AJ442" t="str">
        <f t="shared" si="136"/>
        <v/>
      </c>
      <c r="AK442" t="str" cm="1">
        <f t="array" ref="AK442">IFERROR(IF(INDEX($A:$A,ROW())="","",INDEX($A:$A,ROW())),"")</f>
        <v/>
      </c>
      <c r="AL442" t="str" cm="1">
        <f t="array" ref="AL442">IFERROR(INDEX(tblTrades[sol_invested],ROW()-1),"")</f>
        <v/>
      </c>
      <c r="AM442" s="6" t="str" cm="1">
        <f t="array" ref="AM442">IFERROR(INDEX(tblAnalysis[P&amp;L SOL],ROW()-1),"")</f>
        <v/>
      </c>
      <c r="AN442" t="str" cm="1">
        <f t="array" ref="AN442">IFERROR(IF(INDEX(tblTrades[sol_invested],ROW()-1)&gt;0.5,INDEX(tblAnalysis[Token],ROW()-1)&amp;" ("&amp;TEXT(INDEX(tblTrades[sol_invested],ROW()-1),"0.0")&amp;" SOL)",""),"")</f>
        <v/>
      </c>
      <c r="AO442" s="7"/>
      <c r="AP442" s="12" t="str" cm="1">
        <f t="array" ref="AP442">IFERROR(INDEX(tblAnalysis[Entry MC ($)],ROW()-1),"")</f>
        <v/>
      </c>
      <c r="AQ442" s="10" t="str" cm="1">
        <f t="array" ref="AQ442">IFERROR(INDEX(tblAnalysis[P&amp;L %],ROW()-1),"")</f>
        <v/>
      </c>
      <c r="AR442" t="str" cm="1">
        <f t="array" ref="AR442">IFERROR(INDEX(tblAnalysis[Hold Time (s)],ROW()-1),"")</f>
        <v/>
      </c>
      <c r="AS442" s="6" t="str" cm="1">
        <f t="array" ref="AS442">IFERROR(INDEX(tblAnalysis[P&amp;L SOL],ROW()-1),"")</f>
        <v/>
      </c>
      <c r="AT442" s="6" t="str">
        <f t="array" ref="AT442">IFERROR(INDEX(tblAnalysis[P&amp;L SOL],ROW()-1),"")</f>
        <v/>
      </c>
      <c r="AZ442" s="10"/>
      <c r="BA442" s="10"/>
      <c r="BF442" t="str">
        <f t="shared" si="125"/>
        <v/>
      </c>
      <c r="BG442" s="27" t="str">
        <f t="shared" si="126"/>
        <v/>
      </c>
      <c r="BH442" t="str">
        <f t="shared" si="127"/>
        <v/>
      </c>
      <c r="BI442" t="str">
        <f t="shared" si="137"/>
        <v/>
      </c>
      <c r="BL442" s="29" t="e">
        <f t="shared" si="132"/>
        <v>#N/A</v>
      </c>
      <c r="BM442" s="29" t="e">
        <f t="shared" si="133"/>
        <v>#N/A</v>
      </c>
    </row>
    <row r="443" spans="17:65" x14ac:dyDescent="0.35">
      <c r="Q443" s="27"/>
      <c r="R443" s="6" t="str">
        <f>IF(Q443="","",SUMIFS(tblAnalysis[P&amp;L SOL],tblAnalysis[Date],Q443))</f>
        <v/>
      </c>
      <c r="S443" s="10" t="str">
        <f>IF(Q443="","",SUMIFS(tblAnalysis[P&amp;L %],tblAnalysis[Date],Q443))</f>
        <v/>
      </c>
      <c r="T443" s="6" t="str">
        <f>IF(Q443="","",IFERROR(SUM($R$2:R443),""))</f>
        <v/>
      </c>
      <c r="U443" t="str">
        <f>IF(Q443="","",COUNTIFS(tblAnalysis[Date],Q443))</f>
        <v/>
      </c>
      <c r="V443" t="str">
        <f>IF(R443="","",COUNTIFS(tblAnalysis[Date],R443))</f>
        <v/>
      </c>
      <c r="W443" s="27" t="str">
        <f t="shared" si="116"/>
        <v/>
      </c>
      <c r="X443" s="6" t="str">
        <f t="shared" si="117"/>
        <v/>
      </c>
      <c r="Y443" s="6" t="str">
        <f>IF(Q443="","",MAX(X443,_xlfn.MAXIFS(tblAnalysis[Cum P&amp;L SOL],tblAnalysis[Date],Q443)))</f>
        <v/>
      </c>
      <c r="Z443" s="6" t="str">
        <f>IF(Q443="","",MIN(X443,_xlfn.MINIFS(tblAnalysis[Cum P&amp;L SOL],tblAnalysis[Date],Q443)))</f>
        <v/>
      </c>
      <c r="AA443" s="6" t="str">
        <f t="shared" si="118"/>
        <v/>
      </c>
      <c r="AB443" s="6" t="str">
        <f t="shared" si="134"/>
        <v/>
      </c>
      <c r="AC443" s="27" t="str">
        <f t="shared" si="119"/>
        <v/>
      </c>
      <c r="AD443" s="10" t="str">
        <f t="shared" si="120"/>
        <v/>
      </c>
      <c r="AE443" s="10" t="str">
        <f t="shared" si="121"/>
        <v/>
      </c>
      <c r="AF443" s="10" t="str">
        <f t="shared" si="122"/>
        <v/>
      </c>
      <c r="AG443" s="10" t="str">
        <f t="shared" si="135"/>
        <v/>
      </c>
      <c r="AH443" t="str">
        <f t="shared" si="123"/>
        <v/>
      </c>
      <c r="AI443" t="str">
        <f t="shared" si="124"/>
        <v/>
      </c>
      <c r="AJ443" t="str">
        <f t="shared" si="136"/>
        <v/>
      </c>
      <c r="AK443" t="str" cm="1">
        <f t="array" ref="AK443">IFERROR(IF(INDEX($A:$A,ROW())="","",INDEX($A:$A,ROW())),"")</f>
        <v/>
      </c>
      <c r="AL443" t="str" cm="1">
        <f t="array" ref="AL443">IFERROR(INDEX(tblTrades[sol_invested],ROW()-1),"")</f>
        <v/>
      </c>
      <c r="AM443" s="6" t="str" cm="1">
        <f t="array" ref="AM443">IFERROR(INDEX(tblAnalysis[P&amp;L SOL],ROW()-1),"")</f>
        <v/>
      </c>
      <c r="AN443" t="str" cm="1">
        <f t="array" ref="AN443">IFERROR(IF(INDEX(tblTrades[sol_invested],ROW()-1)&gt;0.5,INDEX(tblAnalysis[Token],ROW()-1)&amp;" ("&amp;TEXT(INDEX(tblTrades[sol_invested],ROW()-1),"0.0")&amp;" SOL)",""),"")</f>
        <v/>
      </c>
      <c r="AO443" s="7"/>
      <c r="AP443" s="12" t="str" cm="1">
        <f t="array" ref="AP443">IFERROR(INDEX(tblAnalysis[Entry MC ($)],ROW()-1),"")</f>
        <v/>
      </c>
      <c r="AQ443" s="10" t="str" cm="1">
        <f t="array" ref="AQ443">IFERROR(INDEX(tblAnalysis[P&amp;L %],ROW()-1),"")</f>
        <v/>
      </c>
      <c r="AR443" t="str" cm="1">
        <f t="array" ref="AR443">IFERROR(INDEX(tblAnalysis[Hold Time (s)],ROW()-1),"")</f>
        <v/>
      </c>
      <c r="AS443" s="6" t="str" cm="1">
        <f t="array" ref="AS443">IFERROR(INDEX(tblAnalysis[P&amp;L SOL],ROW()-1),"")</f>
        <v/>
      </c>
      <c r="AT443" s="6" t="str">
        <f t="array" ref="AT443">IFERROR(INDEX(tblAnalysis[P&amp;L SOL],ROW()-1),"")</f>
        <v/>
      </c>
      <c r="AZ443" s="10"/>
      <c r="BA443" s="10"/>
      <c r="BF443" t="str">
        <f t="shared" si="125"/>
        <v/>
      </c>
      <c r="BG443" s="27" t="str">
        <f t="shared" si="126"/>
        <v/>
      </c>
      <c r="BH443" t="str">
        <f t="shared" si="127"/>
        <v/>
      </c>
      <c r="BI443" t="str">
        <f t="shared" si="137"/>
        <v/>
      </c>
      <c r="BL443" s="29" t="e">
        <f t="shared" si="132"/>
        <v>#N/A</v>
      </c>
      <c r="BM443" s="29" t="e">
        <f t="shared" si="133"/>
        <v>#N/A</v>
      </c>
    </row>
    <row r="444" spans="17:65" x14ac:dyDescent="0.35">
      <c r="Q444" s="27"/>
      <c r="R444" s="6" t="str">
        <f>IF(Q444="","",SUMIFS(tblAnalysis[P&amp;L SOL],tblAnalysis[Date],Q444))</f>
        <v/>
      </c>
      <c r="S444" s="10" t="str">
        <f>IF(Q444="","",SUMIFS(tblAnalysis[P&amp;L %],tblAnalysis[Date],Q444))</f>
        <v/>
      </c>
      <c r="T444" s="6" t="str">
        <f>IF(Q444="","",IFERROR(SUM($R$2:R444),""))</f>
        <v/>
      </c>
      <c r="U444" t="str">
        <f>IF(Q444="","",COUNTIFS(tblAnalysis[Date],Q444))</f>
        <v/>
      </c>
      <c r="V444" t="str">
        <f>IF(R444="","",COUNTIFS(tblAnalysis[Date],R444))</f>
        <v/>
      </c>
      <c r="W444" s="27" t="str">
        <f t="shared" si="116"/>
        <v/>
      </c>
      <c r="X444" s="6" t="str">
        <f t="shared" si="117"/>
        <v/>
      </c>
      <c r="Y444" s="6" t="str">
        <f>IF(Q444="","",MAX(X444,_xlfn.MAXIFS(tblAnalysis[Cum P&amp;L SOL],tblAnalysis[Date],Q444)))</f>
        <v/>
      </c>
      <c r="Z444" s="6" t="str">
        <f>IF(Q444="","",MIN(X444,_xlfn.MINIFS(tblAnalysis[Cum P&amp;L SOL],tblAnalysis[Date],Q444)))</f>
        <v/>
      </c>
      <c r="AA444" s="6" t="str">
        <f t="shared" si="118"/>
        <v/>
      </c>
      <c r="AB444" s="6" t="str">
        <f t="shared" si="134"/>
        <v/>
      </c>
      <c r="AC444" s="27" t="str">
        <f t="shared" si="119"/>
        <v/>
      </c>
      <c r="AD444" s="10" t="str">
        <f t="shared" si="120"/>
        <v/>
      </c>
      <c r="AE444" s="10" t="str">
        <f t="shared" si="121"/>
        <v/>
      </c>
      <c r="AF444" s="10" t="str">
        <f t="shared" si="122"/>
        <v/>
      </c>
      <c r="AG444" s="10" t="str">
        <f t="shared" si="135"/>
        <v/>
      </c>
      <c r="AH444" t="str">
        <f t="shared" si="123"/>
        <v/>
      </c>
      <c r="AI444" t="str">
        <f t="shared" si="124"/>
        <v/>
      </c>
      <c r="AJ444" t="str">
        <f t="shared" si="136"/>
        <v/>
      </c>
      <c r="AK444" t="str" cm="1">
        <f t="array" ref="AK444">IFERROR(IF(INDEX($A:$A,ROW())="","",INDEX($A:$A,ROW())),"")</f>
        <v/>
      </c>
      <c r="AL444" t="str" cm="1">
        <f t="array" ref="AL444">IFERROR(INDEX(tblTrades[sol_invested],ROW()-1),"")</f>
        <v/>
      </c>
      <c r="AM444" s="6" t="str" cm="1">
        <f t="array" ref="AM444">IFERROR(INDEX(tblAnalysis[P&amp;L SOL],ROW()-1),"")</f>
        <v/>
      </c>
      <c r="AN444" t="str" cm="1">
        <f t="array" ref="AN444">IFERROR(IF(INDEX(tblTrades[sol_invested],ROW()-1)&gt;0.5,INDEX(tblAnalysis[Token],ROW()-1)&amp;" ("&amp;TEXT(INDEX(tblTrades[sol_invested],ROW()-1),"0.0")&amp;" SOL)",""),"")</f>
        <v/>
      </c>
      <c r="AO444" s="7"/>
      <c r="AP444" s="12" t="str" cm="1">
        <f t="array" ref="AP444">IFERROR(INDEX(tblAnalysis[Entry MC ($)],ROW()-1),"")</f>
        <v/>
      </c>
      <c r="AQ444" s="10" t="str" cm="1">
        <f t="array" ref="AQ444">IFERROR(INDEX(tblAnalysis[P&amp;L %],ROW()-1),"")</f>
        <v/>
      </c>
      <c r="AR444" t="str" cm="1">
        <f t="array" ref="AR444">IFERROR(INDEX(tblAnalysis[Hold Time (s)],ROW()-1),"")</f>
        <v/>
      </c>
      <c r="AS444" s="6" t="str" cm="1">
        <f t="array" ref="AS444">IFERROR(INDEX(tblAnalysis[P&amp;L SOL],ROW()-1),"")</f>
        <v/>
      </c>
      <c r="AT444" s="6" t="str">
        <f t="array" ref="AT444">IFERROR(INDEX(tblAnalysis[P&amp;L SOL],ROW()-1),"")</f>
        <v/>
      </c>
      <c r="AZ444" s="10"/>
      <c r="BA444" s="10"/>
      <c r="BF444" t="str">
        <f t="shared" si="125"/>
        <v/>
      </c>
      <c r="BG444" s="27" t="str">
        <f t="shared" si="126"/>
        <v/>
      </c>
      <c r="BH444" t="str">
        <f t="shared" si="127"/>
        <v/>
      </c>
      <c r="BI444" t="str">
        <f t="shared" si="137"/>
        <v/>
      </c>
      <c r="BL444" s="29" t="e">
        <f t="shared" si="132"/>
        <v>#N/A</v>
      </c>
      <c r="BM444" s="29" t="e">
        <f t="shared" si="133"/>
        <v>#N/A</v>
      </c>
    </row>
    <row r="445" spans="17:65" x14ac:dyDescent="0.35">
      <c r="Q445" s="27"/>
      <c r="R445" s="6" t="str">
        <f>IF(Q445="","",SUMIFS(tblAnalysis[P&amp;L SOL],tblAnalysis[Date],Q445))</f>
        <v/>
      </c>
      <c r="S445" s="10" t="str">
        <f>IF(Q445="","",SUMIFS(tblAnalysis[P&amp;L %],tblAnalysis[Date],Q445))</f>
        <v/>
      </c>
      <c r="T445" s="6" t="str">
        <f>IF(Q445="","",IFERROR(SUM($R$2:R445),""))</f>
        <v/>
      </c>
      <c r="U445" t="str">
        <f>IF(Q445="","",COUNTIFS(tblAnalysis[Date],Q445))</f>
        <v/>
      </c>
      <c r="V445" t="str">
        <f>IF(R445="","",COUNTIFS(tblAnalysis[Date],R445))</f>
        <v/>
      </c>
      <c r="W445" s="27" t="str">
        <f t="shared" si="116"/>
        <v/>
      </c>
      <c r="X445" s="6" t="str">
        <f t="shared" si="117"/>
        <v/>
      </c>
      <c r="Y445" s="6" t="str">
        <f>IF(Q445="","",MAX(X445,_xlfn.MAXIFS(tblAnalysis[Cum P&amp;L SOL],tblAnalysis[Date],Q445)))</f>
        <v/>
      </c>
      <c r="Z445" s="6" t="str">
        <f>IF(Q445="","",MIN(X445,_xlfn.MINIFS(tblAnalysis[Cum P&amp;L SOL],tblAnalysis[Date],Q445)))</f>
        <v/>
      </c>
      <c r="AA445" s="6" t="str">
        <f t="shared" si="118"/>
        <v/>
      </c>
      <c r="AB445" s="6" t="str">
        <f t="shared" si="134"/>
        <v/>
      </c>
      <c r="AC445" s="27" t="str">
        <f t="shared" si="119"/>
        <v/>
      </c>
      <c r="AD445" s="10" t="str">
        <f t="shared" si="120"/>
        <v/>
      </c>
      <c r="AE445" s="10" t="str">
        <f t="shared" si="121"/>
        <v/>
      </c>
      <c r="AF445" s="10" t="str">
        <f t="shared" si="122"/>
        <v/>
      </c>
      <c r="AG445" s="10" t="str">
        <f t="shared" si="135"/>
        <v/>
      </c>
      <c r="AH445" t="str">
        <f t="shared" si="123"/>
        <v/>
      </c>
      <c r="AI445" t="str">
        <f t="shared" si="124"/>
        <v/>
      </c>
      <c r="AJ445" t="str">
        <f t="shared" si="136"/>
        <v/>
      </c>
      <c r="AK445" t="str" cm="1">
        <f t="array" ref="AK445">IFERROR(IF(INDEX($A:$A,ROW())="","",INDEX($A:$A,ROW())),"")</f>
        <v/>
      </c>
      <c r="AL445" t="str" cm="1">
        <f t="array" ref="AL445">IFERROR(INDEX(tblTrades[sol_invested],ROW()-1),"")</f>
        <v/>
      </c>
      <c r="AM445" s="6" t="str" cm="1">
        <f t="array" ref="AM445">IFERROR(INDEX(tblAnalysis[P&amp;L SOL],ROW()-1),"")</f>
        <v/>
      </c>
      <c r="AN445" t="str" cm="1">
        <f t="array" ref="AN445">IFERROR(IF(INDEX(tblTrades[sol_invested],ROW()-1)&gt;0.5,INDEX(tblAnalysis[Token],ROW()-1)&amp;" ("&amp;TEXT(INDEX(tblTrades[sol_invested],ROW()-1),"0.0")&amp;" SOL)",""),"")</f>
        <v/>
      </c>
      <c r="AO445" s="7"/>
      <c r="AP445" s="12" t="str" cm="1">
        <f t="array" ref="AP445">IFERROR(INDEX(tblAnalysis[Entry MC ($)],ROW()-1),"")</f>
        <v/>
      </c>
      <c r="AQ445" s="10" t="str" cm="1">
        <f t="array" ref="AQ445">IFERROR(INDEX(tblAnalysis[P&amp;L %],ROW()-1),"")</f>
        <v/>
      </c>
      <c r="AR445" t="str" cm="1">
        <f t="array" ref="AR445">IFERROR(INDEX(tblAnalysis[Hold Time (s)],ROW()-1),"")</f>
        <v/>
      </c>
      <c r="AS445" s="6" t="str" cm="1">
        <f t="array" ref="AS445">IFERROR(INDEX(tblAnalysis[P&amp;L SOL],ROW()-1),"")</f>
        <v/>
      </c>
      <c r="AT445" s="6" t="str">
        <f t="array" ref="AT445">IFERROR(INDEX(tblAnalysis[P&amp;L SOL],ROW()-1),"")</f>
        <v/>
      </c>
      <c r="AZ445" s="10"/>
      <c r="BA445" s="10"/>
      <c r="BF445" t="str">
        <f t="shared" si="125"/>
        <v/>
      </c>
      <c r="BG445" s="27" t="str">
        <f t="shared" si="126"/>
        <v/>
      </c>
      <c r="BH445" t="str">
        <f t="shared" si="127"/>
        <v/>
      </c>
      <c r="BI445" t="str">
        <f t="shared" si="137"/>
        <v/>
      </c>
      <c r="BL445" s="29" t="e">
        <f t="shared" si="132"/>
        <v>#N/A</v>
      </c>
      <c r="BM445" s="29" t="e">
        <f t="shared" si="133"/>
        <v>#N/A</v>
      </c>
    </row>
    <row r="446" spans="17:65" x14ac:dyDescent="0.35">
      <c r="Q446" s="27"/>
      <c r="R446" s="6" t="str">
        <f>IF(Q446="","",SUMIFS(tblAnalysis[P&amp;L SOL],tblAnalysis[Date],Q446))</f>
        <v/>
      </c>
      <c r="S446" s="10" t="str">
        <f>IF(Q446="","",SUMIFS(tblAnalysis[P&amp;L %],tblAnalysis[Date],Q446))</f>
        <v/>
      </c>
      <c r="T446" s="6" t="str">
        <f>IF(Q446="","",IFERROR(SUM($R$2:R446),""))</f>
        <v/>
      </c>
      <c r="U446" t="str">
        <f>IF(Q446="","",COUNTIFS(tblAnalysis[Date],Q446))</f>
        <v/>
      </c>
      <c r="V446" t="str">
        <f>IF(R446="","",COUNTIFS(tblAnalysis[Date],R446))</f>
        <v/>
      </c>
      <c r="W446" s="27" t="str">
        <f t="shared" si="116"/>
        <v/>
      </c>
      <c r="X446" s="6" t="str">
        <f t="shared" si="117"/>
        <v/>
      </c>
      <c r="Y446" s="6" t="str">
        <f>IF(Q446="","",MAX(X446,_xlfn.MAXIFS(tblAnalysis[Cum P&amp;L SOL],tblAnalysis[Date],Q446)))</f>
        <v/>
      </c>
      <c r="Z446" s="6" t="str">
        <f>IF(Q446="","",MIN(X446,_xlfn.MINIFS(tblAnalysis[Cum P&amp;L SOL],tblAnalysis[Date],Q446)))</f>
        <v/>
      </c>
      <c r="AA446" s="6" t="str">
        <f t="shared" si="118"/>
        <v/>
      </c>
      <c r="AB446" s="6" t="str">
        <f t="shared" si="134"/>
        <v/>
      </c>
      <c r="AC446" s="27" t="str">
        <f t="shared" si="119"/>
        <v/>
      </c>
      <c r="AD446" s="10" t="str">
        <f t="shared" si="120"/>
        <v/>
      </c>
      <c r="AE446" s="10" t="str">
        <f t="shared" si="121"/>
        <v/>
      </c>
      <c r="AF446" s="10" t="str">
        <f t="shared" si="122"/>
        <v/>
      </c>
      <c r="AG446" s="10" t="str">
        <f t="shared" si="135"/>
        <v/>
      </c>
      <c r="AH446" t="str">
        <f t="shared" si="123"/>
        <v/>
      </c>
      <c r="AI446" t="str">
        <f t="shared" si="124"/>
        <v/>
      </c>
      <c r="AJ446" t="str">
        <f t="shared" si="136"/>
        <v/>
      </c>
      <c r="AK446" t="str" cm="1">
        <f t="array" ref="AK446">IFERROR(IF(INDEX($A:$A,ROW())="","",INDEX($A:$A,ROW())),"")</f>
        <v/>
      </c>
      <c r="AL446" t="str" cm="1">
        <f t="array" ref="AL446">IFERROR(INDEX(tblTrades[sol_invested],ROW()-1),"")</f>
        <v/>
      </c>
      <c r="AM446" s="6" t="str" cm="1">
        <f t="array" ref="AM446">IFERROR(INDEX(tblAnalysis[P&amp;L SOL],ROW()-1),"")</f>
        <v/>
      </c>
      <c r="AN446" t="str" cm="1">
        <f t="array" ref="AN446">IFERROR(IF(INDEX(tblTrades[sol_invested],ROW()-1)&gt;0.5,INDEX(tblAnalysis[Token],ROW()-1)&amp;" ("&amp;TEXT(INDEX(tblTrades[sol_invested],ROW()-1),"0.0")&amp;" SOL)",""),"")</f>
        <v/>
      </c>
      <c r="AO446" s="7"/>
      <c r="AP446" s="12" t="str" cm="1">
        <f t="array" ref="AP446">IFERROR(INDEX(tblAnalysis[Entry MC ($)],ROW()-1),"")</f>
        <v/>
      </c>
      <c r="AQ446" s="10" t="str" cm="1">
        <f t="array" ref="AQ446">IFERROR(INDEX(tblAnalysis[P&amp;L %],ROW()-1),"")</f>
        <v/>
      </c>
      <c r="AR446" t="str" cm="1">
        <f t="array" ref="AR446">IFERROR(INDEX(tblAnalysis[Hold Time (s)],ROW()-1),"")</f>
        <v/>
      </c>
      <c r="AS446" s="6" t="str" cm="1">
        <f t="array" ref="AS446">IFERROR(INDEX(tblAnalysis[P&amp;L SOL],ROW()-1),"")</f>
        <v/>
      </c>
      <c r="AT446" s="6" t="str">
        <f t="array" ref="AT446">IFERROR(INDEX(tblAnalysis[P&amp;L SOL],ROW()-1),"")</f>
        <v/>
      </c>
      <c r="AZ446" s="10"/>
      <c r="BA446" s="10"/>
      <c r="BF446" t="str">
        <f t="shared" si="125"/>
        <v/>
      </c>
      <c r="BG446" s="27" t="str">
        <f t="shared" si="126"/>
        <v/>
      </c>
      <c r="BH446" t="str">
        <f t="shared" si="127"/>
        <v/>
      </c>
      <c r="BI446" t="str">
        <f t="shared" si="137"/>
        <v/>
      </c>
      <c r="BL446" s="29" t="e">
        <f t="shared" si="132"/>
        <v>#N/A</v>
      </c>
      <c r="BM446" s="29" t="e">
        <f t="shared" si="133"/>
        <v>#N/A</v>
      </c>
    </row>
    <row r="447" spans="17:65" x14ac:dyDescent="0.35">
      <c r="Q447" s="27"/>
      <c r="R447" s="6" t="str">
        <f>IF(Q447="","",SUMIFS(tblAnalysis[P&amp;L SOL],tblAnalysis[Date],Q447))</f>
        <v/>
      </c>
      <c r="S447" s="10" t="str">
        <f>IF(Q447="","",SUMIFS(tblAnalysis[P&amp;L %],tblAnalysis[Date],Q447))</f>
        <v/>
      </c>
      <c r="T447" s="6" t="str">
        <f>IF(Q447="","",IFERROR(SUM($R$2:R447),""))</f>
        <v/>
      </c>
      <c r="U447" t="str">
        <f>IF(Q447="","",COUNTIFS(tblAnalysis[Date],Q447))</f>
        <v/>
      </c>
      <c r="V447" t="str">
        <f>IF(R447="","",COUNTIFS(tblAnalysis[Date],R447))</f>
        <v/>
      </c>
      <c r="W447" s="27" t="str">
        <f t="shared" si="116"/>
        <v/>
      </c>
      <c r="X447" s="6" t="str">
        <f t="shared" si="117"/>
        <v/>
      </c>
      <c r="Y447" s="6" t="str">
        <f>IF(Q447="","",MAX(X447,_xlfn.MAXIFS(tblAnalysis[Cum P&amp;L SOL],tblAnalysis[Date],Q447)))</f>
        <v/>
      </c>
      <c r="Z447" s="6" t="str">
        <f>IF(Q447="","",MIN(X447,_xlfn.MINIFS(tblAnalysis[Cum P&amp;L SOL],tblAnalysis[Date],Q447)))</f>
        <v/>
      </c>
      <c r="AA447" s="6" t="str">
        <f t="shared" si="118"/>
        <v/>
      </c>
      <c r="AB447" s="6" t="str">
        <f t="shared" si="134"/>
        <v/>
      </c>
      <c r="AC447" s="27" t="str">
        <f t="shared" si="119"/>
        <v/>
      </c>
      <c r="AD447" s="10" t="str">
        <f t="shared" si="120"/>
        <v/>
      </c>
      <c r="AE447" s="10" t="str">
        <f t="shared" si="121"/>
        <v/>
      </c>
      <c r="AF447" s="10" t="str">
        <f t="shared" si="122"/>
        <v/>
      </c>
      <c r="AG447" s="10" t="str">
        <f t="shared" si="135"/>
        <v/>
      </c>
      <c r="AH447" t="str">
        <f t="shared" si="123"/>
        <v/>
      </c>
      <c r="AI447" t="str">
        <f t="shared" si="124"/>
        <v/>
      </c>
      <c r="AJ447" t="str">
        <f t="shared" si="136"/>
        <v/>
      </c>
      <c r="AK447" t="str" cm="1">
        <f t="array" ref="AK447">IFERROR(IF(INDEX($A:$A,ROW())="","",INDEX($A:$A,ROW())),"")</f>
        <v/>
      </c>
      <c r="AL447" t="str" cm="1">
        <f t="array" ref="AL447">IFERROR(INDEX(tblTrades[sol_invested],ROW()-1),"")</f>
        <v/>
      </c>
      <c r="AM447" s="6" t="str" cm="1">
        <f t="array" ref="AM447">IFERROR(INDEX(tblAnalysis[P&amp;L SOL],ROW()-1),"")</f>
        <v/>
      </c>
      <c r="AN447" t="str" cm="1">
        <f t="array" ref="AN447">IFERROR(IF(INDEX(tblTrades[sol_invested],ROW()-1)&gt;0.5,INDEX(tblAnalysis[Token],ROW()-1)&amp;" ("&amp;TEXT(INDEX(tblTrades[sol_invested],ROW()-1),"0.0")&amp;" SOL)",""),"")</f>
        <v/>
      </c>
      <c r="AO447" s="7"/>
      <c r="AP447" s="12" t="str" cm="1">
        <f t="array" ref="AP447">IFERROR(INDEX(tblAnalysis[Entry MC ($)],ROW()-1),"")</f>
        <v/>
      </c>
      <c r="AQ447" s="10" t="str" cm="1">
        <f t="array" ref="AQ447">IFERROR(INDEX(tblAnalysis[P&amp;L %],ROW()-1),"")</f>
        <v/>
      </c>
      <c r="AR447" t="str" cm="1">
        <f t="array" ref="AR447">IFERROR(INDEX(tblAnalysis[Hold Time (s)],ROW()-1),"")</f>
        <v/>
      </c>
      <c r="AS447" s="6" t="str" cm="1">
        <f t="array" ref="AS447">IFERROR(INDEX(tblAnalysis[P&amp;L SOL],ROW()-1),"")</f>
        <v/>
      </c>
      <c r="AT447" s="6" t="str">
        <f t="array" ref="AT447">IFERROR(INDEX(tblAnalysis[P&amp;L SOL],ROW()-1),"")</f>
        <v/>
      </c>
      <c r="AZ447" s="10"/>
      <c r="BA447" s="10"/>
      <c r="BF447" t="str">
        <f t="shared" si="125"/>
        <v/>
      </c>
      <c r="BG447" s="27" t="str">
        <f t="shared" si="126"/>
        <v/>
      </c>
      <c r="BH447" t="str">
        <f t="shared" si="127"/>
        <v/>
      </c>
      <c r="BI447" t="str">
        <f t="shared" si="137"/>
        <v/>
      </c>
      <c r="BL447" s="29" t="e">
        <f t="shared" si="132"/>
        <v>#N/A</v>
      </c>
      <c r="BM447" s="29" t="e">
        <f t="shared" si="133"/>
        <v>#N/A</v>
      </c>
    </row>
    <row r="448" spans="17:65" x14ac:dyDescent="0.35">
      <c r="Q448" s="27"/>
      <c r="R448" s="6" t="str">
        <f>IF(Q448="","",SUMIFS(tblAnalysis[P&amp;L SOL],tblAnalysis[Date],Q448))</f>
        <v/>
      </c>
      <c r="S448" s="10" t="str">
        <f>IF(Q448="","",SUMIFS(tblAnalysis[P&amp;L %],tblAnalysis[Date],Q448))</f>
        <v/>
      </c>
      <c r="T448" s="6" t="str">
        <f>IF(Q448="","",IFERROR(SUM($R$2:R448),""))</f>
        <v/>
      </c>
      <c r="U448" t="str">
        <f>IF(Q448="","",COUNTIFS(tblAnalysis[Date],Q448))</f>
        <v/>
      </c>
      <c r="V448" t="str">
        <f>IF(R448="","",COUNTIFS(tblAnalysis[Date],R448))</f>
        <v/>
      </c>
      <c r="W448" s="27" t="str">
        <f t="shared" si="116"/>
        <v/>
      </c>
      <c r="X448" s="6" t="str">
        <f t="shared" si="117"/>
        <v/>
      </c>
      <c r="Y448" s="6" t="str">
        <f>IF(Q448="","",MAX(X448,_xlfn.MAXIFS(tblAnalysis[Cum P&amp;L SOL],tblAnalysis[Date],Q448)))</f>
        <v/>
      </c>
      <c r="Z448" s="6" t="str">
        <f>IF(Q448="","",MIN(X448,_xlfn.MINIFS(tblAnalysis[Cum P&amp;L SOL],tblAnalysis[Date],Q448)))</f>
        <v/>
      </c>
      <c r="AA448" s="6" t="str">
        <f t="shared" si="118"/>
        <v/>
      </c>
      <c r="AB448" s="6" t="str">
        <f t="shared" si="134"/>
        <v/>
      </c>
      <c r="AC448" s="27" t="str">
        <f t="shared" si="119"/>
        <v/>
      </c>
      <c r="AD448" s="10" t="str">
        <f t="shared" si="120"/>
        <v/>
      </c>
      <c r="AE448" s="10" t="str">
        <f t="shared" si="121"/>
        <v/>
      </c>
      <c r="AF448" s="10" t="str">
        <f t="shared" si="122"/>
        <v/>
      </c>
      <c r="AG448" s="10" t="str">
        <f t="shared" si="135"/>
        <v/>
      </c>
      <c r="AH448" t="str">
        <f t="shared" si="123"/>
        <v/>
      </c>
      <c r="AI448" t="str">
        <f t="shared" si="124"/>
        <v/>
      </c>
      <c r="AJ448" t="str">
        <f t="shared" si="136"/>
        <v/>
      </c>
      <c r="AK448" t="str" cm="1">
        <f t="array" ref="AK448">IFERROR(IF(INDEX($A:$A,ROW())="","",INDEX($A:$A,ROW())),"")</f>
        <v/>
      </c>
      <c r="AL448" t="str" cm="1">
        <f t="array" ref="AL448">IFERROR(INDEX(tblTrades[sol_invested],ROW()-1),"")</f>
        <v/>
      </c>
      <c r="AM448" s="6" t="str" cm="1">
        <f t="array" ref="AM448">IFERROR(INDEX(tblAnalysis[P&amp;L SOL],ROW()-1),"")</f>
        <v/>
      </c>
      <c r="AN448" t="str" cm="1">
        <f t="array" ref="AN448">IFERROR(IF(INDEX(tblTrades[sol_invested],ROW()-1)&gt;0.5,INDEX(tblAnalysis[Token],ROW()-1)&amp;" ("&amp;TEXT(INDEX(tblTrades[sol_invested],ROW()-1),"0.0")&amp;" SOL)",""),"")</f>
        <v/>
      </c>
      <c r="AO448" s="7"/>
      <c r="AP448" s="12" t="str" cm="1">
        <f t="array" ref="AP448">IFERROR(INDEX(tblAnalysis[Entry MC ($)],ROW()-1),"")</f>
        <v/>
      </c>
      <c r="AQ448" s="10" t="str" cm="1">
        <f t="array" ref="AQ448">IFERROR(INDEX(tblAnalysis[P&amp;L %],ROW()-1),"")</f>
        <v/>
      </c>
      <c r="AR448" t="str" cm="1">
        <f t="array" ref="AR448">IFERROR(INDEX(tblAnalysis[Hold Time (s)],ROW()-1),"")</f>
        <v/>
      </c>
      <c r="AS448" s="6" t="str" cm="1">
        <f t="array" ref="AS448">IFERROR(INDEX(tblAnalysis[P&amp;L SOL],ROW()-1),"")</f>
        <v/>
      </c>
      <c r="AT448" s="6" t="str">
        <f t="array" ref="AT448">IFERROR(INDEX(tblAnalysis[P&amp;L SOL],ROW()-1),"")</f>
        <v/>
      </c>
      <c r="AZ448" s="10"/>
      <c r="BA448" s="10"/>
      <c r="BF448" t="str">
        <f t="shared" si="125"/>
        <v/>
      </c>
      <c r="BG448" s="27" t="str">
        <f t="shared" si="126"/>
        <v/>
      </c>
      <c r="BH448" t="str">
        <f t="shared" si="127"/>
        <v/>
      </c>
      <c r="BI448" t="str">
        <f t="shared" si="137"/>
        <v/>
      </c>
      <c r="BL448" s="29" t="e">
        <f t="shared" si="132"/>
        <v>#N/A</v>
      </c>
      <c r="BM448" s="29" t="e">
        <f t="shared" si="133"/>
        <v>#N/A</v>
      </c>
    </row>
    <row r="449" spans="17:65" x14ac:dyDescent="0.35">
      <c r="Q449" s="27"/>
      <c r="R449" s="6" t="str">
        <f>IF(Q449="","",SUMIFS(tblAnalysis[P&amp;L SOL],tblAnalysis[Date],Q449))</f>
        <v/>
      </c>
      <c r="S449" s="10" t="str">
        <f>IF(Q449="","",SUMIFS(tblAnalysis[P&amp;L %],tblAnalysis[Date],Q449))</f>
        <v/>
      </c>
      <c r="T449" s="6" t="str">
        <f>IF(Q449="","",IFERROR(SUM($R$2:R449),""))</f>
        <v/>
      </c>
      <c r="U449" t="str">
        <f>IF(Q449="","",COUNTIFS(tblAnalysis[Date],Q449))</f>
        <v/>
      </c>
      <c r="V449" t="str">
        <f>IF(R449="","",COUNTIFS(tblAnalysis[Date],R449))</f>
        <v/>
      </c>
      <c r="W449" s="27" t="str">
        <f t="shared" si="116"/>
        <v/>
      </c>
      <c r="X449" s="6" t="str">
        <f t="shared" si="117"/>
        <v/>
      </c>
      <c r="Y449" s="6" t="str">
        <f>IF(Q449="","",MAX(X449,_xlfn.MAXIFS(tblAnalysis[Cum P&amp;L SOL],tblAnalysis[Date],Q449)))</f>
        <v/>
      </c>
      <c r="Z449" s="6" t="str">
        <f>IF(Q449="","",MIN(X449,_xlfn.MINIFS(tblAnalysis[Cum P&amp;L SOL],tblAnalysis[Date],Q449)))</f>
        <v/>
      </c>
      <c r="AA449" s="6" t="str">
        <f t="shared" si="118"/>
        <v/>
      </c>
      <c r="AB449" s="6" t="str">
        <f t="shared" si="134"/>
        <v/>
      </c>
      <c r="AC449" s="27" t="str">
        <f t="shared" si="119"/>
        <v/>
      </c>
      <c r="AD449" s="10" t="str">
        <f t="shared" si="120"/>
        <v/>
      </c>
      <c r="AE449" s="10" t="str">
        <f t="shared" si="121"/>
        <v/>
      </c>
      <c r="AF449" s="10" t="str">
        <f t="shared" si="122"/>
        <v/>
      </c>
      <c r="AG449" s="10" t="str">
        <f t="shared" si="135"/>
        <v/>
      </c>
      <c r="AH449" t="str">
        <f t="shared" si="123"/>
        <v/>
      </c>
      <c r="AI449" t="str">
        <f t="shared" si="124"/>
        <v/>
      </c>
      <c r="AJ449" t="str">
        <f t="shared" si="136"/>
        <v/>
      </c>
      <c r="AK449" t="str" cm="1">
        <f t="array" ref="AK449">IFERROR(IF(INDEX($A:$A,ROW())="","",INDEX($A:$A,ROW())),"")</f>
        <v/>
      </c>
      <c r="AL449" t="str" cm="1">
        <f t="array" ref="AL449">IFERROR(INDEX(tblTrades[sol_invested],ROW()-1),"")</f>
        <v/>
      </c>
      <c r="AM449" s="6" t="str" cm="1">
        <f t="array" ref="AM449">IFERROR(INDEX(tblAnalysis[P&amp;L SOL],ROW()-1),"")</f>
        <v/>
      </c>
      <c r="AN449" t="str" cm="1">
        <f t="array" ref="AN449">IFERROR(IF(INDEX(tblTrades[sol_invested],ROW()-1)&gt;0.5,INDEX(tblAnalysis[Token],ROW()-1)&amp;" ("&amp;TEXT(INDEX(tblTrades[sol_invested],ROW()-1),"0.0")&amp;" SOL)",""),"")</f>
        <v/>
      </c>
      <c r="AO449" s="7"/>
      <c r="AP449" s="12" t="str" cm="1">
        <f t="array" ref="AP449">IFERROR(INDEX(tblAnalysis[Entry MC ($)],ROW()-1),"")</f>
        <v/>
      </c>
      <c r="AQ449" s="10" t="str" cm="1">
        <f t="array" ref="AQ449">IFERROR(INDEX(tblAnalysis[P&amp;L %],ROW()-1),"")</f>
        <v/>
      </c>
      <c r="AR449" t="str" cm="1">
        <f t="array" ref="AR449">IFERROR(INDEX(tblAnalysis[Hold Time (s)],ROW()-1),"")</f>
        <v/>
      </c>
      <c r="AS449" s="6" t="str" cm="1">
        <f t="array" ref="AS449">IFERROR(INDEX(tblAnalysis[P&amp;L SOL],ROW()-1),"")</f>
        <v/>
      </c>
      <c r="AT449" s="6" t="str">
        <f t="array" ref="AT449">IFERROR(INDEX(tblAnalysis[P&amp;L SOL],ROW()-1),"")</f>
        <v/>
      </c>
      <c r="AZ449" s="10"/>
      <c r="BA449" s="10"/>
      <c r="BF449" t="str">
        <f t="shared" si="125"/>
        <v/>
      </c>
      <c r="BG449" s="27" t="str">
        <f t="shared" si="126"/>
        <v/>
      </c>
      <c r="BH449" t="str">
        <f t="shared" si="127"/>
        <v/>
      </c>
      <c r="BI449" t="str">
        <f t="shared" si="137"/>
        <v/>
      </c>
      <c r="BL449" s="29" t="e">
        <f t="shared" si="132"/>
        <v>#N/A</v>
      </c>
      <c r="BM449" s="29" t="e">
        <f t="shared" si="133"/>
        <v>#N/A</v>
      </c>
    </row>
    <row r="450" spans="17:65" x14ac:dyDescent="0.35">
      <c r="Q450" s="27"/>
      <c r="R450" s="6" t="str">
        <f>IF(Q450="","",SUMIFS(tblAnalysis[P&amp;L SOL],tblAnalysis[Date],Q450))</f>
        <v/>
      </c>
      <c r="S450" s="10" t="str">
        <f>IF(Q450="","",SUMIFS(tblAnalysis[P&amp;L %],tblAnalysis[Date],Q450))</f>
        <v/>
      </c>
      <c r="T450" s="6" t="str">
        <f>IF(Q450="","",IFERROR(SUM($R$2:R450),""))</f>
        <v/>
      </c>
      <c r="U450" t="str">
        <f>IF(Q450="","",COUNTIFS(tblAnalysis[Date],Q450))</f>
        <v/>
      </c>
      <c r="V450" t="str">
        <f>IF(R450="","",COUNTIFS(tblAnalysis[Date],R450))</f>
        <v/>
      </c>
      <c r="W450" s="27" t="str">
        <f t="shared" si="116"/>
        <v/>
      </c>
      <c r="X450" s="6" t="str">
        <f t="shared" si="117"/>
        <v/>
      </c>
      <c r="Y450" s="6" t="str">
        <f>IF(Q450="","",MAX(X450,_xlfn.MAXIFS(tblAnalysis[Cum P&amp;L SOL],tblAnalysis[Date],Q450)))</f>
        <v/>
      </c>
      <c r="Z450" s="6" t="str">
        <f>IF(Q450="","",MIN(X450,_xlfn.MINIFS(tblAnalysis[Cum P&amp;L SOL],tblAnalysis[Date],Q450)))</f>
        <v/>
      </c>
      <c r="AA450" s="6" t="str">
        <f t="shared" si="118"/>
        <v/>
      </c>
      <c r="AB450" s="6" t="str">
        <f t="shared" si="134"/>
        <v/>
      </c>
      <c r="AC450" s="27" t="str">
        <f t="shared" si="119"/>
        <v/>
      </c>
      <c r="AD450" s="10" t="str">
        <f t="shared" si="120"/>
        <v/>
      </c>
      <c r="AE450" s="10" t="str">
        <f t="shared" si="121"/>
        <v/>
      </c>
      <c r="AF450" s="10" t="str">
        <f t="shared" si="122"/>
        <v/>
      </c>
      <c r="AG450" s="10" t="str">
        <f t="shared" si="135"/>
        <v/>
      </c>
      <c r="AH450" t="str">
        <f t="shared" si="123"/>
        <v/>
      </c>
      <c r="AI450" t="str">
        <f t="shared" si="124"/>
        <v/>
      </c>
      <c r="AJ450" t="str">
        <f t="shared" si="136"/>
        <v/>
      </c>
      <c r="AK450" t="str" cm="1">
        <f t="array" ref="AK450">IFERROR(IF(INDEX($A:$A,ROW())="","",INDEX($A:$A,ROW())),"")</f>
        <v/>
      </c>
      <c r="AL450" t="str" cm="1">
        <f t="array" ref="AL450">IFERROR(INDEX(tblTrades[sol_invested],ROW()-1),"")</f>
        <v/>
      </c>
      <c r="AM450" s="6" t="str" cm="1">
        <f t="array" ref="AM450">IFERROR(INDEX(tblAnalysis[P&amp;L SOL],ROW()-1),"")</f>
        <v/>
      </c>
      <c r="AN450" t="str" cm="1">
        <f t="array" ref="AN450">IFERROR(IF(INDEX(tblTrades[sol_invested],ROW()-1)&gt;0.5,INDEX(tblAnalysis[Token],ROW()-1)&amp;" ("&amp;TEXT(INDEX(tblTrades[sol_invested],ROW()-1),"0.0")&amp;" SOL)",""),"")</f>
        <v/>
      </c>
      <c r="AO450" s="7"/>
      <c r="AP450" s="12" t="str" cm="1">
        <f t="array" ref="AP450">IFERROR(INDEX(tblAnalysis[Entry MC ($)],ROW()-1),"")</f>
        <v/>
      </c>
      <c r="AQ450" s="10" t="str" cm="1">
        <f t="array" ref="AQ450">IFERROR(INDEX(tblAnalysis[P&amp;L %],ROW()-1),"")</f>
        <v/>
      </c>
      <c r="AR450" t="str" cm="1">
        <f t="array" ref="AR450">IFERROR(INDEX(tblAnalysis[Hold Time (s)],ROW()-1),"")</f>
        <v/>
      </c>
      <c r="AS450" s="6" t="str" cm="1">
        <f t="array" ref="AS450">IFERROR(INDEX(tblAnalysis[P&amp;L SOL],ROW()-1),"")</f>
        <v/>
      </c>
      <c r="AT450" s="6" t="str">
        <f t="array" ref="AT450">IFERROR(INDEX(tblAnalysis[P&amp;L SOL],ROW()-1),"")</f>
        <v/>
      </c>
      <c r="AZ450" s="10"/>
      <c r="BA450" s="10"/>
      <c r="BF450" t="str">
        <f t="shared" si="125"/>
        <v/>
      </c>
      <c r="BG450" s="27" t="str">
        <f t="shared" si="126"/>
        <v/>
      </c>
      <c r="BH450" t="str">
        <f t="shared" si="127"/>
        <v/>
      </c>
      <c r="BI450" t="str">
        <f t="shared" si="137"/>
        <v/>
      </c>
      <c r="BL450" s="29" t="e">
        <f t="shared" si="132"/>
        <v>#N/A</v>
      </c>
      <c r="BM450" s="29" t="e">
        <f t="shared" si="133"/>
        <v>#N/A</v>
      </c>
    </row>
    <row r="451" spans="17:65" x14ac:dyDescent="0.35">
      <c r="Q451" s="27"/>
      <c r="R451" s="6" t="str">
        <f>IF(Q451="","",SUMIFS(tblAnalysis[P&amp;L SOL],tblAnalysis[Date],Q451))</f>
        <v/>
      </c>
      <c r="S451" s="10" t="str">
        <f>IF(Q451="","",SUMIFS(tblAnalysis[P&amp;L %],tblAnalysis[Date],Q451))</f>
        <v/>
      </c>
      <c r="T451" s="6" t="str">
        <f>IF(Q451="","",IFERROR(SUM($R$2:R451),""))</f>
        <v/>
      </c>
      <c r="U451" t="str">
        <f>IF(Q451="","",COUNTIFS(tblAnalysis[Date],Q451))</f>
        <v/>
      </c>
      <c r="V451" t="str">
        <f>IF(R451="","",COUNTIFS(tblAnalysis[Date],R451))</f>
        <v/>
      </c>
      <c r="W451" s="27" t="str">
        <f t="shared" ref="W451:W500" si="138">IF(Q451="","",Q451)</f>
        <v/>
      </c>
      <c r="X451" s="6" t="str">
        <f t="shared" ref="X451:X500" si="139">IF(Q451="","",IF(ROW()=2,0,AA450))</f>
        <v/>
      </c>
      <c r="Y451" s="6" t="str">
        <f>IF(Q451="","",MAX(X451,_xlfn.MAXIFS(tblAnalysis[Cum P&amp;L SOL],tblAnalysis[Date],Q451)))</f>
        <v/>
      </c>
      <c r="Z451" s="6" t="str">
        <f>IF(Q451="","",MIN(X451,_xlfn.MINIFS(tblAnalysis[Cum P&amp;L SOL],tblAnalysis[Date],Q451)))</f>
        <v/>
      </c>
      <c r="AA451" s="6" t="str">
        <f t="shared" ref="AA451:AA500" si="140">IF(Q451="","",T451)</f>
        <v/>
      </c>
      <c r="AB451" s="6" t="str">
        <f t="shared" si="134"/>
        <v/>
      </c>
      <c r="AC451" s="27" t="str">
        <f t="shared" ref="AC451:AC500" si="141">IF(Q451="","",Q451)</f>
        <v/>
      </c>
      <c r="AD451" s="10" t="str">
        <f t="shared" ref="AD451:AD500" si="142">IF(Q451="","",(Y451-X451)/$BK$1)</f>
        <v/>
      </c>
      <c r="AE451" s="10" t="str">
        <f t="shared" ref="AE451:AE500" si="143">IF(Q451="","",(Z451-X451)/$BK$1)</f>
        <v/>
      </c>
      <c r="AF451" s="10" t="str">
        <f t="shared" ref="AF451:AF500" si="144">IF(Q451="","",(AA451-X451)/$BK$1)</f>
        <v/>
      </c>
      <c r="AG451" s="10" t="str">
        <f t="shared" si="135"/>
        <v/>
      </c>
      <c r="AH451" t="str">
        <f t="shared" ref="AH451:AH500" si="145">IF(Q451="","",IF(AA451&gt;=X451,U451,0))</f>
        <v/>
      </c>
      <c r="AI451" t="str">
        <f t="shared" ref="AI451:AI500" si="146">IF(Q451="","",IF(AA451&lt;X451,U451,0))</f>
        <v/>
      </c>
      <c r="AJ451" t="str">
        <f t="shared" si="136"/>
        <v/>
      </c>
      <c r="AK451" t="str" cm="1">
        <f t="array" ref="AK451">IFERROR(IF(INDEX($A:$A,ROW())="","",INDEX($A:$A,ROW())),"")</f>
        <v/>
      </c>
      <c r="AL451" t="str" cm="1">
        <f t="array" ref="AL451">IFERROR(INDEX(tblTrades[sol_invested],ROW()-1),"")</f>
        <v/>
      </c>
      <c r="AM451" s="6" t="str" cm="1">
        <f t="array" ref="AM451">IFERROR(INDEX(tblAnalysis[P&amp;L SOL],ROW()-1),"")</f>
        <v/>
      </c>
      <c r="AN451" t="str" cm="1">
        <f t="array" ref="AN451">IFERROR(IF(INDEX(tblTrades[sol_invested],ROW()-1)&gt;0.5,INDEX(tblAnalysis[Token],ROW()-1)&amp;" ("&amp;TEXT(INDEX(tblTrades[sol_invested],ROW()-1),"0.0")&amp;" SOL)",""),"")</f>
        <v/>
      </c>
      <c r="AO451" s="7"/>
      <c r="AP451" s="12" t="str" cm="1">
        <f t="array" ref="AP451">IFERROR(INDEX(tblAnalysis[Entry MC ($)],ROW()-1),"")</f>
        <v/>
      </c>
      <c r="AQ451" s="10" t="str" cm="1">
        <f t="array" ref="AQ451">IFERROR(INDEX(tblAnalysis[P&amp;L %],ROW()-1),"")</f>
        <v/>
      </c>
      <c r="AR451" t="str" cm="1">
        <f t="array" ref="AR451">IFERROR(INDEX(tblAnalysis[Hold Time (s)],ROW()-1),"")</f>
        <v/>
      </c>
      <c r="AS451" s="6" t="str" cm="1">
        <f t="array" ref="AS451">IFERROR(INDEX(tblAnalysis[P&amp;L SOL],ROW()-1),"")</f>
        <v/>
      </c>
      <c r="AT451" s="6" t="str">
        <f t="array" ref="AT451">IFERROR(INDEX(tblAnalysis[P&amp;L SOL],ROW()-1),"")</f>
        <v/>
      </c>
      <c r="AZ451" s="10"/>
      <c r="BA451" s="10"/>
      <c r="BF451" t="str">
        <f t="shared" ref="BF451:BF500" si="147">IF(W451="","","("&amp;U451&amp;")")</f>
        <v/>
      </c>
      <c r="BG451" s="27" t="str">
        <f t="shared" ref="BG451:BG500" si="148">IF(W451="","",W451)</f>
        <v/>
      </c>
      <c r="BH451" t="str">
        <f t="shared" ref="BH451:BH500" si="149">IF(W451="","",-2.5)</f>
        <v/>
      </c>
      <c r="BI451" t="str">
        <f t="shared" si="137"/>
        <v/>
      </c>
      <c r="BL451" s="29" t="e">
        <f t="shared" si="132"/>
        <v>#N/A</v>
      </c>
      <c r="BM451" s="29" t="e">
        <f t="shared" si="133"/>
        <v>#N/A</v>
      </c>
    </row>
    <row r="452" spans="17:65" x14ac:dyDescent="0.35">
      <c r="Q452" s="27"/>
      <c r="R452" s="6" t="str">
        <f>IF(Q452="","",SUMIFS(tblAnalysis[P&amp;L SOL],tblAnalysis[Date],Q452))</f>
        <v/>
      </c>
      <c r="S452" s="10" t="str">
        <f>IF(Q452="","",SUMIFS(tblAnalysis[P&amp;L %],tblAnalysis[Date],Q452))</f>
        <v/>
      </c>
      <c r="T452" s="6" t="str">
        <f>IF(Q452="","",IFERROR(SUM($R$2:R452),""))</f>
        <v/>
      </c>
      <c r="U452" t="str">
        <f>IF(Q452="","",COUNTIFS(tblAnalysis[Date],Q452))</f>
        <v/>
      </c>
      <c r="V452" t="str">
        <f>IF(R452="","",COUNTIFS(tblAnalysis[Date],R452))</f>
        <v/>
      </c>
      <c r="W452" s="27" t="str">
        <f t="shared" si="138"/>
        <v/>
      </c>
      <c r="X452" s="6" t="str">
        <f t="shared" si="139"/>
        <v/>
      </c>
      <c r="Y452" s="6" t="str">
        <f>IF(Q452="","",MAX(X452,_xlfn.MAXIFS(tblAnalysis[Cum P&amp;L SOL],tblAnalysis[Date],Q452)))</f>
        <v/>
      </c>
      <c r="Z452" s="6" t="str">
        <f>IF(Q452="","",MIN(X452,_xlfn.MINIFS(tblAnalysis[Cum P&amp;L SOL],tblAnalysis[Date],Q452)))</f>
        <v/>
      </c>
      <c r="AA452" s="6" t="str">
        <f t="shared" si="140"/>
        <v/>
      </c>
      <c r="AB452" s="6" t="str">
        <f t="shared" si="134"/>
        <v/>
      </c>
      <c r="AC452" s="27" t="str">
        <f t="shared" si="141"/>
        <v/>
      </c>
      <c r="AD452" s="10" t="str">
        <f t="shared" si="142"/>
        <v/>
      </c>
      <c r="AE452" s="10" t="str">
        <f t="shared" si="143"/>
        <v/>
      </c>
      <c r="AF452" s="10" t="str">
        <f t="shared" si="144"/>
        <v/>
      </c>
      <c r="AG452" s="10" t="str">
        <f t="shared" si="135"/>
        <v/>
      </c>
      <c r="AH452" t="str">
        <f t="shared" si="145"/>
        <v/>
      </c>
      <c r="AI452" t="str">
        <f t="shared" si="146"/>
        <v/>
      </c>
      <c r="AJ452" t="str">
        <f t="shared" si="136"/>
        <v/>
      </c>
      <c r="AK452" t="str" cm="1">
        <f t="array" ref="AK452">IFERROR(IF(INDEX($A:$A,ROW())="","",INDEX($A:$A,ROW())),"")</f>
        <v/>
      </c>
      <c r="AL452" t="str" cm="1">
        <f t="array" ref="AL452">IFERROR(INDEX(tblTrades[sol_invested],ROW()-1),"")</f>
        <v/>
      </c>
      <c r="AM452" s="6" t="str" cm="1">
        <f t="array" ref="AM452">IFERROR(INDEX(tblAnalysis[P&amp;L SOL],ROW()-1),"")</f>
        <v/>
      </c>
      <c r="AN452" t="str" cm="1">
        <f t="array" ref="AN452">IFERROR(IF(INDEX(tblTrades[sol_invested],ROW()-1)&gt;0.5,INDEX(tblAnalysis[Token],ROW()-1)&amp;" ("&amp;TEXT(INDEX(tblTrades[sol_invested],ROW()-1),"0.0")&amp;" SOL)",""),"")</f>
        <v/>
      </c>
      <c r="AO452" s="7"/>
      <c r="AP452" s="12" t="str" cm="1">
        <f t="array" ref="AP452">IFERROR(INDEX(tblAnalysis[Entry MC ($)],ROW()-1),"")</f>
        <v/>
      </c>
      <c r="AQ452" s="10" t="str" cm="1">
        <f t="array" ref="AQ452">IFERROR(INDEX(tblAnalysis[P&amp;L %],ROW()-1),"")</f>
        <v/>
      </c>
      <c r="AR452" t="str" cm="1">
        <f t="array" ref="AR452">IFERROR(INDEX(tblAnalysis[Hold Time (s)],ROW()-1),"")</f>
        <v/>
      </c>
      <c r="AS452" s="6" t="str" cm="1">
        <f t="array" ref="AS452">IFERROR(INDEX(tblAnalysis[P&amp;L SOL],ROW()-1),"")</f>
        <v/>
      </c>
      <c r="AT452" s="6" t="str">
        <f t="array" ref="AT452">IFERROR(INDEX(tblAnalysis[P&amp;L SOL],ROW()-1),"")</f>
        <v/>
      </c>
      <c r="AZ452" s="10"/>
      <c r="BA452" s="10"/>
      <c r="BF452" t="str">
        <f t="shared" si="147"/>
        <v/>
      </c>
      <c r="BG452" s="27" t="str">
        <f t="shared" si="148"/>
        <v/>
      </c>
      <c r="BH452" t="str">
        <f t="shared" si="149"/>
        <v/>
      </c>
      <c r="BI452" t="str">
        <f t="shared" si="137"/>
        <v/>
      </c>
      <c r="BL452" s="29" t="e">
        <f t="shared" si="132"/>
        <v>#N/A</v>
      </c>
      <c r="BM452" s="29" t="e">
        <f t="shared" si="133"/>
        <v>#N/A</v>
      </c>
    </row>
    <row r="453" spans="17:65" x14ac:dyDescent="0.35">
      <c r="Q453" s="27"/>
      <c r="R453" s="6" t="str">
        <f>IF(Q453="","",SUMIFS(tblAnalysis[P&amp;L SOL],tblAnalysis[Date],Q453))</f>
        <v/>
      </c>
      <c r="S453" s="10" t="str">
        <f>IF(Q453="","",SUMIFS(tblAnalysis[P&amp;L %],tblAnalysis[Date],Q453))</f>
        <v/>
      </c>
      <c r="T453" s="6" t="str">
        <f>IF(Q453="","",IFERROR(SUM($R$2:R453),""))</f>
        <v/>
      </c>
      <c r="U453" t="str">
        <f>IF(Q453="","",COUNTIFS(tblAnalysis[Date],Q453))</f>
        <v/>
      </c>
      <c r="V453" t="str">
        <f>IF(R453="","",COUNTIFS(tblAnalysis[Date],R453))</f>
        <v/>
      </c>
      <c r="W453" s="27" t="str">
        <f t="shared" si="138"/>
        <v/>
      </c>
      <c r="X453" s="6" t="str">
        <f t="shared" si="139"/>
        <v/>
      </c>
      <c r="Y453" s="6" t="str">
        <f>IF(Q453="","",MAX(X453,_xlfn.MAXIFS(tblAnalysis[Cum P&amp;L SOL],tblAnalysis[Date],Q453)))</f>
        <v/>
      </c>
      <c r="Z453" s="6" t="str">
        <f>IF(Q453="","",MIN(X453,_xlfn.MINIFS(tblAnalysis[Cum P&amp;L SOL],tblAnalysis[Date],Q453)))</f>
        <v/>
      </c>
      <c r="AA453" s="6" t="str">
        <f t="shared" si="140"/>
        <v/>
      </c>
      <c r="AB453" s="6" t="str">
        <f t="shared" si="134"/>
        <v/>
      </c>
      <c r="AC453" s="27" t="str">
        <f t="shared" si="141"/>
        <v/>
      </c>
      <c r="AD453" s="10" t="str">
        <f t="shared" si="142"/>
        <v/>
      </c>
      <c r="AE453" s="10" t="str">
        <f t="shared" si="143"/>
        <v/>
      </c>
      <c r="AF453" s="10" t="str">
        <f t="shared" si="144"/>
        <v/>
      </c>
      <c r="AG453" s="10" t="str">
        <f t="shared" si="135"/>
        <v/>
      </c>
      <c r="AH453" t="str">
        <f t="shared" si="145"/>
        <v/>
      </c>
      <c r="AI453" t="str">
        <f t="shared" si="146"/>
        <v/>
      </c>
      <c r="AJ453" t="str">
        <f t="shared" si="136"/>
        <v/>
      </c>
      <c r="AK453" t="str" cm="1">
        <f t="array" ref="AK453">IFERROR(IF(INDEX($A:$A,ROW())="","",INDEX($A:$A,ROW())),"")</f>
        <v/>
      </c>
      <c r="AL453" t="str" cm="1">
        <f t="array" ref="AL453">IFERROR(INDEX(tblTrades[sol_invested],ROW()-1),"")</f>
        <v/>
      </c>
      <c r="AM453" s="6" t="str" cm="1">
        <f t="array" ref="AM453">IFERROR(INDEX(tblAnalysis[P&amp;L SOL],ROW()-1),"")</f>
        <v/>
      </c>
      <c r="AN453" t="str" cm="1">
        <f t="array" ref="AN453">IFERROR(IF(INDEX(tblTrades[sol_invested],ROW()-1)&gt;0.5,INDEX(tblAnalysis[Token],ROW()-1)&amp;" ("&amp;TEXT(INDEX(tblTrades[sol_invested],ROW()-1),"0.0")&amp;" SOL)",""),"")</f>
        <v/>
      </c>
      <c r="AO453" s="7"/>
      <c r="AP453" s="12" t="str" cm="1">
        <f t="array" ref="AP453">IFERROR(INDEX(tblAnalysis[Entry MC ($)],ROW()-1),"")</f>
        <v/>
      </c>
      <c r="AQ453" s="10" t="str" cm="1">
        <f t="array" ref="AQ453">IFERROR(INDEX(tblAnalysis[P&amp;L %],ROW()-1),"")</f>
        <v/>
      </c>
      <c r="AR453" t="str" cm="1">
        <f t="array" ref="AR453">IFERROR(INDEX(tblAnalysis[Hold Time (s)],ROW()-1),"")</f>
        <v/>
      </c>
      <c r="AS453" s="6" t="str" cm="1">
        <f t="array" ref="AS453">IFERROR(INDEX(tblAnalysis[P&amp;L SOL],ROW()-1),"")</f>
        <v/>
      </c>
      <c r="AT453" s="6" t="str">
        <f t="array" ref="AT453">IFERROR(INDEX(tblAnalysis[P&amp;L SOL],ROW()-1),"")</f>
        <v/>
      </c>
      <c r="AZ453" s="10"/>
      <c r="BA453" s="10"/>
      <c r="BF453" t="str">
        <f t="shared" si="147"/>
        <v/>
      </c>
      <c r="BG453" s="27" t="str">
        <f t="shared" si="148"/>
        <v/>
      </c>
      <c r="BH453" t="str">
        <f t="shared" si="149"/>
        <v/>
      </c>
      <c r="BI453" t="str">
        <f t="shared" si="137"/>
        <v/>
      </c>
      <c r="BL453" s="29" t="e">
        <f t="shared" si="132"/>
        <v>#N/A</v>
      </c>
      <c r="BM453" s="29" t="e">
        <f t="shared" si="133"/>
        <v>#N/A</v>
      </c>
    </row>
    <row r="454" spans="17:65" x14ac:dyDescent="0.35">
      <c r="Q454" s="27"/>
      <c r="R454" s="6" t="str">
        <f>IF(Q454="","",SUMIFS(tblAnalysis[P&amp;L SOL],tblAnalysis[Date],Q454))</f>
        <v/>
      </c>
      <c r="S454" s="10" t="str">
        <f>IF(Q454="","",SUMIFS(tblAnalysis[P&amp;L %],tblAnalysis[Date],Q454))</f>
        <v/>
      </c>
      <c r="T454" s="6" t="str">
        <f>IF(Q454="","",IFERROR(SUM($R$2:R454),""))</f>
        <v/>
      </c>
      <c r="U454" t="str">
        <f>IF(Q454="","",COUNTIFS(tblAnalysis[Date],Q454))</f>
        <v/>
      </c>
      <c r="V454" t="str">
        <f>IF(R454="","",COUNTIFS(tblAnalysis[Date],R454))</f>
        <v/>
      </c>
      <c r="W454" s="27" t="str">
        <f t="shared" si="138"/>
        <v/>
      </c>
      <c r="X454" s="6" t="str">
        <f t="shared" si="139"/>
        <v/>
      </c>
      <c r="Y454" s="6" t="str">
        <f>IF(Q454="","",MAX(X454,_xlfn.MAXIFS(tblAnalysis[Cum P&amp;L SOL],tblAnalysis[Date],Q454)))</f>
        <v/>
      </c>
      <c r="Z454" s="6" t="str">
        <f>IF(Q454="","",MIN(X454,_xlfn.MINIFS(tblAnalysis[Cum P&amp;L SOL],tblAnalysis[Date],Q454)))</f>
        <v/>
      </c>
      <c r="AA454" s="6" t="str">
        <f t="shared" si="140"/>
        <v/>
      </c>
      <c r="AB454" s="6" t="str">
        <f t="shared" si="134"/>
        <v/>
      </c>
      <c r="AC454" s="27" t="str">
        <f t="shared" si="141"/>
        <v/>
      </c>
      <c r="AD454" s="10" t="str">
        <f t="shared" si="142"/>
        <v/>
      </c>
      <c r="AE454" s="10" t="str">
        <f t="shared" si="143"/>
        <v/>
      </c>
      <c r="AF454" s="10" t="str">
        <f t="shared" si="144"/>
        <v/>
      </c>
      <c r="AG454" s="10" t="str">
        <f t="shared" si="135"/>
        <v/>
      </c>
      <c r="AH454" t="str">
        <f t="shared" si="145"/>
        <v/>
      </c>
      <c r="AI454" t="str">
        <f t="shared" si="146"/>
        <v/>
      </c>
      <c r="AJ454" t="str">
        <f t="shared" si="136"/>
        <v/>
      </c>
      <c r="AK454" t="str" cm="1">
        <f t="array" ref="AK454">IFERROR(IF(INDEX($A:$A,ROW())="","",INDEX($A:$A,ROW())),"")</f>
        <v/>
      </c>
      <c r="AL454" t="str" cm="1">
        <f t="array" ref="AL454">IFERROR(INDEX(tblTrades[sol_invested],ROW()-1),"")</f>
        <v/>
      </c>
      <c r="AM454" s="6" t="str" cm="1">
        <f t="array" ref="AM454">IFERROR(INDEX(tblAnalysis[P&amp;L SOL],ROW()-1),"")</f>
        <v/>
      </c>
      <c r="AN454" t="str" cm="1">
        <f t="array" ref="AN454">IFERROR(IF(INDEX(tblTrades[sol_invested],ROW()-1)&gt;0.5,INDEX(tblAnalysis[Token],ROW()-1)&amp;" ("&amp;TEXT(INDEX(tblTrades[sol_invested],ROW()-1),"0.0")&amp;" SOL)",""),"")</f>
        <v/>
      </c>
      <c r="AO454" s="7"/>
      <c r="AP454" s="12" t="str" cm="1">
        <f t="array" ref="AP454">IFERROR(INDEX(tblAnalysis[Entry MC ($)],ROW()-1),"")</f>
        <v/>
      </c>
      <c r="AQ454" s="10" t="str" cm="1">
        <f t="array" ref="AQ454">IFERROR(INDEX(tblAnalysis[P&amp;L %],ROW()-1),"")</f>
        <v/>
      </c>
      <c r="AR454" t="str" cm="1">
        <f t="array" ref="AR454">IFERROR(INDEX(tblAnalysis[Hold Time (s)],ROW()-1),"")</f>
        <v/>
      </c>
      <c r="AS454" s="6" t="str" cm="1">
        <f t="array" ref="AS454">IFERROR(INDEX(tblAnalysis[P&amp;L SOL],ROW()-1),"")</f>
        <v/>
      </c>
      <c r="AT454" s="6" t="str">
        <f t="array" ref="AT454">IFERROR(INDEX(tblAnalysis[P&amp;L SOL],ROW()-1),"")</f>
        <v/>
      </c>
      <c r="AZ454" s="10"/>
      <c r="BA454" s="10"/>
      <c r="BF454" t="str">
        <f t="shared" si="147"/>
        <v/>
      </c>
      <c r="BG454" s="27" t="str">
        <f t="shared" si="148"/>
        <v/>
      </c>
      <c r="BH454" t="str">
        <f t="shared" si="149"/>
        <v/>
      </c>
      <c r="BI454" t="str">
        <f t="shared" si="137"/>
        <v/>
      </c>
      <c r="BL454" s="29" t="e">
        <f t="shared" si="132"/>
        <v>#N/A</v>
      </c>
      <c r="BM454" s="29" t="e">
        <f t="shared" si="133"/>
        <v>#N/A</v>
      </c>
    </row>
    <row r="455" spans="17:65" x14ac:dyDescent="0.35">
      <c r="Q455" s="27"/>
      <c r="R455" s="6" t="str">
        <f>IF(Q455="","",SUMIFS(tblAnalysis[P&amp;L SOL],tblAnalysis[Date],Q455))</f>
        <v/>
      </c>
      <c r="S455" s="10" t="str">
        <f>IF(Q455="","",SUMIFS(tblAnalysis[P&amp;L %],tblAnalysis[Date],Q455))</f>
        <v/>
      </c>
      <c r="T455" s="6" t="str">
        <f>IF(Q455="","",IFERROR(SUM($R$2:R455),""))</f>
        <v/>
      </c>
      <c r="U455" t="str">
        <f>IF(Q455="","",COUNTIFS(tblAnalysis[Date],Q455))</f>
        <v/>
      </c>
      <c r="V455" t="str">
        <f>IF(R455="","",COUNTIFS(tblAnalysis[Date],R455))</f>
        <v/>
      </c>
      <c r="W455" s="27" t="str">
        <f t="shared" si="138"/>
        <v/>
      </c>
      <c r="X455" s="6" t="str">
        <f t="shared" si="139"/>
        <v/>
      </c>
      <c r="Y455" s="6" t="str">
        <f>IF(Q455="","",MAX(X455,_xlfn.MAXIFS(tblAnalysis[Cum P&amp;L SOL],tblAnalysis[Date],Q455)))</f>
        <v/>
      </c>
      <c r="Z455" s="6" t="str">
        <f>IF(Q455="","",MIN(X455,_xlfn.MINIFS(tblAnalysis[Cum P&amp;L SOL],tblAnalysis[Date],Q455)))</f>
        <v/>
      </c>
      <c r="AA455" s="6" t="str">
        <f t="shared" si="140"/>
        <v/>
      </c>
      <c r="AB455" s="6" t="str">
        <f t="shared" si="134"/>
        <v/>
      </c>
      <c r="AC455" s="27" t="str">
        <f t="shared" si="141"/>
        <v/>
      </c>
      <c r="AD455" s="10" t="str">
        <f t="shared" si="142"/>
        <v/>
      </c>
      <c r="AE455" s="10" t="str">
        <f t="shared" si="143"/>
        <v/>
      </c>
      <c r="AF455" s="10" t="str">
        <f t="shared" si="144"/>
        <v/>
      </c>
      <c r="AG455" s="10" t="str">
        <f t="shared" si="135"/>
        <v/>
      </c>
      <c r="AH455" t="str">
        <f t="shared" si="145"/>
        <v/>
      </c>
      <c r="AI455" t="str">
        <f t="shared" si="146"/>
        <v/>
      </c>
      <c r="AJ455" t="str">
        <f t="shared" si="136"/>
        <v/>
      </c>
      <c r="AK455" t="str" cm="1">
        <f t="array" ref="AK455">IFERROR(IF(INDEX($A:$A,ROW())="","",INDEX($A:$A,ROW())),"")</f>
        <v/>
      </c>
      <c r="AL455" t="str" cm="1">
        <f t="array" ref="AL455">IFERROR(INDEX(tblTrades[sol_invested],ROW()-1),"")</f>
        <v/>
      </c>
      <c r="AM455" s="6" t="str" cm="1">
        <f t="array" ref="AM455">IFERROR(INDEX(tblAnalysis[P&amp;L SOL],ROW()-1),"")</f>
        <v/>
      </c>
      <c r="AN455" t="str" cm="1">
        <f t="array" ref="AN455">IFERROR(IF(INDEX(tblTrades[sol_invested],ROW()-1)&gt;0.5,INDEX(tblAnalysis[Token],ROW()-1)&amp;" ("&amp;TEXT(INDEX(tblTrades[sol_invested],ROW()-1),"0.0")&amp;" SOL)",""),"")</f>
        <v/>
      </c>
      <c r="AO455" s="7"/>
      <c r="AP455" s="12" t="str" cm="1">
        <f t="array" ref="AP455">IFERROR(INDEX(tblAnalysis[Entry MC ($)],ROW()-1),"")</f>
        <v/>
      </c>
      <c r="AQ455" s="10" t="str" cm="1">
        <f t="array" ref="AQ455">IFERROR(INDEX(tblAnalysis[P&amp;L %],ROW()-1),"")</f>
        <v/>
      </c>
      <c r="AR455" t="str" cm="1">
        <f t="array" ref="AR455">IFERROR(INDEX(tblAnalysis[Hold Time (s)],ROW()-1),"")</f>
        <v/>
      </c>
      <c r="AS455" s="6" t="str" cm="1">
        <f t="array" ref="AS455">IFERROR(INDEX(tblAnalysis[P&amp;L SOL],ROW()-1),"")</f>
        <v/>
      </c>
      <c r="AT455" s="6" t="str">
        <f t="array" ref="AT455">IFERROR(INDEX(tblAnalysis[P&amp;L SOL],ROW()-1),"")</f>
        <v/>
      </c>
      <c r="AZ455" s="10"/>
      <c r="BA455" s="10"/>
      <c r="BF455" t="str">
        <f t="shared" si="147"/>
        <v/>
      </c>
      <c r="BG455" s="27" t="str">
        <f t="shared" si="148"/>
        <v/>
      </c>
      <c r="BH455" t="str">
        <f t="shared" si="149"/>
        <v/>
      </c>
      <c r="BI455" t="str">
        <f t="shared" si="137"/>
        <v/>
      </c>
      <c r="BL455" s="29" t="e">
        <f t="shared" si="132"/>
        <v>#N/A</v>
      </c>
      <c r="BM455" s="29" t="e">
        <f t="shared" si="133"/>
        <v>#N/A</v>
      </c>
    </row>
    <row r="456" spans="17:65" x14ac:dyDescent="0.35">
      <c r="Q456" s="27"/>
      <c r="R456" s="6" t="str">
        <f>IF(Q456="","",SUMIFS(tblAnalysis[P&amp;L SOL],tblAnalysis[Date],Q456))</f>
        <v/>
      </c>
      <c r="S456" s="10" t="str">
        <f>IF(Q456="","",SUMIFS(tblAnalysis[P&amp;L %],tblAnalysis[Date],Q456))</f>
        <v/>
      </c>
      <c r="T456" s="6" t="str">
        <f>IF(Q456="","",IFERROR(SUM($R$2:R456),""))</f>
        <v/>
      </c>
      <c r="U456" t="str">
        <f>IF(Q456="","",COUNTIFS(tblAnalysis[Date],Q456))</f>
        <v/>
      </c>
      <c r="V456" t="str">
        <f>IF(R456="","",COUNTIFS(tblAnalysis[Date],R456))</f>
        <v/>
      </c>
      <c r="W456" s="27" t="str">
        <f t="shared" si="138"/>
        <v/>
      </c>
      <c r="X456" s="6" t="str">
        <f t="shared" si="139"/>
        <v/>
      </c>
      <c r="Y456" s="6" t="str">
        <f>IF(Q456="","",MAX(X456,_xlfn.MAXIFS(tblAnalysis[Cum P&amp;L SOL],tblAnalysis[Date],Q456)))</f>
        <v/>
      </c>
      <c r="Z456" s="6" t="str">
        <f>IF(Q456="","",MIN(X456,_xlfn.MINIFS(tblAnalysis[Cum P&amp;L SOL],tblAnalysis[Date],Q456)))</f>
        <v/>
      </c>
      <c r="AA456" s="6" t="str">
        <f t="shared" si="140"/>
        <v/>
      </c>
      <c r="AB456" s="6" t="str">
        <f t="shared" si="134"/>
        <v/>
      </c>
      <c r="AC456" s="27" t="str">
        <f t="shared" si="141"/>
        <v/>
      </c>
      <c r="AD456" s="10" t="str">
        <f t="shared" si="142"/>
        <v/>
      </c>
      <c r="AE456" s="10" t="str">
        <f t="shared" si="143"/>
        <v/>
      </c>
      <c r="AF456" s="10" t="str">
        <f t="shared" si="144"/>
        <v/>
      </c>
      <c r="AG456" s="10" t="str">
        <f t="shared" si="135"/>
        <v/>
      </c>
      <c r="AH456" t="str">
        <f t="shared" si="145"/>
        <v/>
      </c>
      <c r="AI456" t="str">
        <f t="shared" si="146"/>
        <v/>
      </c>
      <c r="AJ456" t="str">
        <f t="shared" si="136"/>
        <v/>
      </c>
      <c r="AK456" t="str" cm="1">
        <f t="array" ref="AK456">IFERROR(IF(INDEX($A:$A,ROW())="","",INDEX($A:$A,ROW())),"")</f>
        <v/>
      </c>
      <c r="AL456" t="str" cm="1">
        <f t="array" ref="AL456">IFERROR(INDEX(tblTrades[sol_invested],ROW()-1),"")</f>
        <v/>
      </c>
      <c r="AM456" s="6" t="str" cm="1">
        <f t="array" ref="AM456">IFERROR(INDEX(tblAnalysis[P&amp;L SOL],ROW()-1),"")</f>
        <v/>
      </c>
      <c r="AN456" t="str" cm="1">
        <f t="array" ref="AN456">IFERROR(IF(INDEX(tblTrades[sol_invested],ROW()-1)&gt;0.5,INDEX(tblAnalysis[Token],ROW()-1)&amp;" ("&amp;TEXT(INDEX(tblTrades[sol_invested],ROW()-1),"0.0")&amp;" SOL)",""),"")</f>
        <v/>
      </c>
      <c r="AO456" s="7"/>
      <c r="AP456" s="12" t="str" cm="1">
        <f t="array" ref="AP456">IFERROR(INDEX(tblAnalysis[Entry MC ($)],ROW()-1),"")</f>
        <v/>
      </c>
      <c r="AQ456" s="10" t="str" cm="1">
        <f t="array" ref="AQ456">IFERROR(INDEX(tblAnalysis[P&amp;L %],ROW()-1),"")</f>
        <v/>
      </c>
      <c r="AR456" t="str" cm="1">
        <f t="array" ref="AR456">IFERROR(INDEX(tblAnalysis[Hold Time (s)],ROW()-1),"")</f>
        <v/>
      </c>
      <c r="AS456" s="6" t="str" cm="1">
        <f t="array" ref="AS456">IFERROR(INDEX(tblAnalysis[P&amp;L SOL],ROW()-1),"")</f>
        <v/>
      </c>
      <c r="AT456" s="6" t="str">
        <f t="array" ref="AT456">IFERROR(INDEX(tblAnalysis[P&amp;L SOL],ROW()-1),"")</f>
        <v/>
      </c>
      <c r="AZ456" s="10"/>
      <c r="BA456" s="10"/>
      <c r="BF456" t="str">
        <f t="shared" si="147"/>
        <v/>
      </c>
      <c r="BG456" s="27" t="str">
        <f t="shared" si="148"/>
        <v/>
      </c>
      <c r="BH456" t="str">
        <f t="shared" si="149"/>
        <v/>
      </c>
      <c r="BI456" t="str">
        <f t="shared" si="137"/>
        <v/>
      </c>
      <c r="BL456" s="29" t="e">
        <f t="shared" si="132"/>
        <v>#N/A</v>
      </c>
      <c r="BM456" s="29" t="e">
        <f t="shared" si="133"/>
        <v>#N/A</v>
      </c>
    </row>
    <row r="457" spans="17:65" x14ac:dyDescent="0.35">
      <c r="Q457" s="27"/>
      <c r="R457" s="6" t="str">
        <f>IF(Q457="","",SUMIFS(tblAnalysis[P&amp;L SOL],tblAnalysis[Date],Q457))</f>
        <v/>
      </c>
      <c r="S457" s="10" t="str">
        <f>IF(Q457="","",SUMIFS(tblAnalysis[P&amp;L %],tblAnalysis[Date],Q457))</f>
        <v/>
      </c>
      <c r="T457" s="6" t="str">
        <f>IF(Q457="","",IFERROR(SUM($R$2:R457),""))</f>
        <v/>
      </c>
      <c r="U457" t="str">
        <f>IF(Q457="","",COUNTIFS(tblAnalysis[Date],Q457))</f>
        <v/>
      </c>
      <c r="V457" t="str">
        <f>IF(R457="","",COUNTIFS(tblAnalysis[Date],R457))</f>
        <v/>
      </c>
      <c r="W457" s="27" t="str">
        <f t="shared" si="138"/>
        <v/>
      </c>
      <c r="X457" s="6" t="str">
        <f t="shared" si="139"/>
        <v/>
      </c>
      <c r="Y457" s="6" t="str">
        <f>IF(Q457="","",MAX(X457,_xlfn.MAXIFS(tblAnalysis[Cum P&amp;L SOL],tblAnalysis[Date],Q457)))</f>
        <v/>
      </c>
      <c r="Z457" s="6" t="str">
        <f>IF(Q457="","",MIN(X457,_xlfn.MINIFS(tblAnalysis[Cum P&amp;L SOL],tblAnalysis[Date],Q457)))</f>
        <v/>
      </c>
      <c r="AA457" s="6" t="str">
        <f t="shared" si="140"/>
        <v/>
      </c>
      <c r="AB457" s="6" t="str">
        <f t="shared" ref="AB457:AB488" si="150">IF(R457="","",U457)</f>
        <v/>
      </c>
      <c r="AC457" s="27" t="str">
        <f t="shared" si="141"/>
        <v/>
      </c>
      <c r="AD457" s="10" t="str">
        <f t="shared" si="142"/>
        <v/>
      </c>
      <c r="AE457" s="10" t="str">
        <f t="shared" si="143"/>
        <v/>
      </c>
      <c r="AF457" s="10" t="str">
        <f t="shared" si="144"/>
        <v/>
      </c>
      <c r="AG457" s="10" t="str">
        <f t="shared" ref="AG457:AG488" si="151">IF(R457="","",(AB457-Y457)/$BK$1)</f>
        <v/>
      </c>
      <c r="AH457" t="str">
        <f t="shared" si="145"/>
        <v/>
      </c>
      <c r="AI457" t="str">
        <f t="shared" si="146"/>
        <v/>
      </c>
      <c r="AJ457" t="str">
        <f t="shared" ref="AJ457:AJ488" si="152">IF(R457="","",IF(AB457&lt;Y457,V457,0))</f>
        <v/>
      </c>
      <c r="AK457" t="str" cm="1">
        <f t="array" ref="AK457">IFERROR(IF(INDEX($A:$A,ROW())="","",INDEX($A:$A,ROW())),"")</f>
        <v/>
      </c>
      <c r="AL457" t="str" cm="1">
        <f t="array" ref="AL457">IFERROR(INDEX(tblTrades[sol_invested],ROW()-1),"")</f>
        <v/>
      </c>
      <c r="AM457" s="6" t="str" cm="1">
        <f t="array" ref="AM457">IFERROR(INDEX(tblAnalysis[P&amp;L SOL],ROW()-1),"")</f>
        <v/>
      </c>
      <c r="AN457" t="str" cm="1">
        <f t="array" ref="AN457">IFERROR(IF(INDEX(tblTrades[sol_invested],ROW()-1)&gt;0.5,INDEX(tblAnalysis[Token],ROW()-1)&amp;" ("&amp;TEXT(INDEX(tblTrades[sol_invested],ROW()-1),"0.0")&amp;" SOL)",""),"")</f>
        <v/>
      </c>
      <c r="AO457" s="7"/>
      <c r="AP457" s="12" t="str" cm="1">
        <f t="array" ref="AP457">IFERROR(INDEX(tblAnalysis[Entry MC ($)],ROW()-1),"")</f>
        <v/>
      </c>
      <c r="AQ457" s="10" t="str" cm="1">
        <f t="array" ref="AQ457">IFERROR(INDEX(tblAnalysis[P&amp;L %],ROW()-1),"")</f>
        <v/>
      </c>
      <c r="AR457" t="str" cm="1">
        <f t="array" ref="AR457">IFERROR(INDEX(tblAnalysis[Hold Time (s)],ROW()-1),"")</f>
        <v/>
      </c>
      <c r="AS457" s="6" t="str" cm="1">
        <f t="array" ref="AS457">IFERROR(INDEX(tblAnalysis[P&amp;L SOL],ROW()-1),"")</f>
        <v/>
      </c>
      <c r="AT457" s="6" t="str">
        <f t="array" ref="AT457">IFERROR(INDEX(tblAnalysis[P&amp;L SOL],ROW()-1),"")</f>
        <v/>
      </c>
      <c r="AZ457" s="10"/>
      <c r="BA457" s="10"/>
      <c r="BF457" t="str">
        <f t="shared" si="147"/>
        <v/>
      </c>
      <c r="BG457" s="27" t="str">
        <f t="shared" si="148"/>
        <v/>
      </c>
      <c r="BH457" t="str">
        <f t="shared" si="149"/>
        <v/>
      </c>
      <c r="BI457" t="str">
        <f t="shared" ref="BI457:BI488" si="153">IF(X457="","",-2.5)</f>
        <v/>
      </c>
      <c r="BL457" s="29" t="e">
        <f t="shared" si="132"/>
        <v>#N/A</v>
      </c>
      <c r="BM457" s="29" t="e">
        <f t="shared" si="133"/>
        <v>#N/A</v>
      </c>
    </row>
    <row r="458" spans="17:65" x14ac:dyDescent="0.35">
      <c r="Q458" s="27"/>
      <c r="R458" s="6" t="str">
        <f>IF(Q458="","",SUMIFS(tblAnalysis[P&amp;L SOL],tblAnalysis[Date],Q458))</f>
        <v/>
      </c>
      <c r="S458" s="10" t="str">
        <f>IF(Q458="","",SUMIFS(tblAnalysis[P&amp;L %],tblAnalysis[Date],Q458))</f>
        <v/>
      </c>
      <c r="T458" s="6" t="str">
        <f>IF(Q458="","",IFERROR(SUM($R$2:R458),""))</f>
        <v/>
      </c>
      <c r="U458" t="str">
        <f>IF(Q458="","",COUNTIFS(tblAnalysis[Date],Q458))</f>
        <v/>
      </c>
      <c r="V458" t="str">
        <f>IF(R458="","",COUNTIFS(tblAnalysis[Date],R458))</f>
        <v/>
      </c>
      <c r="W458" s="27" t="str">
        <f t="shared" si="138"/>
        <v/>
      </c>
      <c r="X458" s="6" t="str">
        <f t="shared" si="139"/>
        <v/>
      </c>
      <c r="Y458" s="6" t="str">
        <f>IF(Q458="","",MAX(X458,_xlfn.MAXIFS(tblAnalysis[Cum P&amp;L SOL],tblAnalysis[Date],Q458)))</f>
        <v/>
      </c>
      <c r="Z458" s="6" t="str">
        <f>IF(Q458="","",MIN(X458,_xlfn.MINIFS(tblAnalysis[Cum P&amp;L SOL],tblAnalysis[Date],Q458)))</f>
        <v/>
      </c>
      <c r="AA458" s="6" t="str">
        <f t="shared" si="140"/>
        <v/>
      </c>
      <c r="AB458" s="6" t="str">
        <f t="shared" si="150"/>
        <v/>
      </c>
      <c r="AC458" s="27" t="str">
        <f t="shared" si="141"/>
        <v/>
      </c>
      <c r="AD458" s="10" t="str">
        <f t="shared" si="142"/>
        <v/>
      </c>
      <c r="AE458" s="10" t="str">
        <f t="shared" si="143"/>
        <v/>
      </c>
      <c r="AF458" s="10" t="str">
        <f t="shared" si="144"/>
        <v/>
      </c>
      <c r="AG458" s="10" t="str">
        <f t="shared" si="151"/>
        <v/>
      </c>
      <c r="AH458" t="str">
        <f t="shared" si="145"/>
        <v/>
      </c>
      <c r="AI458" t="str">
        <f t="shared" si="146"/>
        <v/>
      </c>
      <c r="AJ458" t="str">
        <f t="shared" si="152"/>
        <v/>
      </c>
      <c r="AK458" t="str" cm="1">
        <f t="array" ref="AK458">IFERROR(IF(INDEX($A:$A,ROW())="","",INDEX($A:$A,ROW())),"")</f>
        <v/>
      </c>
      <c r="AL458" t="str" cm="1">
        <f t="array" ref="AL458">IFERROR(INDEX(tblTrades[sol_invested],ROW()-1),"")</f>
        <v/>
      </c>
      <c r="AM458" s="6" t="str" cm="1">
        <f t="array" ref="AM458">IFERROR(INDEX(tblAnalysis[P&amp;L SOL],ROW()-1),"")</f>
        <v/>
      </c>
      <c r="AN458" t="str" cm="1">
        <f t="array" ref="AN458">IFERROR(IF(INDEX(tblTrades[sol_invested],ROW()-1)&gt;0.5,INDEX(tblAnalysis[Token],ROW()-1)&amp;" ("&amp;TEXT(INDEX(tblTrades[sol_invested],ROW()-1),"0.0")&amp;" SOL)",""),"")</f>
        <v/>
      </c>
      <c r="AO458" s="7"/>
      <c r="AP458" s="12" t="str" cm="1">
        <f t="array" ref="AP458">IFERROR(INDEX(tblAnalysis[Entry MC ($)],ROW()-1),"")</f>
        <v/>
      </c>
      <c r="AQ458" s="10" t="str" cm="1">
        <f t="array" ref="AQ458">IFERROR(INDEX(tblAnalysis[P&amp;L %],ROW()-1),"")</f>
        <v/>
      </c>
      <c r="AR458" t="str" cm="1">
        <f t="array" ref="AR458">IFERROR(INDEX(tblAnalysis[Hold Time (s)],ROW()-1),"")</f>
        <v/>
      </c>
      <c r="AS458" s="6" t="str" cm="1">
        <f t="array" ref="AS458">IFERROR(INDEX(tblAnalysis[P&amp;L SOL],ROW()-1),"")</f>
        <v/>
      </c>
      <c r="AT458" s="6" t="str">
        <f t="array" ref="AT458">IFERROR(INDEX(tblAnalysis[P&amp;L SOL],ROW()-1),"")</f>
        <v/>
      </c>
      <c r="AZ458" s="10"/>
      <c r="BA458" s="10"/>
      <c r="BF458" t="str">
        <f t="shared" si="147"/>
        <v/>
      </c>
      <c r="BG458" s="27" t="str">
        <f t="shared" si="148"/>
        <v/>
      </c>
      <c r="BH458" t="str">
        <f t="shared" si="149"/>
        <v/>
      </c>
      <c r="BI458" t="str">
        <f t="shared" si="153"/>
        <v/>
      </c>
      <c r="BL458" s="29" t="e">
        <f t="shared" si="132"/>
        <v>#N/A</v>
      </c>
      <c r="BM458" s="29" t="e">
        <f t="shared" si="133"/>
        <v>#N/A</v>
      </c>
    </row>
    <row r="459" spans="17:65" x14ac:dyDescent="0.35">
      <c r="Q459" s="27"/>
      <c r="R459" s="6" t="str">
        <f>IF(Q459="","",SUMIFS(tblAnalysis[P&amp;L SOL],tblAnalysis[Date],Q459))</f>
        <v/>
      </c>
      <c r="S459" s="10" t="str">
        <f>IF(Q459="","",SUMIFS(tblAnalysis[P&amp;L %],tblAnalysis[Date],Q459))</f>
        <v/>
      </c>
      <c r="T459" s="6" t="str">
        <f>IF(Q459="","",IFERROR(SUM($R$2:R459),""))</f>
        <v/>
      </c>
      <c r="U459" t="str">
        <f>IF(Q459="","",COUNTIFS(tblAnalysis[Date],Q459))</f>
        <v/>
      </c>
      <c r="V459" t="str">
        <f>IF(R459="","",COUNTIFS(tblAnalysis[Date],R459))</f>
        <v/>
      </c>
      <c r="W459" s="27" t="str">
        <f t="shared" si="138"/>
        <v/>
      </c>
      <c r="X459" s="6" t="str">
        <f t="shared" si="139"/>
        <v/>
      </c>
      <c r="Y459" s="6" t="str">
        <f>IF(Q459="","",MAX(X459,_xlfn.MAXIFS(tblAnalysis[Cum P&amp;L SOL],tblAnalysis[Date],Q459)))</f>
        <v/>
      </c>
      <c r="Z459" s="6" t="str">
        <f>IF(Q459="","",MIN(X459,_xlfn.MINIFS(tblAnalysis[Cum P&amp;L SOL],tblAnalysis[Date],Q459)))</f>
        <v/>
      </c>
      <c r="AA459" s="6" t="str">
        <f t="shared" si="140"/>
        <v/>
      </c>
      <c r="AB459" s="6" t="str">
        <f t="shared" si="150"/>
        <v/>
      </c>
      <c r="AC459" s="27" t="str">
        <f t="shared" si="141"/>
        <v/>
      </c>
      <c r="AD459" s="10" t="str">
        <f t="shared" si="142"/>
        <v/>
      </c>
      <c r="AE459" s="10" t="str">
        <f t="shared" si="143"/>
        <v/>
      </c>
      <c r="AF459" s="10" t="str">
        <f t="shared" si="144"/>
        <v/>
      </c>
      <c r="AG459" s="10" t="str">
        <f t="shared" si="151"/>
        <v/>
      </c>
      <c r="AH459" t="str">
        <f t="shared" si="145"/>
        <v/>
      </c>
      <c r="AI459" t="str">
        <f t="shared" si="146"/>
        <v/>
      </c>
      <c r="AJ459" t="str">
        <f t="shared" si="152"/>
        <v/>
      </c>
      <c r="AK459" t="str" cm="1">
        <f t="array" ref="AK459">IFERROR(IF(INDEX($A:$A,ROW())="","",INDEX($A:$A,ROW())),"")</f>
        <v/>
      </c>
      <c r="AL459" t="str" cm="1">
        <f t="array" ref="AL459">IFERROR(INDEX(tblTrades[sol_invested],ROW()-1),"")</f>
        <v/>
      </c>
      <c r="AM459" s="6" t="str" cm="1">
        <f t="array" ref="AM459">IFERROR(INDEX(tblAnalysis[P&amp;L SOL],ROW()-1),"")</f>
        <v/>
      </c>
      <c r="AN459" t="str" cm="1">
        <f t="array" ref="AN459">IFERROR(IF(INDEX(tblTrades[sol_invested],ROW()-1)&gt;0.5,INDEX(tblAnalysis[Token],ROW()-1)&amp;" ("&amp;TEXT(INDEX(tblTrades[sol_invested],ROW()-1),"0.0")&amp;" SOL)",""),"")</f>
        <v/>
      </c>
      <c r="AO459" s="7"/>
      <c r="AP459" s="12" t="str" cm="1">
        <f t="array" ref="AP459">IFERROR(INDEX(tblAnalysis[Entry MC ($)],ROW()-1),"")</f>
        <v/>
      </c>
      <c r="AQ459" s="10" t="str" cm="1">
        <f t="array" ref="AQ459">IFERROR(INDEX(tblAnalysis[P&amp;L %],ROW()-1),"")</f>
        <v/>
      </c>
      <c r="AR459" t="str" cm="1">
        <f t="array" ref="AR459">IFERROR(INDEX(tblAnalysis[Hold Time (s)],ROW()-1),"")</f>
        <v/>
      </c>
      <c r="AS459" s="6" t="str" cm="1">
        <f t="array" ref="AS459">IFERROR(INDEX(tblAnalysis[P&amp;L SOL],ROW()-1),"")</f>
        <v/>
      </c>
      <c r="AT459" s="6" t="str">
        <f t="array" ref="AT459">IFERROR(INDEX(tblAnalysis[P&amp;L SOL],ROW()-1),"")</f>
        <v/>
      </c>
      <c r="AZ459" s="10"/>
      <c r="BA459" s="10"/>
      <c r="BF459" t="str">
        <f t="shared" si="147"/>
        <v/>
      </c>
      <c r="BG459" s="27" t="str">
        <f t="shared" si="148"/>
        <v/>
      </c>
      <c r="BH459" t="str">
        <f t="shared" si="149"/>
        <v/>
      </c>
      <c r="BI459" t="str">
        <f t="shared" si="153"/>
        <v/>
      </c>
      <c r="BL459" s="29" t="e">
        <f t="shared" si="132"/>
        <v>#N/A</v>
      </c>
      <c r="BM459" s="29" t="e">
        <f t="shared" si="133"/>
        <v>#N/A</v>
      </c>
    </row>
    <row r="460" spans="17:65" x14ac:dyDescent="0.35">
      <c r="Q460" s="27"/>
      <c r="R460" s="6" t="str">
        <f>IF(Q460="","",SUMIFS(tblAnalysis[P&amp;L SOL],tblAnalysis[Date],Q460))</f>
        <v/>
      </c>
      <c r="S460" s="10" t="str">
        <f>IF(Q460="","",SUMIFS(tblAnalysis[P&amp;L %],tblAnalysis[Date],Q460))</f>
        <v/>
      </c>
      <c r="T460" s="6" t="str">
        <f>IF(Q460="","",IFERROR(SUM($R$2:R460),""))</f>
        <v/>
      </c>
      <c r="U460" t="str">
        <f>IF(Q460="","",COUNTIFS(tblAnalysis[Date],Q460))</f>
        <v/>
      </c>
      <c r="V460" t="str">
        <f>IF(R460="","",COUNTIFS(tblAnalysis[Date],R460))</f>
        <v/>
      </c>
      <c r="W460" s="27" t="str">
        <f t="shared" si="138"/>
        <v/>
      </c>
      <c r="X460" s="6" t="str">
        <f t="shared" si="139"/>
        <v/>
      </c>
      <c r="Y460" s="6" t="str">
        <f>IF(Q460="","",MAX(X460,_xlfn.MAXIFS(tblAnalysis[Cum P&amp;L SOL],tblAnalysis[Date],Q460)))</f>
        <v/>
      </c>
      <c r="Z460" s="6" t="str">
        <f>IF(Q460="","",MIN(X460,_xlfn.MINIFS(tblAnalysis[Cum P&amp;L SOL],tblAnalysis[Date],Q460)))</f>
        <v/>
      </c>
      <c r="AA460" s="6" t="str">
        <f t="shared" si="140"/>
        <v/>
      </c>
      <c r="AB460" s="6" t="str">
        <f t="shared" si="150"/>
        <v/>
      </c>
      <c r="AC460" s="27" t="str">
        <f t="shared" si="141"/>
        <v/>
      </c>
      <c r="AD460" s="10" t="str">
        <f t="shared" si="142"/>
        <v/>
      </c>
      <c r="AE460" s="10" t="str">
        <f t="shared" si="143"/>
        <v/>
      </c>
      <c r="AF460" s="10" t="str">
        <f t="shared" si="144"/>
        <v/>
      </c>
      <c r="AG460" s="10" t="str">
        <f t="shared" si="151"/>
        <v/>
      </c>
      <c r="AH460" t="str">
        <f t="shared" si="145"/>
        <v/>
      </c>
      <c r="AI460" t="str">
        <f t="shared" si="146"/>
        <v/>
      </c>
      <c r="AJ460" t="str">
        <f t="shared" si="152"/>
        <v/>
      </c>
      <c r="AK460" t="str" cm="1">
        <f t="array" ref="AK460">IFERROR(IF(INDEX($A:$A,ROW())="","",INDEX($A:$A,ROW())),"")</f>
        <v/>
      </c>
      <c r="AL460" t="str" cm="1">
        <f t="array" ref="AL460">IFERROR(INDEX(tblTrades[sol_invested],ROW()-1),"")</f>
        <v/>
      </c>
      <c r="AM460" s="6" t="str" cm="1">
        <f t="array" ref="AM460">IFERROR(INDEX(tblAnalysis[P&amp;L SOL],ROW()-1),"")</f>
        <v/>
      </c>
      <c r="AN460" t="str" cm="1">
        <f t="array" ref="AN460">IFERROR(IF(INDEX(tblTrades[sol_invested],ROW()-1)&gt;0.5,INDEX(tblAnalysis[Token],ROW()-1)&amp;" ("&amp;TEXT(INDEX(tblTrades[sol_invested],ROW()-1),"0.0")&amp;" SOL)",""),"")</f>
        <v/>
      </c>
      <c r="AO460" s="7"/>
      <c r="AP460" s="12" t="str" cm="1">
        <f t="array" ref="AP460">IFERROR(INDEX(tblAnalysis[Entry MC ($)],ROW()-1),"")</f>
        <v/>
      </c>
      <c r="AQ460" s="10" t="str" cm="1">
        <f t="array" ref="AQ460">IFERROR(INDEX(tblAnalysis[P&amp;L %],ROW()-1),"")</f>
        <v/>
      </c>
      <c r="AR460" t="str" cm="1">
        <f t="array" ref="AR460">IFERROR(INDEX(tblAnalysis[Hold Time (s)],ROW()-1),"")</f>
        <v/>
      </c>
      <c r="AS460" s="6" t="str" cm="1">
        <f t="array" ref="AS460">IFERROR(INDEX(tblAnalysis[P&amp;L SOL],ROW()-1),"")</f>
        <v/>
      </c>
      <c r="AT460" s="6" t="str">
        <f t="array" ref="AT460">IFERROR(INDEX(tblAnalysis[P&amp;L SOL],ROW()-1),"")</f>
        <v/>
      </c>
      <c r="AZ460" s="10"/>
      <c r="BA460" s="10"/>
      <c r="BF460" t="str">
        <f t="shared" si="147"/>
        <v/>
      </c>
      <c r="BG460" s="27" t="str">
        <f t="shared" si="148"/>
        <v/>
      </c>
      <c r="BH460" t="str">
        <f t="shared" si="149"/>
        <v/>
      </c>
      <c r="BI460" t="str">
        <f t="shared" si="153"/>
        <v/>
      </c>
      <c r="BL460" s="29" t="e">
        <f t="shared" si="132"/>
        <v>#N/A</v>
      </c>
      <c r="BM460" s="29" t="e">
        <f t="shared" si="133"/>
        <v>#N/A</v>
      </c>
    </row>
    <row r="461" spans="17:65" x14ac:dyDescent="0.35">
      <c r="Q461" s="27"/>
      <c r="R461" s="6" t="str">
        <f>IF(Q461="","",SUMIFS(tblAnalysis[P&amp;L SOL],tblAnalysis[Date],Q461))</f>
        <v/>
      </c>
      <c r="S461" s="10" t="str">
        <f>IF(Q461="","",SUMIFS(tblAnalysis[P&amp;L %],tblAnalysis[Date],Q461))</f>
        <v/>
      </c>
      <c r="T461" s="6" t="str">
        <f>IF(Q461="","",IFERROR(SUM($R$2:R461),""))</f>
        <v/>
      </c>
      <c r="U461" t="str">
        <f>IF(Q461="","",COUNTIFS(tblAnalysis[Date],Q461))</f>
        <v/>
      </c>
      <c r="V461" t="str">
        <f>IF(R461="","",COUNTIFS(tblAnalysis[Date],R461))</f>
        <v/>
      </c>
      <c r="W461" s="27" t="str">
        <f t="shared" si="138"/>
        <v/>
      </c>
      <c r="X461" s="6" t="str">
        <f t="shared" si="139"/>
        <v/>
      </c>
      <c r="Y461" s="6" t="str">
        <f>IF(Q461="","",MAX(X461,_xlfn.MAXIFS(tblAnalysis[Cum P&amp;L SOL],tblAnalysis[Date],Q461)))</f>
        <v/>
      </c>
      <c r="Z461" s="6" t="str">
        <f>IF(Q461="","",MIN(X461,_xlfn.MINIFS(tblAnalysis[Cum P&amp;L SOL],tblAnalysis[Date],Q461)))</f>
        <v/>
      </c>
      <c r="AA461" s="6" t="str">
        <f t="shared" si="140"/>
        <v/>
      </c>
      <c r="AB461" s="6" t="str">
        <f t="shared" si="150"/>
        <v/>
      </c>
      <c r="AC461" s="27" t="str">
        <f t="shared" si="141"/>
        <v/>
      </c>
      <c r="AD461" s="10" t="str">
        <f t="shared" si="142"/>
        <v/>
      </c>
      <c r="AE461" s="10" t="str">
        <f t="shared" si="143"/>
        <v/>
      </c>
      <c r="AF461" s="10" t="str">
        <f t="shared" si="144"/>
        <v/>
      </c>
      <c r="AG461" s="10" t="str">
        <f t="shared" si="151"/>
        <v/>
      </c>
      <c r="AH461" t="str">
        <f t="shared" si="145"/>
        <v/>
      </c>
      <c r="AI461" t="str">
        <f t="shared" si="146"/>
        <v/>
      </c>
      <c r="AJ461" t="str">
        <f t="shared" si="152"/>
        <v/>
      </c>
      <c r="AK461" t="str" cm="1">
        <f t="array" ref="AK461">IFERROR(IF(INDEX($A:$A,ROW())="","",INDEX($A:$A,ROW())),"")</f>
        <v/>
      </c>
      <c r="AL461" t="str" cm="1">
        <f t="array" ref="AL461">IFERROR(INDEX(tblTrades[sol_invested],ROW()-1),"")</f>
        <v/>
      </c>
      <c r="AM461" s="6" t="str" cm="1">
        <f t="array" ref="AM461">IFERROR(INDEX(tblAnalysis[P&amp;L SOL],ROW()-1),"")</f>
        <v/>
      </c>
      <c r="AN461" t="str" cm="1">
        <f t="array" ref="AN461">IFERROR(IF(INDEX(tblTrades[sol_invested],ROW()-1)&gt;0.5,INDEX(tblAnalysis[Token],ROW()-1)&amp;" ("&amp;TEXT(INDEX(tblTrades[sol_invested],ROW()-1),"0.0")&amp;" SOL)",""),"")</f>
        <v/>
      </c>
      <c r="AO461" s="7"/>
      <c r="AP461" s="12" t="str" cm="1">
        <f t="array" ref="AP461">IFERROR(INDEX(tblAnalysis[Entry MC ($)],ROW()-1),"")</f>
        <v/>
      </c>
      <c r="AQ461" s="10" t="str" cm="1">
        <f t="array" ref="AQ461">IFERROR(INDEX(tblAnalysis[P&amp;L %],ROW()-1),"")</f>
        <v/>
      </c>
      <c r="AR461" t="str" cm="1">
        <f t="array" ref="AR461">IFERROR(INDEX(tblAnalysis[Hold Time (s)],ROW()-1),"")</f>
        <v/>
      </c>
      <c r="AS461" s="6" t="str" cm="1">
        <f t="array" ref="AS461">IFERROR(INDEX(tblAnalysis[P&amp;L SOL],ROW()-1),"")</f>
        <v/>
      </c>
      <c r="AT461" s="6" t="str">
        <f t="array" ref="AT461">IFERROR(INDEX(tblAnalysis[P&amp;L SOL],ROW()-1),"")</f>
        <v/>
      </c>
      <c r="AZ461" s="10"/>
      <c r="BA461" s="10"/>
      <c r="BF461" t="str">
        <f t="shared" si="147"/>
        <v/>
      </c>
      <c r="BG461" s="27" t="str">
        <f t="shared" si="148"/>
        <v/>
      </c>
      <c r="BH461" t="str">
        <f t="shared" si="149"/>
        <v/>
      </c>
      <c r="BI461" t="str">
        <f t="shared" si="153"/>
        <v/>
      </c>
      <c r="BL461" s="29" t="e">
        <f t="shared" si="132"/>
        <v>#N/A</v>
      </c>
      <c r="BM461" s="29" t="e">
        <f t="shared" si="133"/>
        <v>#N/A</v>
      </c>
    </row>
    <row r="462" spans="17:65" x14ac:dyDescent="0.35">
      <c r="Q462" s="27"/>
      <c r="R462" s="6" t="str">
        <f>IF(Q462="","",SUMIFS(tblAnalysis[P&amp;L SOL],tblAnalysis[Date],Q462))</f>
        <v/>
      </c>
      <c r="S462" s="10" t="str">
        <f>IF(Q462="","",SUMIFS(tblAnalysis[P&amp;L %],tblAnalysis[Date],Q462))</f>
        <v/>
      </c>
      <c r="T462" s="6" t="str">
        <f>IF(Q462="","",IFERROR(SUM($R$2:R462),""))</f>
        <v/>
      </c>
      <c r="U462" t="str">
        <f>IF(Q462="","",COUNTIFS(tblAnalysis[Date],Q462))</f>
        <v/>
      </c>
      <c r="V462" t="str">
        <f>IF(R462="","",COUNTIFS(tblAnalysis[Date],R462))</f>
        <v/>
      </c>
      <c r="W462" s="27" t="str">
        <f t="shared" si="138"/>
        <v/>
      </c>
      <c r="X462" s="6" t="str">
        <f t="shared" si="139"/>
        <v/>
      </c>
      <c r="Y462" s="6" t="str">
        <f>IF(Q462="","",MAX(X462,_xlfn.MAXIFS(tblAnalysis[Cum P&amp;L SOL],tblAnalysis[Date],Q462)))</f>
        <v/>
      </c>
      <c r="Z462" s="6" t="str">
        <f>IF(Q462="","",MIN(X462,_xlfn.MINIFS(tblAnalysis[Cum P&amp;L SOL],tblAnalysis[Date],Q462)))</f>
        <v/>
      </c>
      <c r="AA462" s="6" t="str">
        <f t="shared" si="140"/>
        <v/>
      </c>
      <c r="AB462" s="6" t="str">
        <f t="shared" si="150"/>
        <v/>
      </c>
      <c r="AC462" s="27" t="str">
        <f t="shared" si="141"/>
        <v/>
      </c>
      <c r="AD462" s="10" t="str">
        <f t="shared" si="142"/>
        <v/>
      </c>
      <c r="AE462" s="10" t="str">
        <f t="shared" si="143"/>
        <v/>
      </c>
      <c r="AF462" s="10" t="str">
        <f t="shared" si="144"/>
        <v/>
      </c>
      <c r="AG462" s="10" t="str">
        <f t="shared" si="151"/>
        <v/>
      </c>
      <c r="AH462" t="str">
        <f t="shared" si="145"/>
        <v/>
      </c>
      <c r="AI462" t="str">
        <f t="shared" si="146"/>
        <v/>
      </c>
      <c r="AJ462" t="str">
        <f t="shared" si="152"/>
        <v/>
      </c>
      <c r="AK462" t="str" cm="1">
        <f t="array" ref="AK462">IFERROR(IF(INDEX($A:$A,ROW())="","",INDEX($A:$A,ROW())),"")</f>
        <v/>
      </c>
      <c r="AL462" t="str" cm="1">
        <f t="array" ref="AL462">IFERROR(INDEX(tblTrades[sol_invested],ROW()-1),"")</f>
        <v/>
      </c>
      <c r="AM462" s="6" t="str" cm="1">
        <f t="array" ref="AM462">IFERROR(INDEX(tblAnalysis[P&amp;L SOL],ROW()-1),"")</f>
        <v/>
      </c>
      <c r="AN462" t="str" cm="1">
        <f t="array" ref="AN462">IFERROR(IF(INDEX(tblTrades[sol_invested],ROW()-1)&gt;0.5,INDEX(tblAnalysis[Token],ROW()-1)&amp;" ("&amp;TEXT(INDEX(tblTrades[sol_invested],ROW()-1),"0.0")&amp;" SOL)",""),"")</f>
        <v/>
      </c>
      <c r="AO462" s="7"/>
      <c r="AP462" s="12" t="str" cm="1">
        <f t="array" ref="AP462">IFERROR(INDEX(tblAnalysis[Entry MC ($)],ROW()-1),"")</f>
        <v/>
      </c>
      <c r="AQ462" s="10" t="str" cm="1">
        <f t="array" ref="AQ462">IFERROR(INDEX(tblAnalysis[P&amp;L %],ROW()-1),"")</f>
        <v/>
      </c>
      <c r="AR462" t="str" cm="1">
        <f t="array" ref="AR462">IFERROR(INDEX(tblAnalysis[Hold Time (s)],ROW()-1),"")</f>
        <v/>
      </c>
      <c r="AS462" s="6" t="str" cm="1">
        <f t="array" ref="AS462">IFERROR(INDEX(tblAnalysis[P&amp;L SOL],ROW()-1),"")</f>
        <v/>
      </c>
      <c r="AT462" s="6" t="str">
        <f t="array" ref="AT462">IFERROR(INDEX(tblAnalysis[P&amp;L SOL],ROW()-1),"")</f>
        <v/>
      </c>
      <c r="AZ462" s="10"/>
      <c r="BA462" s="10"/>
      <c r="BF462" t="str">
        <f t="shared" si="147"/>
        <v/>
      </c>
      <c r="BG462" s="27" t="str">
        <f t="shared" si="148"/>
        <v/>
      </c>
      <c r="BH462" t="str">
        <f t="shared" si="149"/>
        <v/>
      </c>
      <c r="BI462" t="str">
        <f t="shared" si="153"/>
        <v/>
      </c>
      <c r="BL462" s="29" t="e">
        <f t="shared" si="132"/>
        <v>#N/A</v>
      </c>
      <c r="BM462" s="29" t="e">
        <f t="shared" si="133"/>
        <v>#N/A</v>
      </c>
    </row>
    <row r="463" spans="17:65" x14ac:dyDescent="0.35">
      <c r="Q463" s="27"/>
      <c r="R463" s="6" t="str">
        <f>IF(Q463="","",SUMIFS(tblAnalysis[P&amp;L SOL],tblAnalysis[Date],Q463))</f>
        <v/>
      </c>
      <c r="S463" s="10" t="str">
        <f>IF(Q463="","",SUMIFS(tblAnalysis[P&amp;L %],tblAnalysis[Date],Q463))</f>
        <v/>
      </c>
      <c r="T463" s="6" t="str">
        <f>IF(Q463="","",IFERROR(SUM($R$2:R463),""))</f>
        <v/>
      </c>
      <c r="U463" t="str">
        <f>IF(Q463="","",COUNTIFS(tblAnalysis[Date],Q463))</f>
        <v/>
      </c>
      <c r="V463" t="str">
        <f>IF(R463="","",COUNTIFS(tblAnalysis[Date],R463))</f>
        <v/>
      </c>
      <c r="W463" s="27" t="str">
        <f t="shared" si="138"/>
        <v/>
      </c>
      <c r="X463" s="6" t="str">
        <f t="shared" si="139"/>
        <v/>
      </c>
      <c r="Y463" s="6" t="str">
        <f>IF(Q463="","",MAX(X463,_xlfn.MAXIFS(tblAnalysis[Cum P&amp;L SOL],tblAnalysis[Date],Q463)))</f>
        <v/>
      </c>
      <c r="Z463" s="6" t="str">
        <f>IF(Q463="","",MIN(X463,_xlfn.MINIFS(tblAnalysis[Cum P&amp;L SOL],tblAnalysis[Date],Q463)))</f>
        <v/>
      </c>
      <c r="AA463" s="6" t="str">
        <f t="shared" si="140"/>
        <v/>
      </c>
      <c r="AB463" s="6" t="str">
        <f t="shared" si="150"/>
        <v/>
      </c>
      <c r="AC463" s="27" t="str">
        <f t="shared" si="141"/>
        <v/>
      </c>
      <c r="AD463" s="10" t="str">
        <f t="shared" si="142"/>
        <v/>
      </c>
      <c r="AE463" s="10" t="str">
        <f t="shared" si="143"/>
        <v/>
      </c>
      <c r="AF463" s="10" t="str">
        <f t="shared" si="144"/>
        <v/>
      </c>
      <c r="AG463" s="10" t="str">
        <f t="shared" si="151"/>
        <v/>
      </c>
      <c r="AH463" t="str">
        <f t="shared" si="145"/>
        <v/>
      </c>
      <c r="AI463" t="str">
        <f t="shared" si="146"/>
        <v/>
      </c>
      <c r="AJ463" t="str">
        <f t="shared" si="152"/>
        <v/>
      </c>
      <c r="AK463" t="str" cm="1">
        <f t="array" ref="AK463">IFERROR(IF(INDEX($A:$A,ROW())="","",INDEX($A:$A,ROW())),"")</f>
        <v/>
      </c>
      <c r="AL463" t="str" cm="1">
        <f t="array" ref="AL463">IFERROR(INDEX(tblTrades[sol_invested],ROW()-1),"")</f>
        <v/>
      </c>
      <c r="AM463" s="6" t="str" cm="1">
        <f t="array" ref="AM463">IFERROR(INDEX(tblAnalysis[P&amp;L SOL],ROW()-1),"")</f>
        <v/>
      </c>
      <c r="AN463" t="str" cm="1">
        <f t="array" ref="AN463">IFERROR(IF(INDEX(tblTrades[sol_invested],ROW()-1)&gt;0.5,INDEX(tblAnalysis[Token],ROW()-1)&amp;" ("&amp;TEXT(INDEX(tblTrades[sol_invested],ROW()-1),"0.0")&amp;" SOL)",""),"")</f>
        <v/>
      </c>
      <c r="AO463" s="7"/>
      <c r="AP463" s="12" t="str" cm="1">
        <f t="array" ref="AP463">IFERROR(INDEX(tblAnalysis[Entry MC ($)],ROW()-1),"")</f>
        <v/>
      </c>
      <c r="AQ463" s="10" t="str" cm="1">
        <f t="array" ref="AQ463">IFERROR(INDEX(tblAnalysis[P&amp;L %],ROW()-1),"")</f>
        <v/>
      </c>
      <c r="AR463" t="str" cm="1">
        <f t="array" ref="AR463">IFERROR(INDEX(tblAnalysis[Hold Time (s)],ROW()-1),"")</f>
        <v/>
      </c>
      <c r="AS463" s="6" t="str" cm="1">
        <f t="array" ref="AS463">IFERROR(INDEX(tblAnalysis[P&amp;L SOL],ROW()-1),"")</f>
        <v/>
      </c>
      <c r="AT463" s="6" t="str">
        <f t="array" ref="AT463">IFERROR(INDEX(tblAnalysis[P&amp;L SOL],ROW()-1),"")</f>
        <v/>
      </c>
      <c r="AZ463" s="10"/>
      <c r="BA463" s="10"/>
      <c r="BF463" t="str">
        <f t="shared" si="147"/>
        <v/>
      </c>
      <c r="BG463" s="27" t="str">
        <f t="shared" si="148"/>
        <v/>
      </c>
      <c r="BH463" t="str">
        <f t="shared" si="149"/>
        <v/>
      </c>
      <c r="BI463" t="str">
        <f t="shared" si="153"/>
        <v/>
      </c>
      <c r="BL463" s="29" t="e">
        <f t="shared" si="132"/>
        <v>#N/A</v>
      </c>
      <c r="BM463" s="29" t="e">
        <f t="shared" si="133"/>
        <v>#N/A</v>
      </c>
    </row>
    <row r="464" spans="17:65" x14ac:dyDescent="0.35">
      <c r="Q464" s="27"/>
      <c r="R464" s="6" t="str">
        <f>IF(Q464="","",SUMIFS(tblAnalysis[P&amp;L SOL],tblAnalysis[Date],Q464))</f>
        <v/>
      </c>
      <c r="S464" s="10" t="str">
        <f>IF(Q464="","",SUMIFS(tblAnalysis[P&amp;L %],tblAnalysis[Date],Q464))</f>
        <v/>
      </c>
      <c r="T464" s="6" t="str">
        <f>IF(Q464="","",IFERROR(SUM($R$2:R464),""))</f>
        <v/>
      </c>
      <c r="U464" t="str">
        <f>IF(Q464="","",COUNTIFS(tblAnalysis[Date],Q464))</f>
        <v/>
      </c>
      <c r="V464" t="str">
        <f>IF(R464="","",COUNTIFS(tblAnalysis[Date],R464))</f>
        <v/>
      </c>
      <c r="W464" s="27" t="str">
        <f t="shared" si="138"/>
        <v/>
      </c>
      <c r="X464" s="6" t="str">
        <f t="shared" si="139"/>
        <v/>
      </c>
      <c r="Y464" s="6" t="str">
        <f>IF(Q464="","",MAX(X464,_xlfn.MAXIFS(tblAnalysis[Cum P&amp;L SOL],tblAnalysis[Date],Q464)))</f>
        <v/>
      </c>
      <c r="Z464" s="6" t="str">
        <f>IF(Q464="","",MIN(X464,_xlfn.MINIFS(tblAnalysis[Cum P&amp;L SOL],tblAnalysis[Date],Q464)))</f>
        <v/>
      </c>
      <c r="AA464" s="6" t="str">
        <f t="shared" si="140"/>
        <v/>
      </c>
      <c r="AB464" s="6" t="str">
        <f t="shared" si="150"/>
        <v/>
      </c>
      <c r="AC464" s="27" t="str">
        <f t="shared" si="141"/>
        <v/>
      </c>
      <c r="AD464" s="10" t="str">
        <f t="shared" si="142"/>
        <v/>
      </c>
      <c r="AE464" s="10" t="str">
        <f t="shared" si="143"/>
        <v/>
      </c>
      <c r="AF464" s="10" t="str">
        <f t="shared" si="144"/>
        <v/>
      </c>
      <c r="AG464" s="10" t="str">
        <f t="shared" si="151"/>
        <v/>
      </c>
      <c r="AH464" t="str">
        <f t="shared" si="145"/>
        <v/>
      </c>
      <c r="AI464" t="str">
        <f t="shared" si="146"/>
        <v/>
      </c>
      <c r="AJ464" t="str">
        <f t="shared" si="152"/>
        <v/>
      </c>
      <c r="AK464" t="str" cm="1">
        <f t="array" ref="AK464">IFERROR(IF(INDEX($A:$A,ROW())="","",INDEX($A:$A,ROW())),"")</f>
        <v/>
      </c>
      <c r="AL464" t="str" cm="1">
        <f t="array" ref="AL464">IFERROR(INDEX(tblTrades[sol_invested],ROW()-1),"")</f>
        <v/>
      </c>
      <c r="AM464" s="6" t="str" cm="1">
        <f t="array" ref="AM464">IFERROR(INDEX(tblAnalysis[P&amp;L SOL],ROW()-1),"")</f>
        <v/>
      </c>
      <c r="AN464" t="str" cm="1">
        <f t="array" ref="AN464">IFERROR(IF(INDEX(tblTrades[sol_invested],ROW()-1)&gt;0.5,INDEX(tblAnalysis[Token],ROW()-1)&amp;" ("&amp;TEXT(INDEX(tblTrades[sol_invested],ROW()-1),"0.0")&amp;" SOL)",""),"")</f>
        <v/>
      </c>
      <c r="AO464" s="7"/>
      <c r="AP464" s="12" t="str" cm="1">
        <f t="array" ref="AP464">IFERROR(INDEX(tblAnalysis[Entry MC ($)],ROW()-1),"")</f>
        <v/>
      </c>
      <c r="AQ464" s="10" t="str" cm="1">
        <f t="array" ref="AQ464">IFERROR(INDEX(tblAnalysis[P&amp;L %],ROW()-1),"")</f>
        <v/>
      </c>
      <c r="AR464" t="str" cm="1">
        <f t="array" ref="AR464">IFERROR(INDEX(tblAnalysis[Hold Time (s)],ROW()-1),"")</f>
        <v/>
      </c>
      <c r="AS464" s="6" t="str" cm="1">
        <f t="array" ref="AS464">IFERROR(INDEX(tblAnalysis[P&amp;L SOL],ROW()-1),"")</f>
        <v/>
      </c>
      <c r="AT464" s="6" t="str">
        <f t="array" ref="AT464">IFERROR(INDEX(tblAnalysis[P&amp;L SOL],ROW()-1),"")</f>
        <v/>
      </c>
      <c r="AZ464" s="10"/>
      <c r="BA464" s="10"/>
      <c r="BF464" t="str">
        <f t="shared" si="147"/>
        <v/>
      </c>
      <c r="BG464" s="27" t="str">
        <f t="shared" si="148"/>
        <v/>
      </c>
      <c r="BH464" t="str">
        <f t="shared" si="149"/>
        <v/>
      </c>
      <c r="BI464" t="str">
        <f t="shared" si="153"/>
        <v/>
      </c>
      <c r="BL464" s="29" t="e">
        <f t="shared" si="132"/>
        <v>#N/A</v>
      </c>
      <c r="BM464" s="29" t="e">
        <f t="shared" si="133"/>
        <v>#N/A</v>
      </c>
    </row>
    <row r="465" spans="17:65" x14ac:dyDescent="0.35">
      <c r="Q465" s="27"/>
      <c r="R465" s="6" t="str">
        <f>IF(Q465="","",SUMIFS(tblAnalysis[P&amp;L SOL],tblAnalysis[Date],Q465))</f>
        <v/>
      </c>
      <c r="S465" s="10" t="str">
        <f>IF(Q465="","",SUMIFS(tblAnalysis[P&amp;L %],tblAnalysis[Date],Q465))</f>
        <v/>
      </c>
      <c r="T465" s="6" t="str">
        <f>IF(Q465="","",IFERROR(SUM($R$2:R465),""))</f>
        <v/>
      </c>
      <c r="U465" t="str">
        <f>IF(Q465="","",COUNTIFS(tblAnalysis[Date],Q465))</f>
        <v/>
      </c>
      <c r="V465" t="str">
        <f>IF(R465="","",COUNTIFS(tblAnalysis[Date],R465))</f>
        <v/>
      </c>
      <c r="W465" s="27" t="str">
        <f t="shared" si="138"/>
        <v/>
      </c>
      <c r="X465" s="6" t="str">
        <f t="shared" si="139"/>
        <v/>
      </c>
      <c r="Y465" s="6" t="str">
        <f>IF(Q465="","",MAX(X465,_xlfn.MAXIFS(tblAnalysis[Cum P&amp;L SOL],tblAnalysis[Date],Q465)))</f>
        <v/>
      </c>
      <c r="Z465" s="6" t="str">
        <f>IF(Q465="","",MIN(X465,_xlfn.MINIFS(tblAnalysis[Cum P&amp;L SOL],tblAnalysis[Date],Q465)))</f>
        <v/>
      </c>
      <c r="AA465" s="6" t="str">
        <f t="shared" si="140"/>
        <v/>
      </c>
      <c r="AB465" s="6" t="str">
        <f t="shared" si="150"/>
        <v/>
      </c>
      <c r="AC465" s="27" t="str">
        <f t="shared" si="141"/>
        <v/>
      </c>
      <c r="AD465" s="10" t="str">
        <f t="shared" si="142"/>
        <v/>
      </c>
      <c r="AE465" s="10" t="str">
        <f t="shared" si="143"/>
        <v/>
      </c>
      <c r="AF465" s="10" t="str">
        <f t="shared" si="144"/>
        <v/>
      </c>
      <c r="AG465" s="10" t="str">
        <f t="shared" si="151"/>
        <v/>
      </c>
      <c r="AH465" t="str">
        <f t="shared" si="145"/>
        <v/>
      </c>
      <c r="AI465" t="str">
        <f t="shared" si="146"/>
        <v/>
      </c>
      <c r="AJ465" t="str">
        <f t="shared" si="152"/>
        <v/>
      </c>
      <c r="AK465" t="str" cm="1">
        <f t="array" ref="AK465">IFERROR(IF(INDEX($A:$A,ROW())="","",INDEX($A:$A,ROW())),"")</f>
        <v/>
      </c>
      <c r="AL465" t="str" cm="1">
        <f t="array" ref="AL465">IFERROR(INDEX(tblTrades[sol_invested],ROW()-1),"")</f>
        <v/>
      </c>
      <c r="AM465" s="6" t="str" cm="1">
        <f t="array" ref="AM465">IFERROR(INDEX(tblAnalysis[P&amp;L SOL],ROW()-1),"")</f>
        <v/>
      </c>
      <c r="AN465" t="str" cm="1">
        <f t="array" ref="AN465">IFERROR(IF(INDEX(tblTrades[sol_invested],ROW()-1)&gt;0.5,INDEX(tblAnalysis[Token],ROW()-1)&amp;" ("&amp;TEXT(INDEX(tblTrades[sol_invested],ROW()-1),"0.0")&amp;" SOL)",""),"")</f>
        <v/>
      </c>
      <c r="AO465" s="7"/>
      <c r="AP465" s="12" t="str" cm="1">
        <f t="array" ref="AP465">IFERROR(INDEX(tblAnalysis[Entry MC ($)],ROW()-1),"")</f>
        <v/>
      </c>
      <c r="AQ465" s="10" t="str" cm="1">
        <f t="array" ref="AQ465">IFERROR(INDEX(tblAnalysis[P&amp;L %],ROW()-1),"")</f>
        <v/>
      </c>
      <c r="AR465" t="str" cm="1">
        <f t="array" ref="AR465">IFERROR(INDEX(tblAnalysis[Hold Time (s)],ROW()-1),"")</f>
        <v/>
      </c>
      <c r="AS465" s="6" t="str" cm="1">
        <f t="array" ref="AS465">IFERROR(INDEX(tblAnalysis[P&amp;L SOL],ROW()-1),"")</f>
        <v/>
      </c>
      <c r="AT465" s="6" t="str">
        <f t="array" ref="AT465">IFERROR(INDEX(tblAnalysis[P&amp;L SOL],ROW()-1),"")</f>
        <v/>
      </c>
      <c r="AZ465" s="10"/>
      <c r="BA465" s="10"/>
      <c r="BF465" t="str">
        <f t="shared" si="147"/>
        <v/>
      </c>
      <c r="BG465" s="27" t="str">
        <f t="shared" si="148"/>
        <v/>
      </c>
      <c r="BH465" t="str">
        <f t="shared" si="149"/>
        <v/>
      </c>
      <c r="BI465" t="str">
        <f t="shared" si="153"/>
        <v/>
      </c>
      <c r="BL465" s="29" t="e">
        <f t="shared" si="132"/>
        <v>#N/A</v>
      </c>
      <c r="BM465" s="29" t="e">
        <f t="shared" si="133"/>
        <v>#N/A</v>
      </c>
    </row>
    <row r="466" spans="17:65" x14ac:dyDescent="0.35">
      <c r="Q466" s="27"/>
      <c r="R466" s="6" t="str">
        <f>IF(Q466="","",SUMIFS(tblAnalysis[P&amp;L SOL],tblAnalysis[Date],Q466))</f>
        <v/>
      </c>
      <c r="S466" s="10" t="str">
        <f>IF(Q466="","",SUMIFS(tblAnalysis[P&amp;L %],tblAnalysis[Date],Q466))</f>
        <v/>
      </c>
      <c r="T466" s="6" t="str">
        <f>IF(Q466="","",IFERROR(SUM($R$2:R466),""))</f>
        <v/>
      </c>
      <c r="U466" t="str">
        <f>IF(Q466="","",COUNTIFS(tblAnalysis[Date],Q466))</f>
        <v/>
      </c>
      <c r="V466" t="str">
        <f>IF(R466="","",COUNTIFS(tblAnalysis[Date],R466))</f>
        <v/>
      </c>
      <c r="W466" s="27" t="str">
        <f t="shared" si="138"/>
        <v/>
      </c>
      <c r="X466" s="6" t="str">
        <f t="shared" si="139"/>
        <v/>
      </c>
      <c r="Y466" s="6" t="str">
        <f>IF(Q466="","",MAX(X466,_xlfn.MAXIFS(tblAnalysis[Cum P&amp;L SOL],tblAnalysis[Date],Q466)))</f>
        <v/>
      </c>
      <c r="Z466" s="6" t="str">
        <f>IF(Q466="","",MIN(X466,_xlfn.MINIFS(tblAnalysis[Cum P&amp;L SOL],tblAnalysis[Date],Q466)))</f>
        <v/>
      </c>
      <c r="AA466" s="6" t="str">
        <f t="shared" si="140"/>
        <v/>
      </c>
      <c r="AB466" s="6" t="str">
        <f t="shared" si="150"/>
        <v/>
      </c>
      <c r="AC466" s="27" t="str">
        <f t="shared" si="141"/>
        <v/>
      </c>
      <c r="AD466" s="10" t="str">
        <f t="shared" si="142"/>
        <v/>
      </c>
      <c r="AE466" s="10" t="str">
        <f t="shared" si="143"/>
        <v/>
      </c>
      <c r="AF466" s="10" t="str">
        <f t="shared" si="144"/>
        <v/>
      </c>
      <c r="AG466" s="10" t="str">
        <f t="shared" si="151"/>
        <v/>
      </c>
      <c r="AH466" t="str">
        <f t="shared" si="145"/>
        <v/>
      </c>
      <c r="AI466" t="str">
        <f t="shared" si="146"/>
        <v/>
      </c>
      <c r="AJ466" t="str">
        <f t="shared" si="152"/>
        <v/>
      </c>
      <c r="AK466" t="str" cm="1">
        <f t="array" ref="AK466">IFERROR(IF(INDEX($A:$A,ROW())="","",INDEX($A:$A,ROW())),"")</f>
        <v/>
      </c>
      <c r="AL466" t="str" cm="1">
        <f t="array" ref="AL466">IFERROR(INDEX(tblTrades[sol_invested],ROW()-1),"")</f>
        <v/>
      </c>
      <c r="AM466" s="6" t="str" cm="1">
        <f t="array" ref="AM466">IFERROR(INDEX(tblAnalysis[P&amp;L SOL],ROW()-1),"")</f>
        <v/>
      </c>
      <c r="AN466" t="str" cm="1">
        <f t="array" ref="AN466">IFERROR(IF(INDEX(tblTrades[sol_invested],ROW()-1)&gt;0.5,INDEX(tblAnalysis[Token],ROW()-1)&amp;" ("&amp;TEXT(INDEX(tblTrades[sol_invested],ROW()-1),"0.0")&amp;" SOL)",""),"")</f>
        <v/>
      </c>
      <c r="AO466" s="7"/>
      <c r="AP466" s="12" t="str" cm="1">
        <f t="array" ref="AP466">IFERROR(INDEX(tblAnalysis[Entry MC ($)],ROW()-1),"")</f>
        <v/>
      </c>
      <c r="AQ466" s="10" t="str" cm="1">
        <f t="array" ref="AQ466">IFERROR(INDEX(tblAnalysis[P&amp;L %],ROW()-1),"")</f>
        <v/>
      </c>
      <c r="AR466" t="str" cm="1">
        <f t="array" ref="AR466">IFERROR(INDEX(tblAnalysis[Hold Time (s)],ROW()-1),"")</f>
        <v/>
      </c>
      <c r="AS466" s="6" t="str" cm="1">
        <f t="array" ref="AS466">IFERROR(INDEX(tblAnalysis[P&amp;L SOL],ROW()-1),"")</f>
        <v/>
      </c>
      <c r="AT466" s="6" t="str">
        <f t="array" ref="AT466">IFERROR(INDEX(tblAnalysis[P&amp;L SOL],ROW()-1),"")</f>
        <v/>
      </c>
      <c r="AZ466" s="10"/>
      <c r="BA466" s="10"/>
      <c r="BF466" t="str">
        <f t="shared" si="147"/>
        <v/>
      </c>
      <c r="BG466" s="27" t="str">
        <f t="shared" si="148"/>
        <v/>
      </c>
      <c r="BH466" t="str">
        <f t="shared" si="149"/>
        <v/>
      </c>
      <c r="BI466" t="str">
        <f t="shared" si="153"/>
        <v/>
      </c>
      <c r="BL466" s="29" t="e">
        <f t="shared" si="132"/>
        <v>#N/A</v>
      </c>
      <c r="BM466" s="29" t="e">
        <f t="shared" si="133"/>
        <v>#N/A</v>
      </c>
    </row>
    <row r="467" spans="17:65" x14ac:dyDescent="0.35">
      <c r="Q467" s="27"/>
      <c r="R467" s="6" t="str">
        <f>IF(Q467="","",SUMIFS(tblAnalysis[P&amp;L SOL],tblAnalysis[Date],Q467))</f>
        <v/>
      </c>
      <c r="S467" s="10" t="str">
        <f>IF(Q467="","",SUMIFS(tblAnalysis[P&amp;L %],tblAnalysis[Date],Q467))</f>
        <v/>
      </c>
      <c r="T467" s="6" t="str">
        <f>IF(Q467="","",IFERROR(SUM($R$2:R467),""))</f>
        <v/>
      </c>
      <c r="U467" t="str">
        <f>IF(Q467="","",COUNTIFS(tblAnalysis[Date],Q467))</f>
        <v/>
      </c>
      <c r="V467" t="str">
        <f>IF(R467="","",COUNTIFS(tblAnalysis[Date],R467))</f>
        <v/>
      </c>
      <c r="W467" s="27" t="str">
        <f t="shared" si="138"/>
        <v/>
      </c>
      <c r="X467" s="6" t="str">
        <f t="shared" si="139"/>
        <v/>
      </c>
      <c r="Y467" s="6" t="str">
        <f>IF(Q467="","",MAX(X467,_xlfn.MAXIFS(tblAnalysis[Cum P&amp;L SOL],tblAnalysis[Date],Q467)))</f>
        <v/>
      </c>
      <c r="Z467" s="6" t="str">
        <f>IF(Q467="","",MIN(X467,_xlfn.MINIFS(tblAnalysis[Cum P&amp;L SOL],tblAnalysis[Date],Q467)))</f>
        <v/>
      </c>
      <c r="AA467" s="6" t="str">
        <f t="shared" si="140"/>
        <v/>
      </c>
      <c r="AB467" s="6" t="str">
        <f t="shared" si="150"/>
        <v/>
      </c>
      <c r="AC467" s="27" t="str">
        <f t="shared" si="141"/>
        <v/>
      </c>
      <c r="AD467" s="10" t="str">
        <f t="shared" si="142"/>
        <v/>
      </c>
      <c r="AE467" s="10" t="str">
        <f t="shared" si="143"/>
        <v/>
      </c>
      <c r="AF467" s="10" t="str">
        <f t="shared" si="144"/>
        <v/>
      </c>
      <c r="AG467" s="10" t="str">
        <f t="shared" si="151"/>
        <v/>
      </c>
      <c r="AH467" t="str">
        <f t="shared" si="145"/>
        <v/>
      </c>
      <c r="AI467" t="str">
        <f t="shared" si="146"/>
        <v/>
      </c>
      <c r="AJ467" t="str">
        <f t="shared" si="152"/>
        <v/>
      </c>
      <c r="AK467" t="str" cm="1">
        <f t="array" ref="AK467">IFERROR(IF(INDEX($A:$A,ROW())="","",INDEX($A:$A,ROW())),"")</f>
        <v/>
      </c>
      <c r="AL467" t="str" cm="1">
        <f t="array" ref="AL467">IFERROR(INDEX(tblTrades[sol_invested],ROW()-1),"")</f>
        <v/>
      </c>
      <c r="AM467" s="6" t="str" cm="1">
        <f t="array" ref="AM467">IFERROR(INDEX(tblAnalysis[P&amp;L SOL],ROW()-1),"")</f>
        <v/>
      </c>
      <c r="AN467" t="str" cm="1">
        <f t="array" ref="AN467">IFERROR(IF(INDEX(tblTrades[sol_invested],ROW()-1)&gt;0.5,INDEX(tblAnalysis[Token],ROW()-1)&amp;" ("&amp;TEXT(INDEX(tblTrades[sol_invested],ROW()-1),"0.0")&amp;" SOL)",""),"")</f>
        <v/>
      </c>
      <c r="AO467" s="7"/>
      <c r="AP467" s="12" t="str" cm="1">
        <f t="array" ref="AP467">IFERROR(INDEX(tblAnalysis[Entry MC ($)],ROW()-1),"")</f>
        <v/>
      </c>
      <c r="AQ467" s="10" t="str" cm="1">
        <f t="array" ref="AQ467">IFERROR(INDEX(tblAnalysis[P&amp;L %],ROW()-1),"")</f>
        <v/>
      </c>
      <c r="AR467" t="str" cm="1">
        <f t="array" ref="AR467">IFERROR(INDEX(tblAnalysis[Hold Time (s)],ROW()-1),"")</f>
        <v/>
      </c>
      <c r="AS467" s="6" t="str" cm="1">
        <f t="array" ref="AS467">IFERROR(INDEX(tblAnalysis[P&amp;L SOL],ROW()-1),"")</f>
        <v/>
      </c>
      <c r="AT467" s="6" t="str">
        <f t="array" ref="AT467">IFERROR(INDEX(tblAnalysis[P&amp;L SOL],ROW()-1),"")</f>
        <v/>
      </c>
      <c r="AZ467" s="10"/>
      <c r="BA467" s="10"/>
      <c r="BF467" t="str">
        <f t="shared" si="147"/>
        <v/>
      </c>
      <c r="BG467" s="27" t="str">
        <f t="shared" si="148"/>
        <v/>
      </c>
      <c r="BH467" t="str">
        <f t="shared" si="149"/>
        <v/>
      </c>
      <c r="BI467" t="str">
        <f t="shared" si="153"/>
        <v/>
      </c>
      <c r="BL467" s="29" t="e">
        <f t="shared" si="132"/>
        <v>#N/A</v>
      </c>
      <c r="BM467" s="29" t="e">
        <f t="shared" si="133"/>
        <v>#N/A</v>
      </c>
    </row>
    <row r="468" spans="17:65" x14ac:dyDescent="0.35">
      <c r="Q468" s="27"/>
      <c r="R468" s="6" t="str">
        <f>IF(Q468="","",SUMIFS(tblAnalysis[P&amp;L SOL],tblAnalysis[Date],Q468))</f>
        <v/>
      </c>
      <c r="S468" s="10" t="str">
        <f>IF(Q468="","",SUMIFS(tblAnalysis[P&amp;L %],tblAnalysis[Date],Q468))</f>
        <v/>
      </c>
      <c r="T468" s="6" t="str">
        <f>IF(Q468="","",IFERROR(SUM($R$2:R468),""))</f>
        <v/>
      </c>
      <c r="U468" t="str">
        <f>IF(Q468="","",COUNTIFS(tblAnalysis[Date],Q468))</f>
        <v/>
      </c>
      <c r="V468" t="str">
        <f>IF(R468="","",COUNTIFS(tblAnalysis[Date],R468))</f>
        <v/>
      </c>
      <c r="W468" s="27" t="str">
        <f t="shared" si="138"/>
        <v/>
      </c>
      <c r="X468" s="6" t="str">
        <f t="shared" si="139"/>
        <v/>
      </c>
      <c r="Y468" s="6" t="str">
        <f>IF(Q468="","",MAX(X468,_xlfn.MAXIFS(tblAnalysis[Cum P&amp;L SOL],tblAnalysis[Date],Q468)))</f>
        <v/>
      </c>
      <c r="Z468" s="6" t="str">
        <f>IF(Q468="","",MIN(X468,_xlfn.MINIFS(tblAnalysis[Cum P&amp;L SOL],tblAnalysis[Date],Q468)))</f>
        <v/>
      </c>
      <c r="AA468" s="6" t="str">
        <f t="shared" si="140"/>
        <v/>
      </c>
      <c r="AB468" s="6" t="str">
        <f t="shared" si="150"/>
        <v/>
      </c>
      <c r="AC468" s="27" t="str">
        <f t="shared" si="141"/>
        <v/>
      </c>
      <c r="AD468" s="10" t="str">
        <f t="shared" si="142"/>
        <v/>
      </c>
      <c r="AE468" s="10" t="str">
        <f t="shared" si="143"/>
        <v/>
      </c>
      <c r="AF468" s="10" t="str">
        <f t="shared" si="144"/>
        <v/>
      </c>
      <c r="AG468" s="10" t="str">
        <f t="shared" si="151"/>
        <v/>
      </c>
      <c r="AH468" t="str">
        <f t="shared" si="145"/>
        <v/>
      </c>
      <c r="AI468" t="str">
        <f t="shared" si="146"/>
        <v/>
      </c>
      <c r="AJ468" t="str">
        <f t="shared" si="152"/>
        <v/>
      </c>
      <c r="AK468" t="str" cm="1">
        <f t="array" ref="AK468">IFERROR(IF(INDEX($A:$A,ROW())="","",INDEX($A:$A,ROW())),"")</f>
        <v/>
      </c>
      <c r="AL468" t="str" cm="1">
        <f t="array" ref="AL468">IFERROR(INDEX(tblTrades[sol_invested],ROW()-1),"")</f>
        <v/>
      </c>
      <c r="AM468" s="6" t="str" cm="1">
        <f t="array" ref="AM468">IFERROR(INDEX(tblAnalysis[P&amp;L SOL],ROW()-1),"")</f>
        <v/>
      </c>
      <c r="AN468" t="str" cm="1">
        <f t="array" ref="AN468">IFERROR(IF(INDEX(tblTrades[sol_invested],ROW()-1)&gt;0.5,INDEX(tblAnalysis[Token],ROW()-1)&amp;" ("&amp;TEXT(INDEX(tblTrades[sol_invested],ROW()-1),"0.0")&amp;" SOL)",""),"")</f>
        <v/>
      </c>
      <c r="AO468" s="7"/>
      <c r="AP468" s="12" t="str" cm="1">
        <f t="array" ref="AP468">IFERROR(INDEX(tblAnalysis[Entry MC ($)],ROW()-1),"")</f>
        <v/>
      </c>
      <c r="AQ468" s="10" t="str" cm="1">
        <f t="array" ref="AQ468">IFERROR(INDEX(tblAnalysis[P&amp;L %],ROW()-1),"")</f>
        <v/>
      </c>
      <c r="AR468" t="str" cm="1">
        <f t="array" ref="AR468">IFERROR(INDEX(tblAnalysis[Hold Time (s)],ROW()-1),"")</f>
        <v/>
      </c>
      <c r="AS468" s="6" t="str" cm="1">
        <f t="array" ref="AS468">IFERROR(INDEX(tblAnalysis[P&amp;L SOL],ROW()-1),"")</f>
        <v/>
      </c>
      <c r="AT468" s="6" t="str">
        <f t="array" ref="AT468">IFERROR(INDEX(tblAnalysis[P&amp;L SOL],ROW()-1),"")</f>
        <v/>
      </c>
      <c r="AZ468" s="10"/>
      <c r="BA468" s="10"/>
      <c r="BF468" t="str">
        <f t="shared" si="147"/>
        <v/>
      </c>
      <c r="BG468" s="27" t="str">
        <f t="shared" si="148"/>
        <v/>
      </c>
      <c r="BH468" t="str">
        <f t="shared" si="149"/>
        <v/>
      </c>
      <c r="BI468" t="str">
        <f t="shared" si="153"/>
        <v/>
      </c>
      <c r="BL468" s="29" t="e">
        <f t="shared" si="132"/>
        <v>#N/A</v>
      </c>
      <c r="BM468" s="29" t="e">
        <f t="shared" si="133"/>
        <v>#N/A</v>
      </c>
    </row>
    <row r="469" spans="17:65" x14ac:dyDescent="0.35">
      <c r="Q469" s="27"/>
      <c r="R469" s="6" t="str">
        <f>IF(Q469="","",SUMIFS(tblAnalysis[P&amp;L SOL],tblAnalysis[Date],Q469))</f>
        <v/>
      </c>
      <c r="S469" s="10" t="str">
        <f>IF(Q469="","",SUMIFS(tblAnalysis[P&amp;L %],tblAnalysis[Date],Q469))</f>
        <v/>
      </c>
      <c r="T469" s="6" t="str">
        <f>IF(Q469="","",IFERROR(SUM($R$2:R469),""))</f>
        <v/>
      </c>
      <c r="U469" t="str">
        <f>IF(Q469="","",COUNTIFS(tblAnalysis[Date],Q469))</f>
        <v/>
      </c>
      <c r="V469" t="str">
        <f>IF(R469="","",COUNTIFS(tblAnalysis[Date],R469))</f>
        <v/>
      </c>
      <c r="W469" s="27" t="str">
        <f t="shared" si="138"/>
        <v/>
      </c>
      <c r="X469" s="6" t="str">
        <f t="shared" si="139"/>
        <v/>
      </c>
      <c r="Y469" s="6" t="str">
        <f>IF(Q469="","",MAX(X469,_xlfn.MAXIFS(tblAnalysis[Cum P&amp;L SOL],tblAnalysis[Date],Q469)))</f>
        <v/>
      </c>
      <c r="Z469" s="6" t="str">
        <f>IF(Q469="","",MIN(X469,_xlfn.MINIFS(tblAnalysis[Cum P&amp;L SOL],tblAnalysis[Date],Q469)))</f>
        <v/>
      </c>
      <c r="AA469" s="6" t="str">
        <f t="shared" si="140"/>
        <v/>
      </c>
      <c r="AB469" s="6" t="str">
        <f t="shared" si="150"/>
        <v/>
      </c>
      <c r="AC469" s="27" t="str">
        <f t="shared" si="141"/>
        <v/>
      </c>
      <c r="AD469" s="10" t="str">
        <f t="shared" si="142"/>
        <v/>
      </c>
      <c r="AE469" s="10" t="str">
        <f t="shared" si="143"/>
        <v/>
      </c>
      <c r="AF469" s="10" t="str">
        <f t="shared" si="144"/>
        <v/>
      </c>
      <c r="AG469" s="10" t="str">
        <f t="shared" si="151"/>
        <v/>
      </c>
      <c r="AH469" t="str">
        <f t="shared" si="145"/>
        <v/>
      </c>
      <c r="AI469" t="str">
        <f t="shared" si="146"/>
        <v/>
      </c>
      <c r="AJ469" t="str">
        <f t="shared" si="152"/>
        <v/>
      </c>
      <c r="AK469" t="str" cm="1">
        <f t="array" ref="AK469">IFERROR(IF(INDEX($A:$A,ROW())="","",INDEX($A:$A,ROW())),"")</f>
        <v/>
      </c>
      <c r="AL469" t="str" cm="1">
        <f t="array" ref="AL469">IFERROR(INDEX(tblTrades[sol_invested],ROW()-1),"")</f>
        <v/>
      </c>
      <c r="AM469" s="6" t="str" cm="1">
        <f t="array" ref="AM469">IFERROR(INDEX(tblAnalysis[P&amp;L SOL],ROW()-1),"")</f>
        <v/>
      </c>
      <c r="AN469" t="str" cm="1">
        <f t="array" ref="AN469">IFERROR(IF(INDEX(tblTrades[sol_invested],ROW()-1)&gt;0.5,INDEX(tblAnalysis[Token],ROW()-1)&amp;" ("&amp;TEXT(INDEX(tblTrades[sol_invested],ROW()-1),"0.0")&amp;" SOL)",""),"")</f>
        <v/>
      </c>
      <c r="AO469" s="7"/>
      <c r="AP469" s="12" t="str" cm="1">
        <f t="array" ref="AP469">IFERROR(INDEX(tblAnalysis[Entry MC ($)],ROW()-1),"")</f>
        <v/>
      </c>
      <c r="AQ469" s="10" t="str" cm="1">
        <f t="array" ref="AQ469">IFERROR(INDEX(tblAnalysis[P&amp;L %],ROW()-1),"")</f>
        <v/>
      </c>
      <c r="AR469" t="str" cm="1">
        <f t="array" ref="AR469">IFERROR(INDEX(tblAnalysis[Hold Time (s)],ROW()-1),"")</f>
        <v/>
      </c>
      <c r="AS469" s="6" t="str" cm="1">
        <f t="array" ref="AS469">IFERROR(INDEX(tblAnalysis[P&amp;L SOL],ROW()-1),"")</f>
        <v/>
      </c>
      <c r="AT469" s="6" t="str">
        <f t="array" ref="AT469">IFERROR(INDEX(tblAnalysis[P&amp;L SOL],ROW()-1),"")</f>
        <v/>
      </c>
      <c r="AZ469" s="10"/>
      <c r="BA469" s="10"/>
      <c r="BF469" t="str">
        <f t="shared" si="147"/>
        <v/>
      </c>
      <c r="BG469" s="27" t="str">
        <f t="shared" si="148"/>
        <v/>
      </c>
      <c r="BH469" t="str">
        <f t="shared" si="149"/>
        <v/>
      </c>
      <c r="BI469" t="str">
        <f t="shared" si="153"/>
        <v/>
      </c>
      <c r="BL469" s="29" t="e">
        <f t="shared" si="132"/>
        <v>#N/A</v>
      </c>
      <c r="BM469" s="29" t="e">
        <f t="shared" si="133"/>
        <v>#N/A</v>
      </c>
    </row>
    <row r="470" spans="17:65" x14ac:dyDescent="0.35">
      <c r="Q470" s="27"/>
      <c r="R470" s="6" t="str">
        <f>IF(Q470="","",SUMIFS(tblAnalysis[P&amp;L SOL],tblAnalysis[Date],Q470))</f>
        <v/>
      </c>
      <c r="S470" s="10" t="str">
        <f>IF(Q470="","",SUMIFS(tblAnalysis[P&amp;L %],tblAnalysis[Date],Q470))</f>
        <v/>
      </c>
      <c r="T470" s="6" t="str">
        <f>IF(Q470="","",IFERROR(SUM($R$2:R470),""))</f>
        <v/>
      </c>
      <c r="U470" t="str">
        <f>IF(Q470="","",COUNTIFS(tblAnalysis[Date],Q470))</f>
        <v/>
      </c>
      <c r="V470" t="str">
        <f>IF(R470="","",COUNTIFS(tblAnalysis[Date],R470))</f>
        <v/>
      </c>
      <c r="W470" s="27" t="str">
        <f t="shared" si="138"/>
        <v/>
      </c>
      <c r="X470" s="6" t="str">
        <f t="shared" si="139"/>
        <v/>
      </c>
      <c r="Y470" s="6" t="str">
        <f>IF(Q470="","",MAX(X470,_xlfn.MAXIFS(tblAnalysis[Cum P&amp;L SOL],tblAnalysis[Date],Q470)))</f>
        <v/>
      </c>
      <c r="Z470" s="6" t="str">
        <f>IF(Q470="","",MIN(X470,_xlfn.MINIFS(tblAnalysis[Cum P&amp;L SOL],tblAnalysis[Date],Q470)))</f>
        <v/>
      </c>
      <c r="AA470" s="6" t="str">
        <f t="shared" si="140"/>
        <v/>
      </c>
      <c r="AB470" s="6" t="str">
        <f t="shared" si="150"/>
        <v/>
      </c>
      <c r="AC470" s="27" t="str">
        <f t="shared" si="141"/>
        <v/>
      </c>
      <c r="AD470" s="10" t="str">
        <f t="shared" si="142"/>
        <v/>
      </c>
      <c r="AE470" s="10" t="str">
        <f t="shared" si="143"/>
        <v/>
      </c>
      <c r="AF470" s="10" t="str">
        <f t="shared" si="144"/>
        <v/>
      </c>
      <c r="AG470" s="10" t="str">
        <f t="shared" si="151"/>
        <v/>
      </c>
      <c r="AH470" t="str">
        <f t="shared" si="145"/>
        <v/>
      </c>
      <c r="AI470" t="str">
        <f t="shared" si="146"/>
        <v/>
      </c>
      <c r="AJ470" t="str">
        <f t="shared" si="152"/>
        <v/>
      </c>
      <c r="AK470" t="str" cm="1">
        <f t="array" ref="AK470">IFERROR(IF(INDEX($A:$A,ROW())="","",INDEX($A:$A,ROW())),"")</f>
        <v/>
      </c>
      <c r="AL470" t="str" cm="1">
        <f t="array" ref="AL470">IFERROR(INDEX(tblTrades[sol_invested],ROW()-1),"")</f>
        <v/>
      </c>
      <c r="AM470" s="6" t="str" cm="1">
        <f t="array" ref="AM470">IFERROR(INDEX(tblAnalysis[P&amp;L SOL],ROW()-1),"")</f>
        <v/>
      </c>
      <c r="AN470" t="str" cm="1">
        <f t="array" ref="AN470">IFERROR(IF(INDEX(tblTrades[sol_invested],ROW()-1)&gt;0.5,INDEX(tblAnalysis[Token],ROW()-1)&amp;" ("&amp;TEXT(INDEX(tblTrades[sol_invested],ROW()-1),"0.0")&amp;" SOL)",""),"")</f>
        <v/>
      </c>
      <c r="AO470" s="7"/>
      <c r="AP470" s="12" t="str" cm="1">
        <f t="array" ref="AP470">IFERROR(INDEX(tblAnalysis[Entry MC ($)],ROW()-1),"")</f>
        <v/>
      </c>
      <c r="AQ470" s="10" t="str" cm="1">
        <f t="array" ref="AQ470">IFERROR(INDEX(tblAnalysis[P&amp;L %],ROW()-1),"")</f>
        <v/>
      </c>
      <c r="AR470" t="str" cm="1">
        <f t="array" ref="AR470">IFERROR(INDEX(tblAnalysis[Hold Time (s)],ROW()-1),"")</f>
        <v/>
      </c>
      <c r="AS470" s="6" t="str" cm="1">
        <f t="array" ref="AS470">IFERROR(INDEX(tblAnalysis[P&amp;L SOL],ROW()-1),"")</f>
        <v/>
      </c>
      <c r="AT470" s="6" t="str">
        <f t="array" ref="AT470">IFERROR(INDEX(tblAnalysis[P&amp;L SOL],ROW()-1),"")</f>
        <v/>
      </c>
      <c r="AZ470" s="10"/>
      <c r="BA470" s="10"/>
      <c r="BF470" t="str">
        <f t="shared" si="147"/>
        <v/>
      </c>
      <c r="BG470" s="27" t="str">
        <f t="shared" si="148"/>
        <v/>
      </c>
      <c r="BH470" t="str">
        <f t="shared" si="149"/>
        <v/>
      </c>
      <c r="BI470" t="str">
        <f t="shared" si="153"/>
        <v/>
      </c>
      <c r="BL470" s="29" t="e">
        <f t="shared" si="132"/>
        <v>#N/A</v>
      </c>
      <c r="BM470" s="29" t="e">
        <f t="shared" si="133"/>
        <v>#N/A</v>
      </c>
    </row>
    <row r="471" spans="17:65" x14ac:dyDescent="0.35">
      <c r="Q471" s="27"/>
      <c r="R471" s="6" t="str">
        <f>IF(Q471="","",SUMIFS(tblAnalysis[P&amp;L SOL],tblAnalysis[Date],Q471))</f>
        <v/>
      </c>
      <c r="S471" s="10" t="str">
        <f>IF(Q471="","",SUMIFS(tblAnalysis[P&amp;L %],tblAnalysis[Date],Q471))</f>
        <v/>
      </c>
      <c r="T471" s="6" t="str">
        <f>IF(Q471="","",IFERROR(SUM($R$2:R471),""))</f>
        <v/>
      </c>
      <c r="U471" t="str">
        <f>IF(Q471="","",COUNTIFS(tblAnalysis[Date],Q471))</f>
        <v/>
      </c>
      <c r="V471" t="str">
        <f>IF(R471="","",COUNTIFS(tblAnalysis[Date],R471))</f>
        <v/>
      </c>
      <c r="W471" s="27" t="str">
        <f t="shared" si="138"/>
        <v/>
      </c>
      <c r="X471" s="6" t="str">
        <f t="shared" si="139"/>
        <v/>
      </c>
      <c r="Y471" s="6" t="str">
        <f>IF(Q471="","",MAX(X471,_xlfn.MAXIFS(tblAnalysis[Cum P&amp;L SOL],tblAnalysis[Date],Q471)))</f>
        <v/>
      </c>
      <c r="Z471" s="6" t="str">
        <f>IF(Q471="","",MIN(X471,_xlfn.MINIFS(tblAnalysis[Cum P&amp;L SOL],tblAnalysis[Date],Q471)))</f>
        <v/>
      </c>
      <c r="AA471" s="6" t="str">
        <f t="shared" si="140"/>
        <v/>
      </c>
      <c r="AB471" s="6" t="str">
        <f t="shared" si="150"/>
        <v/>
      </c>
      <c r="AC471" s="27" t="str">
        <f t="shared" si="141"/>
        <v/>
      </c>
      <c r="AD471" s="10" t="str">
        <f t="shared" si="142"/>
        <v/>
      </c>
      <c r="AE471" s="10" t="str">
        <f t="shared" si="143"/>
        <v/>
      </c>
      <c r="AF471" s="10" t="str">
        <f t="shared" si="144"/>
        <v/>
      </c>
      <c r="AG471" s="10" t="str">
        <f t="shared" si="151"/>
        <v/>
      </c>
      <c r="AH471" t="str">
        <f t="shared" si="145"/>
        <v/>
      </c>
      <c r="AI471" t="str">
        <f t="shared" si="146"/>
        <v/>
      </c>
      <c r="AJ471" t="str">
        <f t="shared" si="152"/>
        <v/>
      </c>
      <c r="AK471" t="str" cm="1">
        <f t="array" ref="AK471">IFERROR(IF(INDEX($A:$A,ROW())="","",INDEX($A:$A,ROW())),"")</f>
        <v/>
      </c>
      <c r="AL471" t="str" cm="1">
        <f t="array" ref="AL471">IFERROR(INDEX(tblTrades[sol_invested],ROW()-1),"")</f>
        <v/>
      </c>
      <c r="AM471" s="6" t="str" cm="1">
        <f t="array" ref="AM471">IFERROR(INDEX(tblAnalysis[P&amp;L SOL],ROW()-1),"")</f>
        <v/>
      </c>
      <c r="AN471" t="str" cm="1">
        <f t="array" ref="AN471">IFERROR(IF(INDEX(tblTrades[sol_invested],ROW()-1)&gt;0.5,INDEX(tblAnalysis[Token],ROW()-1)&amp;" ("&amp;TEXT(INDEX(tblTrades[sol_invested],ROW()-1),"0.0")&amp;" SOL)",""),"")</f>
        <v/>
      </c>
      <c r="AO471" s="7"/>
      <c r="AP471" s="12" t="str" cm="1">
        <f t="array" ref="AP471">IFERROR(INDEX(tblAnalysis[Entry MC ($)],ROW()-1),"")</f>
        <v/>
      </c>
      <c r="AQ471" s="10" t="str" cm="1">
        <f t="array" ref="AQ471">IFERROR(INDEX(tblAnalysis[P&amp;L %],ROW()-1),"")</f>
        <v/>
      </c>
      <c r="AR471" t="str" cm="1">
        <f t="array" ref="AR471">IFERROR(INDEX(tblAnalysis[Hold Time (s)],ROW()-1),"")</f>
        <v/>
      </c>
      <c r="AS471" s="6" t="str" cm="1">
        <f t="array" ref="AS471">IFERROR(INDEX(tblAnalysis[P&amp;L SOL],ROW()-1),"")</f>
        <v/>
      </c>
      <c r="AT471" s="6" t="str">
        <f t="array" ref="AT471">IFERROR(INDEX(tblAnalysis[P&amp;L SOL],ROW()-1),"")</f>
        <v/>
      </c>
      <c r="AZ471" s="10"/>
      <c r="BA471" s="10"/>
      <c r="BF471" t="str">
        <f t="shared" si="147"/>
        <v/>
      </c>
      <c r="BG471" s="27" t="str">
        <f t="shared" si="148"/>
        <v/>
      </c>
      <c r="BH471" t="str">
        <f t="shared" si="149"/>
        <v/>
      </c>
      <c r="BI471" t="str">
        <f t="shared" si="153"/>
        <v/>
      </c>
      <c r="BL471" s="29" t="e">
        <f t="shared" si="132"/>
        <v>#N/A</v>
      </c>
      <c r="BM471" s="29" t="e">
        <f t="shared" si="133"/>
        <v>#N/A</v>
      </c>
    </row>
    <row r="472" spans="17:65" x14ac:dyDescent="0.35">
      <c r="Q472" s="27"/>
      <c r="R472" s="6" t="str">
        <f>IF(Q472="","",SUMIFS(tblAnalysis[P&amp;L SOL],tblAnalysis[Date],Q472))</f>
        <v/>
      </c>
      <c r="S472" s="10" t="str">
        <f>IF(Q472="","",SUMIFS(tblAnalysis[P&amp;L %],tblAnalysis[Date],Q472))</f>
        <v/>
      </c>
      <c r="T472" s="6" t="str">
        <f>IF(Q472="","",IFERROR(SUM($R$2:R472),""))</f>
        <v/>
      </c>
      <c r="U472" t="str">
        <f>IF(Q472="","",COUNTIFS(tblAnalysis[Date],Q472))</f>
        <v/>
      </c>
      <c r="V472" t="str">
        <f>IF(R472="","",COUNTIFS(tblAnalysis[Date],R472))</f>
        <v/>
      </c>
      <c r="W472" s="27" t="str">
        <f t="shared" si="138"/>
        <v/>
      </c>
      <c r="X472" s="6" t="str">
        <f t="shared" si="139"/>
        <v/>
      </c>
      <c r="Y472" s="6" t="str">
        <f>IF(Q472="","",MAX(X472,_xlfn.MAXIFS(tblAnalysis[Cum P&amp;L SOL],tblAnalysis[Date],Q472)))</f>
        <v/>
      </c>
      <c r="Z472" s="6" t="str">
        <f>IF(Q472="","",MIN(X472,_xlfn.MINIFS(tblAnalysis[Cum P&amp;L SOL],tblAnalysis[Date],Q472)))</f>
        <v/>
      </c>
      <c r="AA472" s="6" t="str">
        <f t="shared" si="140"/>
        <v/>
      </c>
      <c r="AB472" s="6" t="str">
        <f t="shared" si="150"/>
        <v/>
      </c>
      <c r="AC472" s="27" t="str">
        <f t="shared" si="141"/>
        <v/>
      </c>
      <c r="AD472" s="10" t="str">
        <f t="shared" si="142"/>
        <v/>
      </c>
      <c r="AE472" s="10" t="str">
        <f t="shared" si="143"/>
        <v/>
      </c>
      <c r="AF472" s="10" t="str">
        <f t="shared" si="144"/>
        <v/>
      </c>
      <c r="AG472" s="10" t="str">
        <f t="shared" si="151"/>
        <v/>
      </c>
      <c r="AH472" t="str">
        <f t="shared" si="145"/>
        <v/>
      </c>
      <c r="AI472" t="str">
        <f t="shared" si="146"/>
        <v/>
      </c>
      <c r="AJ472" t="str">
        <f t="shared" si="152"/>
        <v/>
      </c>
      <c r="AK472" t="str" cm="1">
        <f t="array" ref="AK472">IFERROR(IF(INDEX($A:$A,ROW())="","",INDEX($A:$A,ROW())),"")</f>
        <v/>
      </c>
      <c r="AL472" t="str" cm="1">
        <f t="array" ref="AL472">IFERROR(INDEX(tblTrades[sol_invested],ROW()-1),"")</f>
        <v/>
      </c>
      <c r="AM472" s="6" t="str" cm="1">
        <f t="array" ref="AM472">IFERROR(INDEX(tblAnalysis[P&amp;L SOL],ROW()-1),"")</f>
        <v/>
      </c>
      <c r="AN472" t="str" cm="1">
        <f t="array" ref="AN472">IFERROR(IF(INDEX(tblTrades[sol_invested],ROW()-1)&gt;0.5,INDEX(tblAnalysis[Token],ROW()-1)&amp;" ("&amp;TEXT(INDEX(tblTrades[sol_invested],ROW()-1),"0.0")&amp;" SOL)",""),"")</f>
        <v/>
      </c>
      <c r="AO472" s="7"/>
      <c r="AP472" s="12" t="str" cm="1">
        <f t="array" ref="AP472">IFERROR(INDEX(tblAnalysis[Entry MC ($)],ROW()-1),"")</f>
        <v/>
      </c>
      <c r="AQ472" s="10" t="str" cm="1">
        <f t="array" ref="AQ472">IFERROR(INDEX(tblAnalysis[P&amp;L %],ROW()-1),"")</f>
        <v/>
      </c>
      <c r="AR472" t="str" cm="1">
        <f t="array" ref="AR472">IFERROR(INDEX(tblAnalysis[Hold Time (s)],ROW()-1),"")</f>
        <v/>
      </c>
      <c r="AS472" s="6" t="str" cm="1">
        <f t="array" ref="AS472">IFERROR(INDEX(tblAnalysis[P&amp;L SOL],ROW()-1),"")</f>
        <v/>
      </c>
      <c r="AT472" s="6" t="str">
        <f t="array" ref="AT472">IFERROR(INDEX(tblAnalysis[P&amp;L SOL],ROW()-1),"")</f>
        <v/>
      </c>
      <c r="AZ472" s="10"/>
      <c r="BA472" s="10"/>
      <c r="BF472" t="str">
        <f t="shared" si="147"/>
        <v/>
      </c>
      <c r="BG472" s="27" t="str">
        <f t="shared" si="148"/>
        <v/>
      </c>
      <c r="BH472" t="str">
        <f t="shared" si="149"/>
        <v/>
      </c>
      <c r="BI472" t="str">
        <f t="shared" si="153"/>
        <v/>
      </c>
      <c r="BL472" s="29" t="e">
        <f t="shared" si="132"/>
        <v>#N/A</v>
      </c>
      <c r="BM472" s="29" t="e">
        <f t="shared" si="133"/>
        <v>#N/A</v>
      </c>
    </row>
    <row r="473" spans="17:65" x14ac:dyDescent="0.35">
      <c r="Q473" s="27"/>
      <c r="R473" s="6" t="str">
        <f>IF(Q473="","",SUMIFS(tblAnalysis[P&amp;L SOL],tblAnalysis[Date],Q473))</f>
        <v/>
      </c>
      <c r="S473" s="10" t="str">
        <f>IF(Q473="","",SUMIFS(tblAnalysis[P&amp;L %],tblAnalysis[Date],Q473))</f>
        <v/>
      </c>
      <c r="T473" s="6" t="str">
        <f>IF(Q473="","",IFERROR(SUM($R$2:R473),""))</f>
        <v/>
      </c>
      <c r="U473" t="str">
        <f>IF(Q473="","",COUNTIFS(tblAnalysis[Date],Q473))</f>
        <v/>
      </c>
      <c r="V473" t="str">
        <f>IF(R473="","",COUNTIFS(tblAnalysis[Date],R473))</f>
        <v/>
      </c>
      <c r="W473" s="27" t="str">
        <f t="shared" si="138"/>
        <v/>
      </c>
      <c r="X473" s="6" t="str">
        <f t="shared" si="139"/>
        <v/>
      </c>
      <c r="Y473" s="6" t="str">
        <f>IF(Q473="","",MAX(X473,_xlfn.MAXIFS(tblAnalysis[Cum P&amp;L SOL],tblAnalysis[Date],Q473)))</f>
        <v/>
      </c>
      <c r="Z473" s="6" t="str">
        <f>IF(Q473="","",MIN(X473,_xlfn.MINIFS(tblAnalysis[Cum P&amp;L SOL],tblAnalysis[Date],Q473)))</f>
        <v/>
      </c>
      <c r="AA473" s="6" t="str">
        <f t="shared" si="140"/>
        <v/>
      </c>
      <c r="AB473" s="6" t="str">
        <f t="shared" si="150"/>
        <v/>
      </c>
      <c r="AC473" s="27" t="str">
        <f t="shared" si="141"/>
        <v/>
      </c>
      <c r="AD473" s="10" t="str">
        <f t="shared" si="142"/>
        <v/>
      </c>
      <c r="AE473" s="10" t="str">
        <f t="shared" si="143"/>
        <v/>
      </c>
      <c r="AF473" s="10" t="str">
        <f t="shared" si="144"/>
        <v/>
      </c>
      <c r="AG473" s="10" t="str">
        <f t="shared" si="151"/>
        <v/>
      </c>
      <c r="AH473" t="str">
        <f t="shared" si="145"/>
        <v/>
      </c>
      <c r="AI473" t="str">
        <f t="shared" si="146"/>
        <v/>
      </c>
      <c r="AJ473" t="str">
        <f t="shared" si="152"/>
        <v/>
      </c>
      <c r="AK473" t="str" cm="1">
        <f t="array" ref="AK473">IFERROR(IF(INDEX($A:$A,ROW())="","",INDEX($A:$A,ROW())),"")</f>
        <v/>
      </c>
      <c r="AL473" t="str" cm="1">
        <f t="array" ref="AL473">IFERROR(INDEX(tblTrades[sol_invested],ROW()-1),"")</f>
        <v/>
      </c>
      <c r="AM473" s="6" t="str" cm="1">
        <f t="array" ref="AM473">IFERROR(INDEX(tblAnalysis[P&amp;L SOL],ROW()-1),"")</f>
        <v/>
      </c>
      <c r="AN473" t="str" cm="1">
        <f t="array" ref="AN473">IFERROR(IF(INDEX(tblTrades[sol_invested],ROW()-1)&gt;0.5,INDEX(tblAnalysis[Token],ROW()-1)&amp;" ("&amp;TEXT(INDEX(tblTrades[sol_invested],ROW()-1),"0.0")&amp;" SOL)",""),"")</f>
        <v/>
      </c>
      <c r="AO473" s="7"/>
      <c r="AP473" s="12" t="str" cm="1">
        <f t="array" ref="AP473">IFERROR(INDEX(tblAnalysis[Entry MC ($)],ROW()-1),"")</f>
        <v/>
      </c>
      <c r="AQ473" s="10" t="str" cm="1">
        <f t="array" ref="AQ473">IFERROR(INDEX(tblAnalysis[P&amp;L %],ROW()-1),"")</f>
        <v/>
      </c>
      <c r="AR473" t="str" cm="1">
        <f t="array" ref="AR473">IFERROR(INDEX(tblAnalysis[Hold Time (s)],ROW()-1),"")</f>
        <v/>
      </c>
      <c r="AS473" s="6" t="str" cm="1">
        <f t="array" ref="AS473">IFERROR(INDEX(tblAnalysis[P&amp;L SOL],ROW()-1),"")</f>
        <v/>
      </c>
      <c r="AT473" s="6" t="str">
        <f t="array" ref="AT473">IFERROR(INDEX(tblAnalysis[P&amp;L SOL],ROW()-1),"")</f>
        <v/>
      </c>
      <c r="AZ473" s="10"/>
      <c r="BA473" s="10"/>
      <c r="BF473" t="str">
        <f t="shared" si="147"/>
        <v/>
      </c>
      <c r="BG473" s="27" t="str">
        <f t="shared" si="148"/>
        <v/>
      </c>
      <c r="BH473" t="str">
        <f t="shared" si="149"/>
        <v/>
      </c>
      <c r="BI473" t="str">
        <f t="shared" si="153"/>
        <v/>
      </c>
      <c r="BL473" s="29" t="e">
        <f t="shared" si="132"/>
        <v>#N/A</v>
      </c>
      <c r="BM473" s="29" t="e">
        <f t="shared" si="133"/>
        <v>#N/A</v>
      </c>
    </row>
    <row r="474" spans="17:65" x14ac:dyDescent="0.35">
      <c r="Q474" s="27"/>
      <c r="R474" s="6" t="str">
        <f>IF(Q474="","",SUMIFS(tblAnalysis[P&amp;L SOL],tblAnalysis[Date],Q474))</f>
        <v/>
      </c>
      <c r="S474" s="10" t="str">
        <f>IF(Q474="","",SUMIFS(tblAnalysis[P&amp;L %],tblAnalysis[Date],Q474))</f>
        <v/>
      </c>
      <c r="T474" s="6" t="str">
        <f>IF(Q474="","",IFERROR(SUM($R$2:R474),""))</f>
        <v/>
      </c>
      <c r="U474" t="str">
        <f>IF(Q474="","",COUNTIFS(tblAnalysis[Date],Q474))</f>
        <v/>
      </c>
      <c r="V474" t="str">
        <f>IF(R474="","",COUNTIFS(tblAnalysis[Date],R474))</f>
        <v/>
      </c>
      <c r="W474" s="27" t="str">
        <f t="shared" si="138"/>
        <v/>
      </c>
      <c r="X474" s="6" t="str">
        <f t="shared" si="139"/>
        <v/>
      </c>
      <c r="Y474" s="6" t="str">
        <f>IF(Q474="","",MAX(X474,_xlfn.MAXIFS(tblAnalysis[Cum P&amp;L SOL],tblAnalysis[Date],Q474)))</f>
        <v/>
      </c>
      <c r="Z474" s="6" t="str">
        <f>IF(Q474="","",MIN(X474,_xlfn.MINIFS(tblAnalysis[Cum P&amp;L SOL],tblAnalysis[Date],Q474)))</f>
        <v/>
      </c>
      <c r="AA474" s="6" t="str">
        <f t="shared" si="140"/>
        <v/>
      </c>
      <c r="AB474" s="6" t="str">
        <f t="shared" si="150"/>
        <v/>
      </c>
      <c r="AC474" s="27" t="str">
        <f t="shared" si="141"/>
        <v/>
      </c>
      <c r="AD474" s="10" t="str">
        <f t="shared" si="142"/>
        <v/>
      </c>
      <c r="AE474" s="10" t="str">
        <f t="shared" si="143"/>
        <v/>
      </c>
      <c r="AF474" s="10" t="str">
        <f t="shared" si="144"/>
        <v/>
      </c>
      <c r="AG474" s="10" t="str">
        <f t="shared" si="151"/>
        <v/>
      </c>
      <c r="AH474" t="str">
        <f t="shared" si="145"/>
        <v/>
      </c>
      <c r="AI474" t="str">
        <f t="shared" si="146"/>
        <v/>
      </c>
      <c r="AJ474" t="str">
        <f t="shared" si="152"/>
        <v/>
      </c>
      <c r="AK474" t="str" cm="1">
        <f t="array" ref="AK474">IFERROR(IF(INDEX($A:$A,ROW())="","",INDEX($A:$A,ROW())),"")</f>
        <v/>
      </c>
      <c r="AL474" t="str" cm="1">
        <f t="array" ref="AL474">IFERROR(INDEX(tblTrades[sol_invested],ROW()-1),"")</f>
        <v/>
      </c>
      <c r="AM474" s="6" t="str" cm="1">
        <f t="array" ref="AM474">IFERROR(INDEX(tblAnalysis[P&amp;L SOL],ROW()-1),"")</f>
        <v/>
      </c>
      <c r="AN474" t="str" cm="1">
        <f t="array" ref="AN474">IFERROR(IF(INDEX(tblTrades[sol_invested],ROW()-1)&gt;0.5,INDEX(tblAnalysis[Token],ROW()-1)&amp;" ("&amp;TEXT(INDEX(tblTrades[sol_invested],ROW()-1),"0.0")&amp;" SOL)",""),"")</f>
        <v/>
      </c>
      <c r="AO474" s="7"/>
      <c r="AP474" s="12" t="str" cm="1">
        <f t="array" ref="AP474">IFERROR(INDEX(tblAnalysis[Entry MC ($)],ROW()-1),"")</f>
        <v/>
      </c>
      <c r="AQ474" s="10" t="str" cm="1">
        <f t="array" ref="AQ474">IFERROR(INDEX(tblAnalysis[P&amp;L %],ROW()-1),"")</f>
        <v/>
      </c>
      <c r="AR474" t="str" cm="1">
        <f t="array" ref="AR474">IFERROR(INDEX(tblAnalysis[Hold Time (s)],ROW()-1),"")</f>
        <v/>
      </c>
      <c r="AS474" s="6" t="str" cm="1">
        <f t="array" ref="AS474">IFERROR(INDEX(tblAnalysis[P&amp;L SOL],ROW()-1),"")</f>
        <v/>
      </c>
      <c r="AT474" s="6" t="str">
        <f t="array" ref="AT474">IFERROR(INDEX(tblAnalysis[P&amp;L SOL],ROW()-1),"")</f>
        <v/>
      </c>
      <c r="AZ474" s="10"/>
      <c r="BA474" s="10"/>
      <c r="BF474" t="str">
        <f t="shared" si="147"/>
        <v/>
      </c>
      <c r="BG474" s="27" t="str">
        <f t="shared" si="148"/>
        <v/>
      </c>
      <c r="BH474" t="str">
        <f t="shared" si="149"/>
        <v/>
      </c>
      <c r="BI474" t="str">
        <f t="shared" si="153"/>
        <v/>
      </c>
      <c r="BL474" s="29" t="e">
        <f t="shared" si="132"/>
        <v>#N/A</v>
      </c>
      <c r="BM474" s="29" t="e">
        <f t="shared" si="133"/>
        <v>#N/A</v>
      </c>
    </row>
    <row r="475" spans="17:65" x14ac:dyDescent="0.35">
      <c r="Q475" s="27"/>
      <c r="R475" s="6" t="str">
        <f>IF(Q475="","",SUMIFS(tblAnalysis[P&amp;L SOL],tblAnalysis[Date],Q475))</f>
        <v/>
      </c>
      <c r="S475" s="10" t="str">
        <f>IF(Q475="","",SUMIFS(tblAnalysis[P&amp;L %],tblAnalysis[Date],Q475))</f>
        <v/>
      </c>
      <c r="T475" s="6" t="str">
        <f>IF(Q475="","",IFERROR(SUM($R$2:R475),""))</f>
        <v/>
      </c>
      <c r="U475" t="str">
        <f>IF(Q475="","",COUNTIFS(tblAnalysis[Date],Q475))</f>
        <v/>
      </c>
      <c r="V475" t="str">
        <f>IF(R475="","",COUNTIFS(tblAnalysis[Date],R475))</f>
        <v/>
      </c>
      <c r="W475" s="27" t="str">
        <f t="shared" si="138"/>
        <v/>
      </c>
      <c r="X475" s="6" t="str">
        <f t="shared" si="139"/>
        <v/>
      </c>
      <c r="Y475" s="6" t="str">
        <f>IF(Q475="","",MAX(X475,_xlfn.MAXIFS(tblAnalysis[Cum P&amp;L SOL],tblAnalysis[Date],Q475)))</f>
        <v/>
      </c>
      <c r="Z475" s="6" t="str">
        <f>IF(Q475="","",MIN(X475,_xlfn.MINIFS(tblAnalysis[Cum P&amp;L SOL],tblAnalysis[Date],Q475)))</f>
        <v/>
      </c>
      <c r="AA475" s="6" t="str">
        <f t="shared" si="140"/>
        <v/>
      </c>
      <c r="AB475" s="6" t="str">
        <f t="shared" si="150"/>
        <v/>
      </c>
      <c r="AC475" s="27" t="str">
        <f t="shared" si="141"/>
        <v/>
      </c>
      <c r="AD475" s="10" t="str">
        <f t="shared" si="142"/>
        <v/>
      </c>
      <c r="AE475" s="10" t="str">
        <f t="shared" si="143"/>
        <v/>
      </c>
      <c r="AF475" s="10" t="str">
        <f t="shared" si="144"/>
        <v/>
      </c>
      <c r="AG475" s="10" t="str">
        <f t="shared" si="151"/>
        <v/>
      </c>
      <c r="AH475" t="str">
        <f t="shared" si="145"/>
        <v/>
      </c>
      <c r="AI475" t="str">
        <f t="shared" si="146"/>
        <v/>
      </c>
      <c r="AJ475" t="str">
        <f t="shared" si="152"/>
        <v/>
      </c>
      <c r="AK475" t="str" cm="1">
        <f t="array" ref="AK475">IFERROR(IF(INDEX($A:$A,ROW())="","",INDEX($A:$A,ROW())),"")</f>
        <v/>
      </c>
      <c r="AL475" t="str" cm="1">
        <f t="array" ref="AL475">IFERROR(INDEX(tblTrades[sol_invested],ROW()-1),"")</f>
        <v/>
      </c>
      <c r="AM475" s="6" t="str" cm="1">
        <f t="array" ref="AM475">IFERROR(INDEX(tblAnalysis[P&amp;L SOL],ROW()-1),"")</f>
        <v/>
      </c>
      <c r="AN475" t="str" cm="1">
        <f t="array" ref="AN475">IFERROR(IF(INDEX(tblTrades[sol_invested],ROW()-1)&gt;0.5,INDEX(tblAnalysis[Token],ROW()-1)&amp;" ("&amp;TEXT(INDEX(tblTrades[sol_invested],ROW()-1),"0.0")&amp;" SOL)",""),"")</f>
        <v/>
      </c>
      <c r="AO475" s="7"/>
      <c r="AP475" s="12" t="str" cm="1">
        <f t="array" ref="AP475">IFERROR(INDEX(tblAnalysis[Entry MC ($)],ROW()-1),"")</f>
        <v/>
      </c>
      <c r="AQ475" s="10" t="str" cm="1">
        <f t="array" ref="AQ475">IFERROR(INDEX(tblAnalysis[P&amp;L %],ROW()-1),"")</f>
        <v/>
      </c>
      <c r="AR475" t="str" cm="1">
        <f t="array" ref="AR475">IFERROR(INDEX(tblAnalysis[Hold Time (s)],ROW()-1),"")</f>
        <v/>
      </c>
      <c r="AS475" s="6" t="str" cm="1">
        <f t="array" ref="AS475">IFERROR(INDEX(tblAnalysis[P&amp;L SOL],ROW()-1),"")</f>
        <v/>
      </c>
      <c r="AT475" s="6" t="str">
        <f t="array" ref="AT475">IFERROR(INDEX(tblAnalysis[P&amp;L SOL],ROW()-1),"")</f>
        <v/>
      </c>
      <c r="AZ475" s="10"/>
      <c r="BA475" s="10"/>
      <c r="BF475" t="str">
        <f t="shared" si="147"/>
        <v/>
      </c>
      <c r="BG475" s="27" t="str">
        <f t="shared" si="148"/>
        <v/>
      </c>
      <c r="BH475" t="str">
        <f t="shared" si="149"/>
        <v/>
      </c>
      <c r="BI475" t="str">
        <f t="shared" si="153"/>
        <v/>
      </c>
      <c r="BL475" s="29" t="e">
        <f t="shared" si="132"/>
        <v>#N/A</v>
      </c>
      <c r="BM475" s="29" t="e">
        <f t="shared" si="133"/>
        <v>#N/A</v>
      </c>
    </row>
    <row r="476" spans="17:65" x14ac:dyDescent="0.35">
      <c r="Q476" s="27"/>
      <c r="R476" s="6" t="str">
        <f>IF(Q476="","",SUMIFS(tblAnalysis[P&amp;L SOL],tblAnalysis[Date],Q476))</f>
        <v/>
      </c>
      <c r="S476" s="10" t="str">
        <f>IF(Q476="","",SUMIFS(tblAnalysis[P&amp;L %],tblAnalysis[Date],Q476))</f>
        <v/>
      </c>
      <c r="T476" s="6" t="str">
        <f>IF(Q476="","",IFERROR(SUM($R$2:R476),""))</f>
        <v/>
      </c>
      <c r="U476" t="str">
        <f>IF(Q476="","",COUNTIFS(tblAnalysis[Date],Q476))</f>
        <v/>
      </c>
      <c r="V476" t="str">
        <f>IF(R476="","",COUNTIFS(tblAnalysis[Date],R476))</f>
        <v/>
      </c>
      <c r="W476" s="27" t="str">
        <f t="shared" si="138"/>
        <v/>
      </c>
      <c r="X476" s="6" t="str">
        <f t="shared" si="139"/>
        <v/>
      </c>
      <c r="Y476" s="6" t="str">
        <f>IF(Q476="","",MAX(X476,_xlfn.MAXIFS(tblAnalysis[Cum P&amp;L SOL],tblAnalysis[Date],Q476)))</f>
        <v/>
      </c>
      <c r="Z476" s="6" t="str">
        <f>IF(Q476="","",MIN(X476,_xlfn.MINIFS(tblAnalysis[Cum P&amp;L SOL],tblAnalysis[Date],Q476)))</f>
        <v/>
      </c>
      <c r="AA476" s="6" t="str">
        <f t="shared" si="140"/>
        <v/>
      </c>
      <c r="AB476" s="6" t="str">
        <f t="shared" si="150"/>
        <v/>
      </c>
      <c r="AC476" s="27" t="str">
        <f t="shared" si="141"/>
        <v/>
      </c>
      <c r="AD476" s="10" t="str">
        <f t="shared" si="142"/>
        <v/>
      </c>
      <c r="AE476" s="10" t="str">
        <f t="shared" si="143"/>
        <v/>
      </c>
      <c r="AF476" s="10" t="str">
        <f t="shared" si="144"/>
        <v/>
      </c>
      <c r="AG476" s="10" t="str">
        <f t="shared" si="151"/>
        <v/>
      </c>
      <c r="AH476" t="str">
        <f t="shared" si="145"/>
        <v/>
      </c>
      <c r="AI476" t="str">
        <f t="shared" si="146"/>
        <v/>
      </c>
      <c r="AJ476" t="str">
        <f t="shared" si="152"/>
        <v/>
      </c>
      <c r="AK476" t="str" cm="1">
        <f t="array" ref="AK476">IFERROR(IF(INDEX($A:$A,ROW())="","",INDEX($A:$A,ROW())),"")</f>
        <v/>
      </c>
      <c r="AL476" t="str" cm="1">
        <f t="array" ref="AL476">IFERROR(INDEX(tblTrades[sol_invested],ROW()-1),"")</f>
        <v/>
      </c>
      <c r="AM476" s="6" t="str" cm="1">
        <f t="array" ref="AM476">IFERROR(INDEX(tblAnalysis[P&amp;L SOL],ROW()-1),"")</f>
        <v/>
      </c>
      <c r="AN476" t="str" cm="1">
        <f t="array" ref="AN476">IFERROR(IF(INDEX(tblTrades[sol_invested],ROW()-1)&gt;0.5,INDEX(tblAnalysis[Token],ROW()-1)&amp;" ("&amp;TEXT(INDEX(tblTrades[sol_invested],ROW()-1),"0.0")&amp;" SOL)",""),"")</f>
        <v/>
      </c>
      <c r="AO476" s="7"/>
      <c r="AP476" s="12" t="str" cm="1">
        <f t="array" ref="AP476">IFERROR(INDEX(tblAnalysis[Entry MC ($)],ROW()-1),"")</f>
        <v/>
      </c>
      <c r="AQ476" s="10" t="str" cm="1">
        <f t="array" ref="AQ476">IFERROR(INDEX(tblAnalysis[P&amp;L %],ROW()-1),"")</f>
        <v/>
      </c>
      <c r="AR476" t="str" cm="1">
        <f t="array" ref="AR476">IFERROR(INDEX(tblAnalysis[Hold Time (s)],ROW()-1),"")</f>
        <v/>
      </c>
      <c r="AS476" s="6" t="str" cm="1">
        <f t="array" ref="AS476">IFERROR(INDEX(tblAnalysis[P&amp;L SOL],ROW()-1),"")</f>
        <v/>
      </c>
      <c r="AT476" s="6" t="str">
        <f t="array" ref="AT476">IFERROR(INDEX(tblAnalysis[P&amp;L SOL],ROW()-1),"")</f>
        <v/>
      </c>
      <c r="AZ476" s="10"/>
      <c r="BA476" s="10"/>
      <c r="BF476" t="str">
        <f t="shared" si="147"/>
        <v/>
      </c>
      <c r="BG476" s="27" t="str">
        <f t="shared" si="148"/>
        <v/>
      </c>
      <c r="BH476" t="str">
        <f t="shared" si="149"/>
        <v/>
      </c>
      <c r="BI476" t="str">
        <f t="shared" si="153"/>
        <v/>
      </c>
      <c r="BL476" s="29" t="e">
        <f t="shared" si="132"/>
        <v>#N/A</v>
      </c>
      <c r="BM476" s="29" t="e">
        <f t="shared" si="133"/>
        <v>#N/A</v>
      </c>
    </row>
    <row r="477" spans="17:65" x14ac:dyDescent="0.35">
      <c r="Q477" s="27"/>
      <c r="R477" s="6" t="str">
        <f>IF(Q477="","",SUMIFS(tblAnalysis[P&amp;L SOL],tblAnalysis[Date],Q477))</f>
        <v/>
      </c>
      <c r="S477" s="10" t="str">
        <f>IF(Q477="","",SUMIFS(tblAnalysis[P&amp;L %],tblAnalysis[Date],Q477))</f>
        <v/>
      </c>
      <c r="T477" s="6" t="str">
        <f>IF(Q477="","",IFERROR(SUM($R$2:R477),""))</f>
        <v/>
      </c>
      <c r="U477" t="str">
        <f>IF(Q477="","",COUNTIFS(tblAnalysis[Date],Q477))</f>
        <v/>
      </c>
      <c r="V477" t="str">
        <f>IF(R477="","",COUNTIFS(tblAnalysis[Date],R477))</f>
        <v/>
      </c>
      <c r="W477" s="27" t="str">
        <f t="shared" si="138"/>
        <v/>
      </c>
      <c r="X477" s="6" t="str">
        <f t="shared" si="139"/>
        <v/>
      </c>
      <c r="Y477" s="6" t="str">
        <f>IF(Q477="","",MAX(X477,_xlfn.MAXIFS(tblAnalysis[Cum P&amp;L SOL],tblAnalysis[Date],Q477)))</f>
        <v/>
      </c>
      <c r="Z477" s="6" t="str">
        <f>IF(Q477="","",MIN(X477,_xlfn.MINIFS(tblAnalysis[Cum P&amp;L SOL],tblAnalysis[Date],Q477)))</f>
        <v/>
      </c>
      <c r="AA477" s="6" t="str">
        <f t="shared" si="140"/>
        <v/>
      </c>
      <c r="AB477" s="6" t="str">
        <f t="shared" si="150"/>
        <v/>
      </c>
      <c r="AC477" s="27" t="str">
        <f t="shared" si="141"/>
        <v/>
      </c>
      <c r="AD477" s="10" t="str">
        <f t="shared" si="142"/>
        <v/>
      </c>
      <c r="AE477" s="10" t="str">
        <f t="shared" si="143"/>
        <v/>
      </c>
      <c r="AF477" s="10" t="str">
        <f t="shared" si="144"/>
        <v/>
      </c>
      <c r="AG477" s="10" t="str">
        <f t="shared" si="151"/>
        <v/>
      </c>
      <c r="AH477" t="str">
        <f t="shared" si="145"/>
        <v/>
      </c>
      <c r="AI477" t="str">
        <f t="shared" si="146"/>
        <v/>
      </c>
      <c r="AJ477" t="str">
        <f t="shared" si="152"/>
        <v/>
      </c>
      <c r="AK477" t="str" cm="1">
        <f t="array" ref="AK477">IFERROR(IF(INDEX($A:$A,ROW())="","",INDEX($A:$A,ROW())),"")</f>
        <v/>
      </c>
      <c r="AL477" t="str" cm="1">
        <f t="array" ref="AL477">IFERROR(INDEX(tblTrades[sol_invested],ROW()-1),"")</f>
        <v/>
      </c>
      <c r="AM477" s="6" t="str" cm="1">
        <f t="array" ref="AM477">IFERROR(INDEX(tblAnalysis[P&amp;L SOL],ROW()-1),"")</f>
        <v/>
      </c>
      <c r="AN477" t="str" cm="1">
        <f t="array" ref="AN477">IFERROR(IF(INDEX(tblTrades[sol_invested],ROW()-1)&gt;0.5,INDEX(tblAnalysis[Token],ROW()-1)&amp;" ("&amp;TEXT(INDEX(tblTrades[sol_invested],ROW()-1),"0.0")&amp;" SOL)",""),"")</f>
        <v/>
      </c>
      <c r="AO477" s="7"/>
      <c r="AP477" s="12" t="str" cm="1">
        <f t="array" ref="AP477">IFERROR(INDEX(tblAnalysis[Entry MC ($)],ROW()-1),"")</f>
        <v/>
      </c>
      <c r="AQ477" s="10" t="str" cm="1">
        <f t="array" ref="AQ477">IFERROR(INDEX(tblAnalysis[P&amp;L %],ROW()-1),"")</f>
        <v/>
      </c>
      <c r="AR477" t="str" cm="1">
        <f t="array" ref="AR477">IFERROR(INDEX(tblAnalysis[Hold Time (s)],ROW()-1),"")</f>
        <v/>
      </c>
      <c r="AS477" s="6" t="str" cm="1">
        <f t="array" ref="AS477">IFERROR(INDEX(tblAnalysis[P&amp;L SOL],ROW()-1),"")</f>
        <v/>
      </c>
      <c r="AT477" s="6" t="str">
        <f t="array" ref="AT477">IFERROR(INDEX(tblAnalysis[P&amp;L SOL],ROW()-1),"")</f>
        <v/>
      </c>
      <c r="AZ477" s="10"/>
      <c r="BA477" s="10"/>
      <c r="BF477" t="str">
        <f t="shared" si="147"/>
        <v/>
      </c>
      <c r="BG477" s="27" t="str">
        <f t="shared" si="148"/>
        <v/>
      </c>
      <c r="BH477" t="str">
        <f t="shared" si="149"/>
        <v/>
      </c>
      <c r="BI477" t="str">
        <f t="shared" si="153"/>
        <v/>
      </c>
      <c r="BL477" s="29" t="e">
        <f t="shared" si="132"/>
        <v>#N/A</v>
      </c>
      <c r="BM477" s="29" t="e">
        <f t="shared" si="133"/>
        <v>#N/A</v>
      </c>
    </row>
    <row r="478" spans="17:65" x14ac:dyDescent="0.35">
      <c r="Q478" s="27"/>
      <c r="R478" s="6" t="str">
        <f>IF(Q478="","",SUMIFS(tblAnalysis[P&amp;L SOL],tblAnalysis[Date],Q478))</f>
        <v/>
      </c>
      <c r="S478" s="10" t="str">
        <f>IF(Q478="","",SUMIFS(tblAnalysis[P&amp;L %],tblAnalysis[Date],Q478))</f>
        <v/>
      </c>
      <c r="T478" s="6" t="str">
        <f>IF(Q478="","",IFERROR(SUM($R$2:R478),""))</f>
        <v/>
      </c>
      <c r="U478" t="str">
        <f>IF(Q478="","",COUNTIFS(tblAnalysis[Date],Q478))</f>
        <v/>
      </c>
      <c r="V478" t="str">
        <f>IF(R478="","",COUNTIFS(tblAnalysis[Date],R478))</f>
        <v/>
      </c>
      <c r="W478" s="27" t="str">
        <f t="shared" si="138"/>
        <v/>
      </c>
      <c r="X478" s="6" t="str">
        <f t="shared" si="139"/>
        <v/>
      </c>
      <c r="Y478" s="6" t="str">
        <f>IF(Q478="","",MAX(X478,_xlfn.MAXIFS(tblAnalysis[Cum P&amp;L SOL],tblAnalysis[Date],Q478)))</f>
        <v/>
      </c>
      <c r="Z478" s="6" t="str">
        <f>IF(Q478="","",MIN(X478,_xlfn.MINIFS(tblAnalysis[Cum P&amp;L SOL],tblAnalysis[Date],Q478)))</f>
        <v/>
      </c>
      <c r="AA478" s="6" t="str">
        <f t="shared" si="140"/>
        <v/>
      </c>
      <c r="AB478" s="6" t="str">
        <f t="shared" si="150"/>
        <v/>
      </c>
      <c r="AC478" s="27" t="str">
        <f t="shared" si="141"/>
        <v/>
      </c>
      <c r="AD478" s="10" t="str">
        <f t="shared" si="142"/>
        <v/>
      </c>
      <c r="AE478" s="10" t="str">
        <f t="shared" si="143"/>
        <v/>
      </c>
      <c r="AF478" s="10" t="str">
        <f t="shared" si="144"/>
        <v/>
      </c>
      <c r="AG478" s="10" t="str">
        <f t="shared" si="151"/>
        <v/>
      </c>
      <c r="AH478" t="str">
        <f t="shared" si="145"/>
        <v/>
      </c>
      <c r="AI478" t="str">
        <f t="shared" si="146"/>
        <v/>
      </c>
      <c r="AJ478" t="str">
        <f t="shared" si="152"/>
        <v/>
      </c>
      <c r="AK478" t="str" cm="1">
        <f t="array" ref="AK478">IFERROR(IF(INDEX($A:$A,ROW())="","",INDEX($A:$A,ROW())),"")</f>
        <v/>
      </c>
      <c r="AL478" t="str" cm="1">
        <f t="array" ref="AL478">IFERROR(INDEX(tblTrades[sol_invested],ROW()-1),"")</f>
        <v/>
      </c>
      <c r="AM478" s="6" t="str" cm="1">
        <f t="array" ref="AM478">IFERROR(INDEX(tblAnalysis[P&amp;L SOL],ROW()-1),"")</f>
        <v/>
      </c>
      <c r="AN478" t="str" cm="1">
        <f t="array" ref="AN478">IFERROR(IF(INDEX(tblTrades[sol_invested],ROW()-1)&gt;0.5,INDEX(tblAnalysis[Token],ROW()-1)&amp;" ("&amp;TEXT(INDEX(tblTrades[sol_invested],ROW()-1),"0.0")&amp;" SOL)",""),"")</f>
        <v/>
      </c>
      <c r="AO478" s="7"/>
      <c r="AP478" s="12" t="str" cm="1">
        <f t="array" ref="AP478">IFERROR(INDEX(tblAnalysis[Entry MC ($)],ROW()-1),"")</f>
        <v/>
      </c>
      <c r="AQ478" s="10" t="str" cm="1">
        <f t="array" ref="AQ478">IFERROR(INDEX(tblAnalysis[P&amp;L %],ROW()-1),"")</f>
        <v/>
      </c>
      <c r="AR478" t="str" cm="1">
        <f t="array" ref="AR478">IFERROR(INDEX(tblAnalysis[Hold Time (s)],ROW()-1),"")</f>
        <v/>
      </c>
      <c r="AS478" s="6" t="str" cm="1">
        <f t="array" ref="AS478">IFERROR(INDEX(tblAnalysis[P&amp;L SOL],ROW()-1),"")</f>
        <v/>
      </c>
      <c r="AT478" s="6" t="str">
        <f t="array" ref="AT478">IFERROR(INDEX(tblAnalysis[P&amp;L SOL],ROW()-1),"")</f>
        <v/>
      </c>
      <c r="AZ478" s="10"/>
      <c r="BA478" s="10"/>
      <c r="BF478" t="str">
        <f t="shared" si="147"/>
        <v/>
      </c>
      <c r="BG478" s="27" t="str">
        <f t="shared" si="148"/>
        <v/>
      </c>
      <c r="BH478" t="str">
        <f t="shared" si="149"/>
        <v/>
      </c>
      <c r="BI478" t="str">
        <f t="shared" si="153"/>
        <v/>
      </c>
      <c r="BL478" s="29" t="e">
        <f t="shared" si="132"/>
        <v>#N/A</v>
      </c>
      <c r="BM478" s="29" t="e">
        <f t="shared" si="133"/>
        <v>#N/A</v>
      </c>
    </row>
    <row r="479" spans="17:65" x14ac:dyDescent="0.35">
      <c r="Q479" s="27"/>
      <c r="R479" s="6" t="str">
        <f>IF(Q479="","",SUMIFS(tblAnalysis[P&amp;L SOL],tblAnalysis[Date],Q479))</f>
        <v/>
      </c>
      <c r="S479" s="10" t="str">
        <f>IF(Q479="","",SUMIFS(tblAnalysis[P&amp;L %],tblAnalysis[Date],Q479))</f>
        <v/>
      </c>
      <c r="T479" s="6" t="str">
        <f>IF(Q479="","",IFERROR(SUM($R$2:R479),""))</f>
        <v/>
      </c>
      <c r="U479" t="str">
        <f>IF(Q479="","",COUNTIFS(tblAnalysis[Date],Q479))</f>
        <v/>
      </c>
      <c r="V479" t="str">
        <f>IF(R479="","",COUNTIFS(tblAnalysis[Date],R479))</f>
        <v/>
      </c>
      <c r="W479" s="27" t="str">
        <f t="shared" si="138"/>
        <v/>
      </c>
      <c r="X479" s="6" t="str">
        <f t="shared" si="139"/>
        <v/>
      </c>
      <c r="Y479" s="6" t="str">
        <f>IF(Q479="","",MAX(X479,_xlfn.MAXIFS(tblAnalysis[Cum P&amp;L SOL],tblAnalysis[Date],Q479)))</f>
        <v/>
      </c>
      <c r="Z479" s="6" t="str">
        <f>IF(Q479="","",MIN(X479,_xlfn.MINIFS(tblAnalysis[Cum P&amp;L SOL],tblAnalysis[Date],Q479)))</f>
        <v/>
      </c>
      <c r="AA479" s="6" t="str">
        <f t="shared" si="140"/>
        <v/>
      </c>
      <c r="AB479" s="6" t="str">
        <f t="shared" si="150"/>
        <v/>
      </c>
      <c r="AC479" s="27" t="str">
        <f t="shared" si="141"/>
        <v/>
      </c>
      <c r="AD479" s="10" t="str">
        <f t="shared" si="142"/>
        <v/>
      </c>
      <c r="AE479" s="10" t="str">
        <f t="shared" si="143"/>
        <v/>
      </c>
      <c r="AF479" s="10" t="str">
        <f t="shared" si="144"/>
        <v/>
      </c>
      <c r="AG479" s="10" t="str">
        <f t="shared" si="151"/>
        <v/>
      </c>
      <c r="AH479" t="str">
        <f t="shared" si="145"/>
        <v/>
      </c>
      <c r="AI479" t="str">
        <f t="shared" si="146"/>
        <v/>
      </c>
      <c r="AJ479" t="str">
        <f t="shared" si="152"/>
        <v/>
      </c>
      <c r="AK479" t="str" cm="1">
        <f t="array" ref="AK479">IFERROR(IF(INDEX($A:$A,ROW())="","",INDEX($A:$A,ROW())),"")</f>
        <v/>
      </c>
      <c r="AL479" t="str" cm="1">
        <f t="array" ref="AL479">IFERROR(INDEX(tblTrades[sol_invested],ROW()-1),"")</f>
        <v/>
      </c>
      <c r="AM479" s="6" t="str" cm="1">
        <f t="array" ref="AM479">IFERROR(INDEX(tblAnalysis[P&amp;L SOL],ROW()-1),"")</f>
        <v/>
      </c>
      <c r="AN479" t="str" cm="1">
        <f t="array" ref="AN479">IFERROR(IF(INDEX(tblTrades[sol_invested],ROW()-1)&gt;0.5,INDEX(tblAnalysis[Token],ROW()-1)&amp;" ("&amp;TEXT(INDEX(tblTrades[sol_invested],ROW()-1),"0.0")&amp;" SOL)",""),"")</f>
        <v/>
      </c>
      <c r="AO479" s="7"/>
      <c r="AP479" s="12" t="str" cm="1">
        <f t="array" ref="AP479">IFERROR(INDEX(tblAnalysis[Entry MC ($)],ROW()-1),"")</f>
        <v/>
      </c>
      <c r="AQ479" s="10" t="str" cm="1">
        <f t="array" ref="AQ479">IFERROR(INDEX(tblAnalysis[P&amp;L %],ROW()-1),"")</f>
        <v/>
      </c>
      <c r="AR479" t="str" cm="1">
        <f t="array" ref="AR479">IFERROR(INDEX(tblAnalysis[Hold Time (s)],ROW()-1),"")</f>
        <v/>
      </c>
      <c r="AS479" s="6" t="str" cm="1">
        <f t="array" ref="AS479">IFERROR(INDEX(tblAnalysis[P&amp;L SOL],ROW()-1),"")</f>
        <v/>
      </c>
      <c r="AT479" s="6" t="str">
        <f t="array" ref="AT479">IFERROR(INDEX(tblAnalysis[P&amp;L SOL],ROW()-1),"")</f>
        <v/>
      </c>
      <c r="AZ479" s="10"/>
      <c r="BA479" s="10"/>
      <c r="BF479" t="str">
        <f t="shared" si="147"/>
        <v/>
      </c>
      <c r="BG479" s="27" t="str">
        <f t="shared" si="148"/>
        <v/>
      </c>
      <c r="BH479" t="str">
        <f t="shared" si="149"/>
        <v/>
      </c>
      <c r="BI479" t="str">
        <f t="shared" si="153"/>
        <v/>
      </c>
      <c r="BL479" s="29" t="e">
        <f t="shared" si="132"/>
        <v>#N/A</v>
      </c>
      <c r="BM479" s="29" t="e">
        <f t="shared" si="133"/>
        <v>#N/A</v>
      </c>
    </row>
    <row r="480" spans="17:65" x14ac:dyDescent="0.35">
      <c r="Q480" s="27"/>
      <c r="R480" s="6" t="str">
        <f>IF(Q480="","",SUMIFS(tblAnalysis[P&amp;L SOL],tblAnalysis[Date],Q480))</f>
        <v/>
      </c>
      <c r="S480" s="10" t="str">
        <f>IF(Q480="","",SUMIFS(tblAnalysis[P&amp;L %],tblAnalysis[Date],Q480))</f>
        <v/>
      </c>
      <c r="T480" s="6" t="str">
        <f>IF(Q480="","",IFERROR(SUM($R$2:R480),""))</f>
        <v/>
      </c>
      <c r="U480" t="str">
        <f>IF(Q480="","",COUNTIFS(tblAnalysis[Date],Q480))</f>
        <v/>
      </c>
      <c r="V480" t="str">
        <f>IF(R480="","",COUNTIFS(tblAnalysis[Date],R480))</f>
        <v/>
      </c>
      <c r="W480" s="27" t="str">
        <f t="shared" si="138"/>
        <v/>
      </c>
      <c r="X480" s="6" t="str">
        <f t="shared" si="139"/>
        <v/>
      </c>
      <c r="Y480" s="6" t="str">
        <f>IF(Q480="","",MAX(X480,_xlfn.MAXIFS(tblAnalysis[Cum P&amp;L SOL],tblAnalysis[Date],Q480)))</f>
        <v/>
      </c>
      <c r="Z480" s="6" t="str">
        <f>IF(Q480="","",MIN(X480,_xlfn.MINIFS(tblAnalysis[Cum P&amp;L SOL],tblAnalysis[Date],Q480)))</f>
        <v/>
      </c>
      <c r="AA480" s="6" t="str">
        <f t="shared" si="140"/>
        <v/>
      </c>
      <c r="AB480" s="6" t="str">
        <f t="shared" si="150"/>
        <v/>
      </c>
      <c r="AC480" s="27" t="str">
        <f t="shared" si="141"/>
        <v/>
      </c>
      <c r="AD480" s="10" t="str">
        <f t="shared" si="142"/>
        <v/>
      </c>
      <c r="AE480" s="10" t="str">
        <f t="shared" si="143"/>
        <v/>
      </c>
      <c r="AF480" s="10" t="str">
        <f t="shared" si="144"/>
        <v/>
      </c>
      <c r="AG480" s="10" t="str">
        <f t="shared" si="151"/>
        <v/>
      </c>
      <c r="AH480" t="str">
        <f t="shared" si="145"/>
        <v/>
      </c>
      <c r="AI480" t="str">
        <f t="shared" si="146"/>
        <v/>
      </c>
      <c r="AJ480" t="str">
        <f t="shared" si="152"/>
        <v/>
      </c>
      <c r="AK480" t="str" cm="1">
        <f t="array" ref="AK480">IFERROR(IF(INDEX($A:$A,ROW())="","",INDEX($A:$A,ROW())),"")</f>
        <v/>
      </c>
      <c r="AL480" t="str" cm="1">
        <f t="array" ref="AL480">IFERROR(INDEX(tblTrades[sol_invested],ROW()-1),"")</f>
        <v/>
      </c>
      <c r="AM480" s="6" t="str" cm="1">
        <f t="array" ref="AM480">IFERROR(INDEX(tblAnalysis[P&amp;L SOL],ROW()-1),"")</f>
        <v/>
      </c>
      <c r="AN480" t="str" cm="1">
        <f t="array" ref="AN480">IFERROR(IF(INDEX(tblTrades[sol_invested],ROW()-1)&gt;0.5,INDEX(tblAnalysis[Token],ROW()-1)&amp;" ("&amp;TEXT(INDEX(tblTrades[sol_invested],ROW()-1),"0.0")&amp;" SOL)",""),"")</f>
        <v/>
      </c>
      <c r="AO480" s="7"/>
      <c r="AP480" s="12" t="str" cm="1">
        <f t="array" ref="AP480">IFERROR(INDEX(tblAnalysis[Entry MC ($)],ROW()-1),"")</f>
        <v/>
      </c>
      <c r="AQ480" s="10" t="str" cm="1">
        <f t="array" ref="AQ480">IFERROR(INDEX(tblAnalysis[P&amp;L %],ROW()-1),"")</f>
        <v/>
      </c>
      <c r="AR480" t="str" cm="1">
        <f t="array" ref="AR480">IFERROR(INDEX(tblAnalysis[Hold Time (s)],ROW()-1),"")</f>
        <v/>
      </c>
      <c r="AS480" s="6" t="str" cm="1">
        <f t="array" ref="AS480">IFERROR(INDEX(tblAnalysis[P&amp;L SOL],ROW()-1),"")</f>
        <v/>
      </c>
      <c r="AT480" s="6" t="str">
        <f t="array" ref="AT480">IFERROR(INDEX(tblAnalysis[P&amp;L SOL],ROW()-1),"")</f>
        <v/>
      </c>
      <c r="AZ480" s="10"/>
      <c r="BA480" s="10"/>
      <c r="BF480" t="str">
        <f t="shared" si="147"/>
        <v/>
      </c>
      <c r="BG480" s="27" t="str">
        <f t="shared" si="148"/>
        <v/>
      </c>
      <c r="BH480" t="str">
        <f t="shared" si="149"/>
        <v/>
      </c>
      <c r="BI480" t="str">
        <f t="shared" si="153"/>
        <v/>
      </c>
      <c r="BL480" s="29" t="e">
        <f t="shared" si="132"/>
        <v>#N/A</v>
      </c>
      <c r="BM480" s="29" t="e">
        <f t="shared" si="133"/>
        <v>#N/A</v>
      </c>
    </row>
    <row r="481" spans="17:65" x14ac:dyDescent="0.35">
      <c r="Q481" s="27"/>
      <c r="R481" s="6" t="str">
        <f>IF(Q481="","",SUMIFS(tblAnalysis[P&amp;L SOL],tblAnalysis[Date],Q481))</f>
        <v/>
      </c>
      <c r="S481" s="10" t="str">
        <f>IF(Q481="","",SUMIFS(tblAnalysis[P&amp;L %],tblAnalysis[Date],Q481))</f>
        <v/>
      </c>
      <c r="T481" s="6" t="str">
        <f>IF(Q481="","",IFERROR(SUM($R$2:R481),""))</f>
        <v/>
      </c>
      <c r="U481" t="str">
        <f>IF(Q481="","",COUNTIFS(tblAnalysis[Date],Q481))</f>
        <v/>
      </c>
      <c r="V481" t="str">
        <f>IF(R481="","",COUNTIFS(tblAnalysis[Date],R481))</f>
        <v/>
      </c>
      <c r="W481" s="27" t="str">
        <f t="shared" si="138"/>
        <v/>
      </c>
      <c r="X481" s="6" t="str">
        <f t="shared" si="139"/>
        <v/>
      </c>
      <c r="Y481" s="6" t="str">
        <f>IF(Q481="","",MAX(X481,_xlfn.MAXIFS(tblAnalysis[Cum P&amp;L SOL],tblAnalysis[Date],Q481)))</f>
        <v/>
      </c>
      <c r="Z481" s="6" t="str">
        <f>IF(Q481="","",MIN(X481,_xlfn.MINIFS(tblAnalysis[Cum P&amp;L SOL],tblAnalysis[Date],Q481)))</f>
        <v/>
      </c>
      <c r="AA481" s="6" t="str">
        <f t="shared" si="140"/>
        <v/>
      </c>
      <c r="AB481" s="6" t="str">
        <f t="shared" si="150"/>
        <v/>
      </c>
      <c r="AC481" s="27" t="str">
        <f t="shared" si="141"/>
        <v/>
      </c>
      <c r="AD481" s="10" t="str">
        <f t="shared" si="142"/>
        <v/>
      </c>
      <c r="AE481" s="10" t="str">
        <f t="shared" si="143"/>
        <v/>
      </c>
      <c r="AF481" s="10" t="str">
        <f t="shared" si="144"/>
        <v/>
      </c>
      <c r="AG481" s="10" t="str">
        <f t="shared" si="151"/>
        <v/>
      </c>
      <c r="AH481" t="str">
        <f t="shared" si="145"/>
        <v/>
      </c>
      <c r="AI481" t="str">
        <f t="shared" si="146"/>
        <v/>
      </c>
      <c r="AJ481" t="str">
        <f t="shared" si="152"/>
        <v/>
      </c>
      <c r="AK481" t="str" cm="1">
        <f t="array" ref="AK481">IFERROR(IF(INDEX($A:$A,ROW())="","",INDEX($A:$A,ROW())),"")</f>
        <v/>
      </c>
      <c r="AL481" t="str" cm="1">
        <f t="array" ref="AL481">IFERROR(INDEX(tblTrades[sol_invested],ROW()-1),"")</f>
        <v/>
      </c>
      <c r="AM481" s="6" t="str" cm="1">
        <f t="array" ref="AM481">IFERROR(INDEX(tblAnalysis[P&amp;L SOL],ROW()-1),"")</f>
        <v/>
      </c>
      <c r="AN481" t="str" cm="1">
        <f t="array" ref="AN481">IFERROR(IF(INDEX(tblTrades[sol_invested],ROW()-1)&gt;0.5,INDEX(tblAnalysis[Token],ROW()-1)&amp;" ("&amp;TEXT(INDEX(tblTrades[sol_invested],ROW()-1),"0.0")&amp;" SOL)",""),"")</f>
        <v/>
      </c>
      <c r="AO481" s="7"/>
      <c r="AP481" s="12" t="str" cm="1">
        <f t="array" ref="AP481">IFERROR(INDEX(tblAnalysis[Entry MC ($)],ROW()-1),"")</f>
        <v/>
      </c>
      <c r="AQ481" s="10" t="str" cm="1">
        <f t="array" ref="AQ481">IFERROR(INDEX(tblAnalysis[P&amp;L %],ROW()-1),"")</f>
        <v/>
      </c>
      <c r="AR481" t="str" cm="1">
        <f t="array" ref="AR481">IFERROR(INDEX(tblAnalysis[Hold Time (s)],ROW()-1),"")</f>
        <v/>
      </c>
      <c r="AS481" s="6" t="str" cm="1">
        <f t="array" ref="AS481">IFERROR(INDEX(tblAnalysis[P&amp;L SOL],ROW()-1),"")</f>
        <v/>
      </c>
      <c r="AT481" s="6" t="str">
        <f t="array" ref="AT481">IFERROR(INDEX(tblAnalysis[P&amp;L SOL],ROW()-1),"")</f>
        <v/>
      </c>
      <c r="AZ481" s="10"/>
      <c r="BA481" s="10"/>
      <c r="BF481" t="str">
        <f t="shared" si="147"/>
        <v/>
      </c>
      <c r="BG481" s="27" t="str">
        <f t="shared" si="148"/>
        <v/>
      </c>
      <c r="BH481" t="str">
        <f t="shared" si="149"/>
        <v/>
      </c>
      <c r="BI481" t="str">
        <f t="shared" si="153"/>
        <v/>
      </c>
      <c r="BL481" s="29" t="e">
        <f t="shared" si="132"/>
        <v>#N/A</v>
      </c>
      <c r="BM481" s="29" t="e">
        <f t="shared" si="133"/>
        <v>#N/A</v>
      </c>
    </row>
    <row r="482" spans="17:65" x14ac:dyDescent="0.35">
      <c r="Q482" s="27"/>
      <c r="R482" s="6" t="str">
        <f>IF(Q482="","",SUMIFS(tblAnalysis[P&amp;L SOL],tblAnalysis[Date],Q482))</f>
        <v/>
      </c>
      <c r="S482" s="10" t="str">
        <f>IF(Q482="","",SUMIFS(tblAnalysis[P&amp;L %],tblAnalysis[Date],Q482))</f>
        <v/>
      </c>
      <c r="T482" s="6" t="str">
        <f>IF(Q482="","",IFERROR(SUM($R$2:R482),""))</f>
        <v/>
      </c>
      <c r="U482" t="str">
        <f>IF(Q482="","",COUNTIFS(tblAnalysis[Date],Q482))</f>
        <v/>
      </c>
      <c r="V482" t="str">
        <f>IF(R482="","",COUNTIFS(tblAnalysis[Date],R482))</f>
        <v/>
      </c>
      <c r="W482" s="27" t="str">
        <f t="shared" si="138"/>
        <v/>
      </c>
      <c r="X482" s="6" t="str">
        <f t="shared" si="139"/>
        <v/>
      </c>
      <c r="Y482" s="6" t="str">
        <f>IF(Q482="","",MAX(X482,_xlfn.MAXIFS(tblAnalysis[Cum P&amp;L SOL],tblAnalysis[Date],Q482)))</f>
        <v/>
      </c>
      <c r="Z482" s="6" t="str">
        <f>IF(Q482="","",MIN(X482,_xlfn.MINIFS(tblAnalysis[Cum P&amp;L SOL],tblAnalysis[Date],Q482)))</f>
        <v/>
      </c>
      <c r="AA482" s="6" t="str">
        <f t="shared" si="140"/>
        <v/>
      </c>
      <c r="AB482" s="6" t="str">
        <f t="shared" si="150"/>
        <v/>
      </c>
      <c r="AC482" s="27" t="str">
        <f t="shared" si="141"/>
        <v/>
      </c>
      <c r="AD482" s="10" t="str">
        <f t="shared" si="142"/>
        <v/>
      </c>
      <c r="AE482" s="10" t="str">
        <f t="shared" si="143"/>
        <v/>
      </c>
      <c r="AF482" s="10" t="str">
        <f t="shared" si="144"/>
        <v/>
      </c>
      <c r="AG482" s="10" t="str">
        <f t="shared" si="151"/>
        <v/>
      </c>
      <c r="AH482" t="str">
        <f t="shared" si="145"/>
        <v/>
      </c>
      <c r="AI482" t="str">
        <f t="shared" si="146"/>
        <v/>
      </c>
      <c r="AJ482" t="str">
        <f t="shared" si="152"/>
        <v/>
      </c>
      <c r="AK482" t="str" cm="1">
        <f t="array" ref="AK482">IFERROR(IF(INDEX($A:$A,ROW())="","",INDEX($A:$A,ROW())),"")</f>
        <v/>
      </c>
      <c r="AL482" t="str" cm="1">
        <f t="array" ref="AL482">IFERROR(INDEX(tblTrades[sol_invested],ROW()-1),"")</f>
        <v/>
      </c>
      <c r="AM482" s="6" t="str" cm="1">
        <f t="array" ref="AM482">IFERROR(INDEX(tblAnalysis[P&amp;L SOL],ROW()-1),"")</f>
        <v/>
      </c>
      <c r="AN482" t="str" cm="1">
        <f t="array" ref="AN482">IFERROR(IF(INDEX(tblTrades[sol_invested],ROW()-1)&gt;0.5,INDEX(tblAnalysis[Token],ROW()-1)&amp;" ("&amp;TEXT(INDEX(tblTrades[sol_invested],ROW()-1),"0.0")&amp;" SOL)",""),"")</f>
        <v/>
      </c>
      <c r="AO482" s="7"/>
      <c r="AP482" s="12" t="str" cm="1">
        <f t="array" ref="AP482">IFERROR(INDEX(tblAnalysis[Entry MC ($)],ROW()-1),"")</f>
        <v/>
      </c>
      <c r="AQ482" s="10" t="str" cm="1">
        <f t="array" ref="AQ482">IFERROR(INDEX(tblAnalysis[P&amp;L %],ROW()-1),"")</f>
        <v/>
      </c>
      <c r="AR482" t="str" cm="1">
        <f t="array" ref="AR482">IFERROR(INDEX(tblAnalysis[Hold Time (s)],ROW()-1),"")</f>
        <v/>
      </c>
      <c r="AS482" s="6" t="str" cm="1">
        <f t="array" ref="AS482">IFERROR(INDEX(tblAnalysis[P&amp;L SOL],ROW()-1),"")</f>
        <v/>
      </c>
      <c r="AT482" s="6" t="str">
        <f t="array" ref="AT482">IFERROR(INDEX(tblAnalysis[P&amp;L SOL],ROW()-1),"")</f>
        <v/>
      </c>
      <c r="AZ482" s="10"/>
      <c r="BA482" s="10"/>
      <c r="BF482" t="str">
        <f t="shared" si="147"/>
        <v/>
      </c>
      <c r="BG482" s="27" t="str">
        <f t="shared" si="148"/>
        <v/>
      </c>
      <c r="BH482" t="str">
        <f t="shared" si="149"/>
        <v/>
      </c>
      <c r="BI482" t="str">
        <f t="shared" si="153"/>
        <v/>
      </c>
      <c r="BL482" s="29" t="e">
        <f t="shared" si="132"/>
        <v>#N/A</v>
      </c>
      <c r="BM482" s="29" t="e">
        <f t="shared" si="133"/>
        <v>#N/A</v>
      </c>
    </row>
    <row r="483" spans="17:65" x14ac:dyDescent="0.35">
      <c r="Q483" s="27"/>
      <c r="R483" s="6" t="str">
        <f>IF(Q483="","",SUMIFS(tblAnalysis[P&amp;L SOL],tblAnalysis[Date],Q483))</f>
        <v/>
      </c>
      <c r="S483" s="10" t="str">
        <f>IF(Q483="","",SUMIFS(tblAnalysis[P&amp;L %],tblAnalysis[Date],Q483))</f>
        <v/>
      </c>
      <c r="T483" s="6" t="str">
        <f>IF(Q483="","",IFERROR(SUM($R$2:R483),""))</f>
        <v/>
      </c>
      <c r="U483" t="str">
        <f>IF(Q483="","",COUNTIFS(tblAnalysis[Date],Q483))</f>
        <v/>
      </c>
      <c r="V483" t="str">
        <f>IF(R483="","",COUNTIFS(tblAnalysis[Date],R483))</f>
        <v/>
      </c>
      <c r="W483" s="27" t="str">
        <f t="shared" si="138"/>
        <v/>
      </c>
      <c r="X483" s="6" t="str">
        <f t="shared" si="139"/>
        <v/>
      </c>
      <c r="Y483" s="6" t="str">
        <f>IF(Q483="","",MAX(X483,_xlfn.MAXIFS(tblAnalysis[Cum P&amp;L SOL],tblAnalysis[Date],Q483)))</f>
        <v/>
      </c>
      <c r="Z483" s="6" t="str">
        <f>IF(Q483="","",MIN(X483,_xlfn.MINIFS(tblAnalysis[Cum P&amp;L SOL],tblAnalysis[Date],Q483)))</f>
        <v/>
      </c>
      <c r="AA483" s="6" t="str">
        <f t="shared" si="140"/>
        <v/>
      </c>
      <c r="AB483" s="6" t="str">
        <f t="shared" si="150"/>
        <v/>
      </c>
      <c r="AC483" s="27" t="str">
        <f t="shared" si="141"/>
        <v/>
      </c>
      <c r="AD483" s="10" t="str">
        <f t="shared" si="142"/>
        <v/>
      </c>
      <c r="AE483" s="10" t="str">
        <f t="shared" si="143"/>
        <v/>
      </c>
      <c r="AF483" s="10" t="str">
        <f t="shared" si="144"/>
        <v/>
      </c>
      <c r="AG483" s="10" t="str">
        <f t="shared" si="151"/>
        <v/>
      </c>
      <c r="AH483" t="str">
        <f t="shared" si="145"/>
        <v/>
      </c>
      <c r="AI483" t="str">
        <f t="shared" si="146"/>
        <v/>
      </c>
      <c r="AJ483" t="str">
        <f t="shared" si="152"/>
        <v/>
      </c>
      <c r="AK483" t="str" cm="1">
        <f t="array" ref="AK483">IFERROR(IF(INDEX($A:$A,ROW())="","",INDEX($A:$A,ROW())),"")</f>
        <v/>
      </c>
      <c r="AL483" t="str" cm="1">
        <f t="array" ref="AL483">IFERROR(INDEX(tblTrades[sol_invested],ROW()-1),"")</f>
        <v/>
      </c>
      <c r="AM483" s="6" t="str" cm="1">
        <f t="array" ref="AM483">IFERROR(INDEX(tblAnalysis[P&amp;L SOL],ROW()-1),"")</f>
        <v/>
      </c>
      <c r="AN483" t="str" cm="1">
        <f t="array" ref="AN483">IFERROR(IF(INDEX(tblTrades[sol_invested],ROW()-1)&gt;0.5,INDEX(tblAnalysis[Token],ROW()-1)&amp;" ("&amp;TEXT(INDEX(tblTrades[sol_invested],ROW()-1),"0.0")&amp;" SOL)",""),"")</f>
        <v/>
      </c>
      <c r="AO483" s="7"/>
      <c r="AP483" s="12" t="str" cm="1">
        <f t="array" ref="AP483">IFERROR(INDEX(tblAnalysis[Entry MC ($)],ROW()-1),"")</f>
        <v/>
      </c>
      <c r="AQ483" s="10" t="str" cm="1">
        <f t="array" ref="AQ483">IFERROR(INDEX(tblAnalysis[P&amp;L %],ROW()-1),"")</f>
        <v/>
      </c>
      <c r="AR483" t="str" cm="1">
        <f t="array" ref="AR483">IFERROR(INDEX(tblAnalysis[Hold Time (s)],ROW()-1),"")</f>
        <v/>
      </c>
      <c r="AS483" s="6" t="str" cm="1">
        <f t="array" ref="AS483">IFERROR(INDEX(tblAnalysis[P&amp;L SOL],ROW()-1),"")</f>
        <v/>
      </c>
      <c r="AT483" s="6" t="str">
        <f t="array" ref="AT483">IFERROR(INDEX(tblAnalysis[P&amp;L SOL],ROW()-1),"")</f>
        <v/>
      </c>
      <c r="AZ483" s="10"/>
      <c r="BA483" s="10"/>
      <c r="BF483" t="str">
        <f t="shared" si="147"/>
        <v/>
      </c>
      <c r="BG483" s="27" t="str">
        <f t="shared" si="148"/>
        <v/>
      </c>
      <c r="BH483" t="str">
        <f t="shared" si="149"/>
        <v/>
      </c>
      <c r="BI483" t="str">
        <f t="shared" si="153"/>
        <v/>
      </c>
      <c r="BL483" s="29" t="e">
        <f t="shared" si="132"/>
        <v>#N/A</v>
      </c>
      <c r="BM483" s="29" t="e">
        <f t="shared" si="133"/>
        <v>#N/A</v>
      </c>
    </row>
    <row r="484" spans="17:65" x14ac:dyDescent="0.35">
      <c r="Q484" s="27"/>
      <c r="R484" s="6" t="str">
        <f>IF(Q484="","",SUMIFS(tblAnalysis[P&amp;L SOL],tblAnalysis[Date],Q484))</f>
        <v/>
      </c>
      <c r="S484" s="10" t="str">
        <f>IF(Q484="","",SUMIFS(tblAnalysis[P&amp;L %],tblAnalysis[Date],Q484))</f>
        <v/>
      </c>
      <c r="T484" s="6" t="str">
        <f>IF(Q484="","",IFERROR(SUM($R$2:R484),""))</f>
        <v/>
      </c>
      <c r="U484" t="str">
        <f>IF(Q484="","",COUNTIFS(tblAnalysis[Date],Q484))</f>
        <v/>
      </c>
      <c r="V484" t="str">
        <f>IF(R484="","",COUNTIFS(tblAnalysis[Date],R484))</f>
        <v/>
      </c>
      <c r="W484" s="27" t="str">
        <f t="shared" si="138"/>
        <v/>
      </c>
      <c r="X484" s="6" t="str">
        <f t="shared" si="139"/>
        <v/>
      </c>
      <c r="Y484" s="6" t="str">
        <f>IF(Q484="","",MAX(X484,_xlfn.MAXIFS(tblAnalysis[Cum P&amp;L SOL],tblAnalysis[Date],Q484)))</f>
        <v/>
      </c>
      <c r="Z484" s="6" t="str">
        <f>IF(Q484="","",MIN(X484,_xlfn.MINIFS(tblAnalysis[Cum P&amp;L SOL],tblAnalysis[Date],Q484)))</f>
        <v/>
      </c>
      <c r="AA484" s="6" t="str">
        <f t="shared" si="140"/>
        <v/>
      </c>
      <c r="AB484" s="6" t="str">
        <f t="shared" si="150"/>
        <v/>
      </c>
      <c r="AC484" s="27" t="str">
        <f t="shared" si="141"/>
        <v/>
      </c>
      <c r="AD484" s="10" t="str">
        <f t="shared" si="142"/>
        <v/>
      </c>
      <c r="AE484" s="10" t="str">
        <f t="shared" si="143"/>
        <v/>
      </c>
      <c r="AF484" s="10" t="str">
        <f t="shared" si="144"/>
        <v/>
      </c>
      <c r="AG484" s="10" t="str">
        <f t="shared" si="151"/>
        <v/>
      </c>
      <c r="AH484" t="str">
        <f t="shared" si="145"/>
        <v/>
      </c>
      <c r="AI484" t="str">
        <f t="shared" si="146"/>
        <v/>
      </c>
      <c r="AJ484" t="str">
        <f t="shared" si="152"/>
        <v/>
      </c>
      <c r="AK484" t="str" cm="1">
        <f t="array" ref="AK484">IFERROR(IF(INDEX($A:$A,ROW())="","",INDEX($A:$A,ROW())),"")</f>
        <v/>
      </c>
      <c r="AL484" t="str" cm="1">
        <f t="array" ref="AL484">IFERROR(INDEX(tblTrades[sol_invested],ROW()-1),"")</f>
        <v/>
      </c>
      <c r="AM484" s="6" t="str" cm="1">
        <f t="array" ref="AM484">IFERROR(INDEX(tblAnalysis[P&amp;L SOL],ROW()-1),"")</f>
        <v/>
      </c>
      <c r="AN484" t="str" cm="1">
        <f t="array" ref="AN484">IFERROR(IF(INDEX(tblTrades[sol_invested],ROW()-1)&gt;0.5,INDEX(tblAnalysis[Token],ROW()-1)&amp;" ("&amp;TEXT(INDEX(tblTrades[sol_invested],ROW()-1),"0.0")&amp;" SOL)",""),"")</f>
        <v/>
      </c>
      <c r="AO484" s="7"/>
      <c r="AP484" s="12" t="str" cm="1">
        <f t="array" ref="AP484">IFERROR(INDEX(tblAnalysis[Entry MC ($)],ROW()-1),"")</f>
        <v/>
      </c>
      <c r="AQ484" s="10" t="str" cm="1">
        <f t="array" ref="AQ484">IFERROR(INDEX(tblAnalysis[P&amp;L %],ROW()-1),"")</f>
        <v/>
      </c>
      <c r="AR484" t="str" cm="1">
        <f t="array" ref="AR484">IFERROR(INDEX(tblAnalysis[Hold Time (s)],ROW()-1),"")</f>
        <v/>
      </c>
      <c r="AS484" s="6" t="str" cm="1">
        <f t="array" ref="AS484">IFERROR(INDEX(tblAnalysis[P&amp;L SOL],ROW()-1),"")</f>
        <v/>
      </c>
      <c r="AT484" s="6" t="str">
        <f t="array" ref="AT484">IFERROR(INDEX(tblAnalysis[P&amp;L SOL],ROW()-1),"")</f>
        <v/>
      </c>
      <c r="AZ484" s="10"/>
      <c r="BA484" s="10"/>
      <c r="BF484" t="str">
        <f t="shared" si="147"/>
        <v/>
      </c>
      <c r="BG484" s="27" t="str">
        <f t="shared" si="148"/>
        <v/>
      </c>
      <c r="BH484" t="str">
        <f t="shared" si="149"/>
        <v/>
      </c>
      <c r="BI484" t="str">
        <f t="shared" si="153"/>
        <v/>
      </c>
      <c r="BL484" s="29" t="e">
        <f t="shared" si="132"/>
        <v>#N/A</v>
      </c>
      <c r="BM484" s="29" t="e">
        <f t="shared" si="133"/>
        <v>#N/A</v>
      </c>
    </row>
    <row r="485" spans="17:65" x14ac:dyDescent="0.35">
      <c r="Q485" s="27"/>
      <c r="R485" s="6" t="str">
        <f>IF(Q485="","",SUMIFS(tblAnalysis[P&amp;L SOL],tblAnalysis[Date],Q485))</f>
        <v/>
      </c>
      <c r="S485" s="10" t="str">
        <f>IF(Q485="","",SUMIFS(tblAnalysis[P&amp;L %],tblAnalysis[Date],Q485))</f>
        <v/>
      </c>
      <c r="T485" s="6" t="str">
        <f>IF(Q485="","",IFERROR(SUM($R$2:R485),""))</f>
        <v/>
      </c>
      <c r="U485" t="str">
        <f>IF(Q485="","",COUNTIFS(tblAnalysis[Date],Q485))</f>
        <v/>
      </c>
      <c r="V485" t="str">
        <f>IF(R485="","",COUNTIFS(tblAnalysis[Date],R485))</f>
        <v/>
      </c>
      <c r="W485" s="27" t="str">
        <f t="shared" si="138"/>
        <v/>
      </c>
      <c r="X485" s="6" t="str">
        <f t="shared" si="139"/>
        <v/>
      </c>
      <c r="Y485" s="6" t="str">
        <f>IF(Q485="","",MAX(X485,_xlfn.MAXIFS(tblAnalysis[Cum P&amp;L SOL],tblAnalysis[Date],Q485)))</f>
        <v/>
      </c>
      <c r="Z485" s="6" t="str">
        <f>IF(Q485="","",MIN(X485,_xlfn.MINIFS(tblAnalysis[Cum P&amp;L SOL],tblAnalysis[Date],Q485)))</f>
        <v/>
      </c>
      <c r="AA485" s="6" t="str">
        <f t="shared" si="140"/>
        <v/>
      </c>
      <c r="AB485" s="6" t="str">
        <f t="shared" si="150"/>
        <v/>
      </c>
      <c r="AC485" s="27" t="str">
        <f t="shared" si="141"/>
        <v/>
      </c>
      <c r="AD485" s="10" t="str">
        <f t="shared" si="142"/>
        <v/>
      </c>
      <c r="AE485" s="10" t="str">
        <f t="shared" si="143"/>
        <v/>
      </c>
      <c r="AF485" s="10" t="str">
        <f t="shared" si="144"/>
        <v/>
      </c>
      <c r="AG485" s="10" t="str">
        <f t="shared" si="151"/>
        <v/>
      </c>
      <c r="AH485" t="str">
        <f t="shared" si="145"/>
        <v/>
      </c>
      <c r="AI485" t="str">
        <f t="shared" si="146"/>
        <v/>
      </c>
      <c r="AJ485" t="str">
        <f t="shared" si="152"/>
        <v/>
      </c>
      <c r="AK485" t="str" cm="1">
        <f t="array" ref="AK485">IFERROR(IF(INDEX($A:$A,ROW())="","",INDEX($A:$A,ROW())),"")</f>
        <v/>
      </c>
      <c r="AL485" t="str" cm="1">
        <f t="array" ref="AL485">IFERROR(INDEX(tblTrades[sol_invested],ROW()-1),"")</f>
        <v/>
      </c>
      <c r="AM485" s="6" t="str" cm="1">
        <f t="array" ref="AM485">IFERROR(INDEX(tblAnalysis[P&amp;L SOL],ROW()-1),"")</f>
        <v/>
      </c>
      <c r="AN485" t="str" cm="1">
        <f t="array" ref="AN485">IFERROR(IF(INDEX(tblTrades[sol_invested],ROW()-1)&gt;0.5,INDEX(tblAnalysis[Token],ROW()-1)&amp;" ("&amp;TEXT(INDEX(tblTrades[sol_invested],ROW()-1),"0.0")&amp;" SOL)",""),"")</f>
        <v/>
      </c>
      <c r="AO485" s="7"/>
      <c r="AP485" s="12" t="str" cm="1">
        <f t="array" ref="AP485">IFERROR(INDEX(tblAnalysis[Entry MC ($)],ROW()-1),"")</f>
        <v/>
      </c>
      <c r="AQ485" s="10" t="str" cm="1">
        <f t="array" ref="AQ485">IFERROR(INDEX(tblAnalysis[P&amp;L %],ROW()-1),"")</f>
        <v/>
      </c>
      <c r="AR485" t="str" cm="1">
        <f t="array" ref="AR485">IFERROR(INDEX(tblAnalysis[Hold Time (s)],ROW()-1),"")</f>
        <v/>
      </c>
      <c r="AS485" s="6" t="str" cm="1">
        <f t="array" ref="AS485">IFERROR(INDEX(tblAnalysis[P&amp;L SOL],ROW()-1),"")</f>
        <v/>
      </c>
      <c r="AT485" s="6" t="str">
        <f t="array" ref="AT485">IFERROR(INDEX(tblAnalysis[P&amp;L SOL],ROW()-1),"")</f>
        <v/>
      </c>
      <c r="AZ485" s="10"/>
      <c r="BA485" s="10"/>
      <c r="BF485" t="str">
        <f t="shared" si="147"/>
        <v/>
      </c>
      <c r="BG485" s="27" t="str">
        <f t="shared" si="148"/>
        <v/>
      </c>
      <c r="BH485" t="str">
        <f t="shared" si="149"/>
        <v/>
      </c>
      <c r="BI485" t="str">
        <f t="shared" si="153"/>
        <v/>
      </c>
      <c r="BL485" s="29" t="e">
        <f t="shared" si="132"/>
        <v>#N/A</v>
      </c>
      <c r="BM485" s="29" t="e">
        <f t="shared" si="133"/>
        <v>#N/A</v>
      </c>
    </row>
    <row r="486" spans="17:65" x14ac:dyDescent="0.35">
      <c r="Q486" s="27"/>
      <c r="R486" s="6" t="str">
        <f>IF(Q486="","",SUMIFS(tblAnalysis[P&amp;L SOL],tblAnalysis[Date],Q486))</f>
        <v/>
      </c>
      <c r="S486" s="10" t="str">
        <f>IF(Q486="","",SUMIFS(tblAnalysis[P&amp;L %],tblAnalysis[Date],Q486))</f>
        <v/>
      </c>
      <c r="T486" s="6" t="str">
        <f>IF(Q486="","",IFERROR(SUM($R$2:R486),""))</f>
        <v/>
      </c>
      <c r="U486" t="str">
        <f>IF(Q486="","",COUNTIFS(tblAnalysis[Date],Q486))</f>
        <v/>
      </c>
      <c r="V486" t="str">
        <f>IF(R486="","",COUNTIFS(tblAnalysis[Date],R486))</f>
        <v/>
      </c>
      <c r="W486" s="27" t="str">
        <f t="shared" si="138"/>
        <v/>
      </c>
      <c r="X486" s="6" t="str">
        <f t="shared" si="139"/>
        <v/>
      </c>
      <c r="Y486" s="6" t="str">
        <f>IF(Q486="","",MAX(X486,_xlfn.MAXIFS(tblAnalysis[Cum P&amp;L SOL],tblAnalysis[Date],Q486)))</f>
        <v/>
      </c>
      <c r="Z486" s="6" t="str">
        <f>IF(Q486="","",MIN(X486,_xlfn.MINIFS(tblAnalysis[Cum P&amp;L SOL],tblAnalysis[Date],Q486)))</f>
        <v/>
      </c>
      <c r="AA486" s="6" t="str">
        <f t="shared" si="140"/>
        <v/>
      </c>
      <c r="AB486" s="6" t="str">
        <f t="shared" si="150"/>
        <v/>
      </c>
      <c r="AC486" s="27" t="str">
        <f t="shared" si="141"/>
        <v/>
      </c>
      <c r="AD486" s="10" t="str">
        <f t="shared" si="142"/>
        <v/>
      </c>
      <c r="AE486" s="10" t="str">
        <f t="shared" si="143"/>
        <v/>
      </c>
      <c r="AF486" s="10" t="str">
        <f t="shared" si="144"/>
        <v/>
      </c>
      <c r="AG486" s="10" t="str">
        <f t="shared" si="151"/>
        <v/>
      </c>
      <c r="AH486" t="str">
        <f t="shared" si="145"/>
        <v/>
      </c>
      <c r="AI486" t="str">
        <f t="shared" si="146"/>
        <v/>
      </c>
      <c r="AJ486" t="str">
        <f t="shared" si="152"/>
        <v/>
      </c>
      <c r="AK486" t="str" cm="1">
        <f t="array" ref="AK486">IFERROR(IF(INDEX($A:$A,ROW())="","",INDEX($A:$A,ROW())),"")</f>
        <v/>
      </c>
      <c r="AL486" t="str" cm="1">
        <f t="array" ref="AL486">IFERROR(INDEX(tblTrades[sol_invested],ROW()-1),"")</f>
        <v/>
      </c>
      <c r="AM486" s="6" t="str" cm="1">
        <f t="array" ref="AM486">IFERROR(INDEX(tblAnalysis[P&amp;L SOL],ROW()-1),"")</f>
        <v/>
      </c>
      <c r="AN486" t="str" cm="1">
        <f t="array" ref="AN486">IFERROR(IF(INDEX(tblTrades[sol_invested],ROW()-1)&gt;0.5,INDEX(tblAnalysis[Token],ROW()-1)&amp;" ("&amp;TEXT(INDEX(tblTrades[sol_invested],ROW()-1),"0.0")&amp;" SOL)",""),"")</f>
        <v/>
      </c>
      <c r="AO486" s="7"/>
      <c r="AP486" s="12" t="str" cm="1">
        <f t="array" ref="AP486">IFERROR(INDEX(tblAnalysis[Entry MC ($)],ROW()-1),"")</f>
        <v/>
      </c>
      <c r="AQ486" s="10" t="str" cm="1">
        <f t="array" ref="AQ486">IFERROR(INDEX(tblAnalysis[P&amp;L %],ROW()-1),"")</f>
        <v/>
      </c>
      <c r="AR486" t="str" cm="1">
        <f t="array" ref="AR486">IFERROR(INDEX(tblAnalysis[Hold Time (s)],ROW()-1),"")</f>
        <v/>
      </c>
      <c r="AS486" s="6" t="str" cm="1">
        <f t="array" ref="AS486">IFERROR(INDEX(tblAnalysis[P&amp;L SOL],ROW()-1),"")</f>
        <v/>
      </c>
      <c r="AT486" s="6" t="str">
        <f t="array" ref="AT486">IFERROR(INDEX(tblAnalysis[P&amp;L SOL],ROW()-1),"")</f>
        <v/>
      </c>
      <c r="AZ486" s="10"/>
      <c r="BA486" s="10"/>
      <c r="BF486" t="str">
        <f t="shared" si="147"/>
        <v/>
      </c>
      <c r="BG486" s="27" t="str">
        <f t="shared" si="148"/>
        <v/>
      </c>
      <c r="BH486" t="str">
        <f t="shared" si="149"/>
        <v/>
      </c>
      <c r="BI486" t="str">
        <f t="shared" si="153"/>
        <v/>
      </c>
      <c r="BL486" s="29" t="e">
        <f t="shared" si="132"/>
        <v>#N/A</v>
      </c>
      <c r="BM486" s="29" t="e">
        <f t="shared" si="133"/>
        <v>#N/A</v>
      </c>
    </row>
    <row r="487" spans="17:65" x14ac:dyDescent="0.35">
      <c r="Q487" s="27"/>
      <c r="R487" s="6" t="str">
        <f>IF(Q487="","",SUMIFS(tblAnalysis[P&amp;L SOL],tblAnalysis[Date],Q487))</f>
        <v/>
      </c>
      <c r="S487" s="10" t="str">
        <f>IF(Q487="","",SUMIFS(tblAnalysis[P&amp;L %],tblAnalysis[Date],Q487))</f>
        <v/>
      </c>
      <c r="T487" s="6" t="str">
        <f>IF(Q487="","",IFERROR(SUM($R$2:R487),""))</f>
        <v/>
      </c>
      <c r="U487" t="str">
        <f>IF(Q487="","",COUNTIFS(tblAnalysis[Date],Q487))</f>
        <v/>
      </c>
      <c r="V487" t="str">
        <f>IF(R487="","",COUNTIFS(tblAnalysis[Date],R487))</f>
        <v/>
      </c>
      <c r="W487" s="27" t="str">
        <f t="shared" si="138"/>
        <v/>
      </c>
      <c r="X487" s="6" t="str">
        <f t="shared" si="139"/>
        <v/>
      </c>
      <c r="Y487" s="6" t="str">
        <f>IF(Q487="","",MAX(X487,_xlfn.MAXIFS(tblAnalysis[Cum P&amp;L SOL],tblAnalysis[Date],Q487)))</f>
        <v/>
      </c>
      <c r="Z487" s="6" t="str">
        <f>IF(Q487="","",MIN(X487,_xlfn.MINIFS(tblAnalysis[Cum P&amp;L SOL],tblAnalysis[Date],Q487)))</f>
        <v/>
      </c>
      <c r="AA487" s="6" t="str">
        <f t="shared" si="140"/>
        <v/>
      </c>
      <c r="AB487" s="6" t="str">
        <f t="shared" si="150"/>
        <v/>
      </c>
      <c r="AC487" s="27" t="str">
        <f t="shared" si="141"/>
        <v/>
      </c>
      <c r="AD487" s="10" t="str">
        <f t="shared" si="142"/>
        <v/>
      </c>
      <c r="AE487" s="10" t="str">
        <f t="shared" si="143"/>
        <v/>
      </c>
      <c r="AF487" s="10" t="str">
        <f t="shared" si="144"/>
        <v/>
      </c>
      <c r="AG487" s="10" t="str">
        <f t="shared" si="151"/>
        <v/>
      </c>
      <c r="AH487" t="str">
        <f t="shared" si="145"/>
        <v/>
      </c>
      <c r="AI487" t="str">
        <f t="shared" si="146"/>
        <v/>
      </c>
      <c r="AJ487" t="str">
        <f t="shared" si="152"/>
        <v/>
      </c>
      <c r="AK487" t="str" cm="1">
        <f t="array" ref="AK487">IFERROR(IF(INDEX($A:$A,ROW())="","",INDEX($A:$A,ROW())),"")</f>
        <v/>
      </c>
      <c r="AL487" t="str" cm="1">
        <f t="array" ref="AL487">IFERROR(INDEX(tblTrades[sol_invested],ROW()-1),"")</f>
        <v/>
      </c>
      <c r="AM487" s="6" t="str" cm="1">
        <f t="array" ref="AM487">IFERROR(INDEX(tblAnalysis[P&amp;L SOL],ROW()-1),"")</f>
        <v/>
      </c>
      <c r="AN487" t="str" cm="1">
        <f t="array" ref="AN487">IFERROR(IF(INDEX(tblTrades[sol_invested],ROW()-1)&gt;0.5,INDEX(tblAnalysis[Token],ROW()-1)&amp;" ("&amp;TEXT(INDEX(tblTrades[sol_invested],ROW()-1),"0.0")&amp;" SOL)",""),"")</f>
        <v/>
      </c>
      <c r="AO487" s="7"/>
      <c r="AP487" s="12" t="str" cm="1">
        <f t="array" ref="AP487">IFERROR(INDEX(tblAnalysis[Entry MC ($)],ROW()-1),"")</f>
        <v/>
      </c>
      <c r="AQ487" s="10" t="str" cm="1">
        <f t="array" ref="AQ487">IFERROR(INDEX(tblAnalysis[P&amp;L %],ROW()-1),"")</f>
        <v/>
      </c>
      <c r="AR487" t="str" cm="1">
        <f t="array" ref="AR487">IFERROR(INDEX(tblAnalysis[Hold Time (s)],ROW()-1),"")</f>
        <v/>
      </c>
      <c r="AS487" s="6" t="str" cm="1">
        <f t="array" ref="AS487">IFERROR(INDEX(tblAnalysis[P&amp;L SOL],ROW()-1),"")</f>
        <v/>
      </c>
      <c r="AT487" s="6" t="str">
        <f t="array" ref="AT487">IFERROR(INDEX(tblAnalysis[P&amp;L SOL],ROW()-1),"")</f>
        <v/>
      </c>
      <c r="AZ487" s="10"/>
      <c r="BA487" s="10"/>
      <c r="BF487" t="str">
        <f t="shared" si="147"/>
        <v/>
      </c>
      <c r="BG487" s="27" t="str">
        <f t="shared" si="148"/>
        <v/>
      </c>
      <c r="BH487" t="str">
        <f t="shared" si="149"/>
        <v/>
      </c>
      <c r="BI487" t="str">
        <f t="shared" si="153"/>
        <v/>
      </c>
      <c r="BL487" s="29" t="e">
        <f t="shared" si="132"/>
        <v>#N/A</v>
      </c>
      <c r="BM487" s="29" t="e">
        <f t="shared" si="133"/>
        <v>#N/A</v>
      </c>
    </row>
    <row r="488" spans="17:65" x14ac:dyDescent="0.35">
      <c r="Q488" s="27"/>
      <c r="R488" s="6" t="str">
        <f>IF(Q488="","",SUMIFS(tblAnalysis[P&amp;L SOL],tblAnalysis[Date],Q488))</f>
        <v/>
      </c>
      <c r="S488" s="10" t="str">
        <f>IF(Q488="","",SUMIFS(tblAnalysis[P&amp;L %],tblAnalysis[Date],Q488))</f>
        <v/>
      </c>
      <c r="T488" s="6" t="str">
        <f>IF(Q488="","",IFERROR(SUM($R$2:R488),""))</f>
        <v/>
      </c>
      <c r="U488" t="str">
        <f>IF(Q488="","",COUNTIFS(tblAnalysis[Date],Q488))</f>
        <v/>
      </c>
      <c r="V488" t="str">
        <f>IF(R488="","",COUNTIFS(tblAnalysis[Date],R488))</f>
        <v/>
      </c>
      <c r="W488" s="27" t="str">
        <f t="shared" si="138"/>
        <v/>
      </c>
      <c r="X488" s="6" t="str">
        <f t="shared" si="139"/>
        <v/>
      </c>
      <c r="Y488" s="6" t="str">
        <f>IF(Q488="","",MAX(X488,_xlfn.MAXIFS(tblAnalysis[Cum P&amp;L SOL],tblAnalysis[Date],Q488)))</f>
        <v/>
      </c>
      <c r="Z488" s="6" t="str">
        <f>IF(Q488="","",MIN(X488,_xlfn.MINIFS(tblAnalysis[Cum P&amp;L SOL],tblAnalysis[Date],Q488)))</f>
        <v/>
      </c>
      <c r="AA488" s="6" t="str">
        <f t="shared" si="140"/>
        <v/>
      </c>
      <c r="AB488" s="6" t="str">
        <f t="shared" si="150"/>
        <v/>
      </c>
      <c r="AC488" s="27" t="str">
        <f t="shared" si="141"/>
        <v/>
      </c>
      <c r="AD488" s="10" t="str">
        <f t="shared" si="142"/>
        <v/>
      </c>
      <c r="AE488" s="10" t="str">
        <f t="shared" si="143"/>
        <v/>
      </c>
      <c r="AF488" s="10" t="str">
        <f t="shared" si="144"/>
        <v/>
      </c>
      <c r="AG488" s="10" t="str">
        <f t="shared" si="151"/>
        <v/>
      </c>
      <c r="AH488" t="str">
        <f t="shared" si="145"/>
        <v/>
      </c>
      <c r="AI488" t="str">
        <f t="shared" si="146"/>
        <v/>
      </c>
      <c r="AJ488" t="str">
        <f t="shared" si="152"/>
        <v/>
      </c>
      <c r="AK488" t="str" cm="1">
        <f t="array" ref="AK488">IFERROR(IF(INDEX($A:$A,ROW())="","",INDEX($A:$A,ROW())),"")</f>
        <v/>
      </c>
      <c r="AL488" t="str" cm="1">
        <f t="array" ref="AL488">IFERROR(INDEX(tblTrades[sol_invested],ROW()-1),"")</f>
        <v/>
      </c>
      <c r="AM488" s="6" t="str" cm="1">
        <f t="array" ref="AM488">IFERROR(INDEX(tblAnalysis[P&amp;L SOL],ROW()-1),"")</f>
        <v/>
      </c>
      <c r="AN488" t="str" cm="1">
        <f t="array" ref="AN488">IFERROR(IF(INDEX(tblTrades[sol_invested],ROW()-1)&gt;0.5,INDEX(tblAnalysis[Token],ROW()-1)&amp;" ("&amp;TEXT(INDEX(tblTrades[sol_invested],ROW()-1),"0.0")&amp;" SOL)",""),"")</f>
        <v/>
      </c>
      <c r="AO488" s="7"/>
      <c r="AP488" s="12" t="str" cm="1">
        <f t="array" ref="AP488">IFERROR(INDEX(tblAnalysis[Entry MC ($)],ROW()-1),"")</f>
        <v/>
      </c>
      <c r="AQ488" s="10" t="str" cm="1">
        <f t="array" ref="AQ488">IFERROR(INDEX(tblAnalysis[P&amp;L %],ROW()-1),"")</f>
        <v/>
      </c>
      <c r="AR488" t="str" cm="1">
        <f t="array" ref="AR488">IFERROR(INDEX(tblAnalysis[Hold Time (s)],ROW()-1),"")</f>
        <v/>
      </c>
      <c r="AS488" s="6" t="str" cm="1">
        <f t="array" ref="AS488">IFERROR(INDEX(tblAnalysis[P&amp;L SOL],ROW()-1),"")</f>
        <v/>
      </c>
      <c r="AT488" s="6" t="str">
        <f t="array" ref="AT488">IFERROR(INDEX(tblAnalysis[P&amp;L SOL],ROW()-1),"")</f>
        <v/>
      </c>
      <c r="AZ488" s="10"/>
      <c r="BA488" s="10"/>
      <c r="BF488" t="str">
        <f t="shared" si="147"/>
        <v/>
      </c>
      <c r="BG488" s="27" t="str">
        <f t="shared" si="148"/>
        <v/>
      </c>
      <c r="BH488" t="str">
        <f t="shared" si="149"/>
        <v/>
      </c>
      <c r="BI488" t="str">
        <f t="shared" si="153"/>
        <v/>
      </c>
      <c r="BL488" s="29" t="e">
        <f t="shared" ref="BL488:BL504" si="154">IF(ISNUMBER(G478),IF(G478&gt;0,G478,NA()),NA())</f>
        <v>#N/A</v>
      </c>
      <c r="BM488" s="29" t="e">
        <f t="shared" ref="BM488:BM504" si="155">IF(ISNUMBER(G478),IF(G478&lt;=0,G478,NA()),NA())</f>
        <v>#N/A</v>
      </c>
    </row>
    <row r="489" spans="17:65" x14ac:dyDescent="0.35">
      <c r="Q489" s="27"/>
      <c r="R489" s="6" t="str">
        <f>IF(Q489="","",SUMIFS(tblAnalysis[P&amp;L SOL],tblAnalysis[Date],Q489))</f>
        <v/>
      </c>
      <c r="S489" s="10" t="str">
        <f>IF(Q489="","",SUMIFS(tblAnalysis[P&amp;L %],tblAnalysis[Date],Q489))</f>
        <v/>
      </c>
      <c r="T489" s="6" t="str">
        <f>IF(Q489="","",IFERROR(SUM($R$2:R489),""))</f>
        <v/>
      </c>
      <c r="U489" t="str">
        <f>IF(Q489="","",COUNTIFS(tblAnalysis[Date],Q489))</f>
        <v/>
      </c>
      <c r="V489" t="str">
        <f>IF(R489="","",COUNTIFS(tblAnalysis[Date],R489))</f>
        <v/>
      </c>
      <c r="W489" s="27" t="str">
        <f t="shared" si="138"/>
        <v/>
      </c>
      <c r="X489" s="6" t="str">
        <f t="shared" si="139"/>
        <v/>
      </c>
      <c r="Y489" s="6" t="str">
        <f>IF(Q489="","",MAX(X489,_xlfn.MAXIFS(tblAnalysis[Cum P&amp;L SOL],tblAnalysis[Date],Q489)))</f>
        <v/>
      </c>
      <c r="Z489" s="6" t="str">
        <f>IF(Q489="","",MIN(X489,_xlfn.MINIFS(tblAnalysis[Cum P&amp;L SOL],tblAnalysis[Date],Q489)))</f>
        <v/>
      </c>
      <c r="AA489" s="6" t="str">
        <f t="shared" si="140"/>
        <v/>
      </c>
      <c r="AB489" s="6" t="str">
        <f t="shared" ref="AB489:AB504" si="156">IF(R489="","",U489)</f>
        <v/>
      </c>
      <c r="AC489" s="27" t="str">
        <f t="shared" si="141"/>
        <v/>
      </c>
      <c r="AD489" s="10" t="str">
        <f t="shared" si="142"/>
        <v/>
      </c>
      <c r="AE489" s="10" t="str">
        <f t="shared" si="143"/>
        <v/>
      </c>
      <c r="AF489" s="10" t="str">
        <f t="shared" si="144"/>
        <v/>
      </c>
      <c r="AG489" s="10" t="str">
        <f t="shared" ref="AG489:AG504" si="157">IF(R489="","",(AB489-Y489)/$BK$1)</f>
        <v/>
      </c>
      <c r="AH489" t="str">
        <f t="shared" si="145"/>
        <v/>
      </c>
      <c r="AI489" t="str">
        <f t="shared" si="146"/>
        <v/>
      </c>
      <c r="AJ489" t="str">
        <f t="shared" ref="AJ489:AJ504" si="158">IF(R489="","",IF(AB489&lt;Y489,V489,0))</f>
        <v/>
      </c>
      <c r="AK489" t="str" cm="1">
        <f t="array" ref="AK489">IFERROR(IF(INDEX($A:$A,ROW())="","",INDEX($A:$A,ROW())),"")</f>
        <v/>
      </c>
      <c r="AL489" t="str" cm="1">
        <f t="array" ref="AL489">IFERROR(INDEX(tblTrades[sol_invested],ROW()-1),"")</f>
        <v/>
      </c>
      <c r="AM489" s="6" t="str" cm="1">
        <f t="array" ref="AM489">IFERROR(INDEX(tblAnalysis[P&amp;L SOL],ROW()-1),"")</f>
        <v/>
      </c>
      <c r="AN489" t="str" cm="1">
        <f t="array" ref="AN489">IFERROR(IF(INDEX(tblTrades[sol_invested],ROW()-1)&gt;0.5,INDEX(tblAnalysis[Token],ROW()-1)&amp;" ("&amp;TEXT(INDEX(tblTrades[sol_invested],ROW()-1),"0.0")&amp;" SOL)",""),"")</f>
        <v/>
      </c>
      <c r="AO489" s="7"/>
      <c r="AP489" s="12" t="str" cm="1">
        <f t="array" ref="AP489">IFERROR(INDEX(tblAnalysis[Entry MC ($)],ROW()-1),"")</f>
        <v/>
      </c>
      <c r="AQ489" s="10" t="str" cm="1">
        <f t="array" ref="AQ489">IFERROR(INDEX(tblAnalysis[P&amp;L %],ROW()-1),"")</f>
        <v/>
      </c>
      <c r="AR489" t="str" cm="1">
        <f t="array" ref="AR489">IFERROR(INDEX(tblAnalysis[Hold Time (s)],ROW()-1),"")</f>
        <v/>
      </c>
      <c r="AS489" s="6" t="str" cm="1">
        <f t="array" ref="AS489">IFERROR(INDEX(tblAnalysis[P&amp;L SOL],ROW()-1),"")</f>
        <v/>
      </c>
      <c r="AT489" s="6" t="str">
        <f t="array" ref="AT489">IFERROR(INDEX(tblAnalysis[P&amp;L SOL],ROW()-1),"")</f>
        <v/>
      </c>
      <c r="AZ489" s="10"/>
      <c r="BA489" s="10"/>
      <c r="BF489" t="str">
        <f t="shared" si="147"/>
        <v/>
      </c>
      <c r="BG489" s="27" t="str">
        <f t="shared" si="148"/>
        <v/>
      </c>
      <c r="BH489" t="str">
        <f t="shared" si="149"/>
        <v/>
      </c>
      <c r="BI489" t="str">
        <f t="shared" ref="BI489:BI504" si="159">IF(X489="","",-2.5)</f>
        <v/>
      </c>
      <c r="BL489" s="29" t="e">
        <f t="shared" si="154"/>
        <v>#N/A</v>
      </c>
      <c r="BM489" s="29" t="e">
        <f t="shared" si="155"/>
        <v>#N/A</v>
      </c>
    </row>
    <row r="490" spans="17:65" x14ac:dyDescent="0.35">
      <c r="Q490" s="27"/>
      <c r="R490" s="6" t="str">
        <f>IF(Q490="","",SUMIFS(tblAnalysis[P&amp;L SOL],tblAnalysis[Date],Q490))</f>
        <v/>
      </c>
      <c r="S490" s="10" t="str">
        <f>IF(Q490="","",SUMIFS(tblAnalysis[P&amp;L %],tblAnalysis[Date],Q490))</f>
        <v/>
      </c>
      <c r="T490" s="6" t="str">
        <f>IF(Q490="","",IFERROR(SUM($R$2:R490),""))</f>
        <v/>
      </c>
      <c r="U490" t="str">
        <f>IF(Q490="","",COUNTIFS(tblAnalysis[Date],Q490))</f>
        <v/>
      </c>
      <c r="V490" t="str">
        <f>IF(R490="","",COUNTIFS(tblAnalysis[Date],R490))</f>
        <v/>
      </c>
      <c r="W490" s="27" t="str">
        <f t="shared" si="138"/>
        <v/>
      </c>
      <c r="X490" s="6" t="str">
        <f t="shared" si="139"/>
        <v/>
      </c>
      <c r="Y490" s="6" t="str">
        <f>IF(Q490="","",MAX(X490,_xlfn.MAXIFS(tblAnalysis[Cum P&amp;L SOL],tblAnalysis[Date],Q490)))</f>
        <v/>
      </c>
      <c r="Z490" s="6" t="str">
        <f>IF(Q490="","",MIN(X490,_xlfn.MINIFS(tblAnalysis[Cum P&amp;L SOL],tblAnalysis[Date],Q490)))</f>
        <v/>
      </c>
      <c r="AA490" s="6" t="str">
        <f t="shared" si="140"/>
        <v/>
      </c>
      <c r="AB490" s="6" t="str">
        <f t="shared" si="156"/>
        <v/>
      </c>
      <c r="AC490" s="27" t="str">
        <f t="shared" si="141"/>
        <v/>
      </c>
      <c r="AD490" s="10" t="str">
        <f t="shared" si="142"/>
        <v/>
      </c>
      <c r="AE490" s="10" t="str">
        <f t="shared" si="143"/>
        <v/>
      </c>
      <c r="AF490" s="10" t="str">
        <f t="shared" si="144"/>
        <v/>
      </c>
      <c r="AG490" s="10" t="str">
        <f t="shared" si="157"/>
        <v/>
      </c>
      <c r="AH490" t="str">
        <f t="shared" si="145"/>
        <v/>
      </c>
      <c r="AI490" t="str">
        <f t="shared" si="146"/>
        <v/>
      </c>
      <c r="AJ490" t="str">
        <f t="shared" si="158"/>
        <v/>
      </c>
      <c r="AK490" t="str" cm="1">
        <f t="array" ref="AK490">IFERROR(IF(INDEX($A:$A,ROW())="","",INDEX($A:$A,ROW())),"")</f>
        <v/>
      </c>
      <c r="AL490" t="str" cm="1">
        <f t="array" ref="AL490">IFERROR(INDEX(tblTrades[sol_invested],ROW()-1),"")</f>
        <v/>
      </c>
      <c r="AM490" s="6" t="str" cm="1">
        <f t="array" ref="AM490">IFERROR(INDEX(tblAnalysis[P&amp;L SOL],ROW()-1),"")</f>
        <v/>
      </c>
      <c r="AN490" t="str" cm="1">
        <f t="array" ref="AN490">IFERROR(IF(INDEX(tblTrades[sol_invested],ROW()-1)&gt;0.5,INDEX(tblAnalysis[Token],ROW()-1)&amp;" ("&amp;TEXT(INDEX(tblTrades[sol_invested],ROW()-1),"0.0")&amp;" SOL)",""),"")</f>
        <v/>
      </c>
      <c r="AO490" s="7"/>
      <c r="AP490" s="12" t="str" cm="1">
        <f t="array" ref="AP490">IFERROR(INDEX(tblAnalysis[Entry MC ($)],ROW()-1),"")</f>
        <v/>
      </c>
      <c r="AQ490" s="10" t="str" cm="1">
        <f t="array" ref="AQ490">IFERROR(INDEX(tblAnalysis[P&amp;L %],ROW()-1),"")</f>
        <v/>
      </c>
      <c r="AR490" t="str" cm="1">
        <f t="array" ref="AR490">IFERROR(INDEX(tblAnalysis[Hold Time (s)],ROW()-1),"")</f>
        <v/>
      </c>
      <c r="AS490" s="6" t="str" cm="1">
        <f t="array" ref="AS490">IFERROR(INDEX(tblAnalysis[P&amp;L SOL],ROW()-1),"")</f>
        <v/>
      </c>
      <c r="AT490" s="6" t="str">
        <f t="array" ref="AT490">IFERROR(INDEX(tblAnalysis[P&amp;L SOL],ROW()-1),"")</f>
        <v/>
      </c>
      <c r="AZ490" s="10"/>
      <c r="BA490" s="10"/>
      <c r="BF490" t="str">
        <f t="shared" si="147"/>
        <v/>
      </c>
      <c r="BG490" s="27" t="str">
        <f t="shared" si="148"/>
        <v/>
      </c>
      <c r="BH490" t="str">
        <f t="shared" si="149"/>
        <v/>
      </c>
      <c r="BI490" t="str">
        <f t="shared" si="159"/>
        <v/>
      </c>
      <c r="BL490" s="29" t="e">
        <f t="shared" si="154"/>
        <v>#N/A</v>
      </c>
      <c r="BM490" s="29" t="e">
        <f t="shared" si="155"/>
        <v>#N/A</v>
      </c>
    </row>
    <row r="491" spans="17:65" x14ac:dyDescent="0.35">
      <c r="Q491" s="27"/>
      <c r="R491" s="6" t="str">
        <f>IF(Q491="","",SUMIFS(tblAnalysis[P&amp;L SOL],tblAnalysis[Date],Q491))</f>
        <v/>
      </c>
      <c r="S491" s="10" t="str">
        <f>IF(Q491="","",SUMIFS(tblAnalysis[P&amp;L %],tblAnalysis[Date],Q491))</f>
        <v/>
      </c>
      <c r="T491" s="6" t="str">
        <f>IF(Q491="","",IFERROR(SUM($R$2:R491),""))</f>
        <v/>
      </c>
      <c r="U491" t="str">
        <f>IF(Q491="","",COUNTIFS(tblAnalysis[Date],Q491))</f>
        <v/>
      </c>
      <c r="V491" t="str">
        <f>IF(R491="","",COUNTIFS(tblAnalysis[Date],R491))</f>
        <v/>
      </c>
      <c r="W491" s="27" t="str">
        <f t="shared" si="138"/>
        <v/>
      </c>
      <c r="X491" s="6" t="str">
        <f t="shared" si="139"/>
        <v/>
      </c>
      <c r="Y491" s="6" t="str">
        <f>IF(Q491="","",MAX(X491,_xlfn.MAXIFS(tblAnalysis[Cum P&amp;L SOL],tblAnalysis[Date],Q491)))</f>
        <v/>
      </c>
      <c r="Z491" s="6" t="str">
        <f>IF(Q491="","",MIN(X491,_xlfn.MINIFS(tblAnalysis[Cum P&amp;L SOL],tblAnalysis[Date],Q491)))</f>
        <v/>
      </c>
      <c r="AA491" s="6" t="str">
        <f t="shared" si="140"/>
        <v/>
      </c>
      <c r="AB491" s="6" t="str">
        <f t="shared" si="156"/>
        <v/>
      </c>
      <c r="AC491" s="27" t="str">
        <f t="shared" si="141"/>
        <v/>
      </c>
      <c r="AD491" s="10" t="str">
        <f t="shared" si="142"/>
        <v/>
      </c>
      <c r="AE491" s="10" t="str">
        <f t="shared" si="143"/>
        <v/>
      </c>
      <c r="AF491" s="10" t="str">
        <f t="shared" si="144"/>
        <v/>
      </c>
      <c r="AG491" s="10" t="str">
        <f t="shared" si="157"/>
        <v/>
      </c>
      <c r="AH491" t="str">
        <f t="shared" si="145"/>
        <v/>
      </c>
      <c r="AI491" t="str">
        <f t="shared" si="146"/>
        <v/>
      </c>
      <c r="AJ491" t="str">
        <f t="shared" si="158"/>
        <v/>
      </c>
      <c r="AK491" t="str" cm="1">
        <f t="array" ref="AK491">IFERROR(IF(INDEX($A:$A,ROW())="","",INDEX($A:$A,ROW())),"")</f>
        <v/>
      </c>
      <c r="AL491" t="str" cm="1">
        <f t="array" ref="AL491">IFERROR(INDEX(tblTrades[sol_invested],ROW()-1),"")</f>
        <v/>
      </c>
      <c r="AM491" s="6" t="str" cm="1">
        <f t="array" ref="AM491">IFERROR(INDEX(tblAnalysis[P&amp;L SOL],ROW()-1),"")</f>
        <v/>
      </c>
      <c r="AN491" t="str" cm="1">
        <f t="array" ref="AN491">IFERROR(IF(INDEX(tblTrades[sol_invested],ROW()-1)&gt;0.5,INDEX(tblAnalysis[Token],ROW()-1)&amp;" ("&amp;TEXT(INDEX(tblTrades[sol_invested],ROW()-1),"0.0")&amp;" SOL)",""),"")</f>
        <v/>
      </c>
      <c r="AO491" s="7"/>
      <c r="AP491" s="12" t="str" cm="1">
        <f t="array" ref="AP491">IFERROR(INDEX(tblAnalysis[Entry MC ($)],ROW()-1),"")</f>
        <v/>
      </c>
      <c r="AQ491" s="10" t="str" cm="1">
        <f t="array" ref="AQ491">IFERROR(INDEX(tblAnalysis[P&amp;L %],ROW()-1),"")</f>
        <v/>
      </c>
      <c r="AR491" t="str" cm="1">
        <f t="array" ref="AR491">IFERROR(INDEX(tblAnalysis[Hold Time (s)],ROW()-1),"")</f>
        <v/>
      </c>
      <c r="AS491" s="6" t="str" cm="1">
        <f t="array" ref="AS491">IFERROR(INDEX(tblAnalysis[P&amp;L SOL],ROW()-1),"")</f>
        <v/>
      </c>
      <c r="AT491" s="6" t="str">
        <f t="array" ref="AT491">IFERROR(INDEX(tblAnalysis[P&amp;L SOL],ROW()-1),"")</f>
        <v/>
      </c>
      <c r="AZ491" s="10"/>
      <c r="BA491" s="10"/>
      <c r="BF491" t="str">
        <f t="shared" si="147"/>
        <v/>
      </c>
      <c r="BG491" s="27" t="str">
        <f t="shared" si="148"/>
        <v/>
      </c>
      <c r="BH491" t="str">
        <f t="shared" si="149"/>
        <v/>
      </c>
      <c r="BI491" t="str">
        <f t="shared" si="159"/>
        <v/>
      </c>
      <c r="BL491" s="29" t="e">
        <f t="shared" si="154"/>
        <v>#N/A</v>
      </c>
      <c r="BM491" s="29" t="e">
        <f t="shared" si="155"/>
        <v>#N/A</v>
      </c>
    </row>
    <row r="492" spans="17:65" x14ac:dyDescent="0.35">
      <c r="Q492" s="27"/>
      <c r="R492" s="6" t="str">
        <f>IF(Q492="","",SUMIFS(tblAnalysis[P&amp;L SOL],tblAnalysis[Date],Q492))</f>
        <v/>
      </c>
      <c r="S492" s="10" t="str">
        <f>IF(Q492="","",SUMIFS(tblAnalysis[P&amp;L %],tblAnalysis[Date],Q492))</f>
        <v/>
      </c>
      <c r="T492" s="6" t="str">
        <f>IF(Q492="","",IFERROR(SUM($R$2:R492),""))</f>
        <v/>
      </c>
      <c r="U492" t="str">
        <f>IF(Q492="","",COUNTIFS(tblAnalysis[Date],Q492))</f>
        <v/>
      </c>
      <c r="V492" t="str">
        <f>IF(R492="","",COUNTIFS(tblAnalysis[Date],R492))</f>
        <v/>
      </c>
      <c r="W492" s="27" t="str">
        <f t="shared" si="138"/>
        <v/>
      </c>
      <c r="X492" s="6" t="str">
        <f t="shared" si="139"/>
        <v/>
      </c>
      <c r="Y492" s="6" t="str">
        <f>IF(Q492="","",MAX(X492,_xlfn.MAXIFS(tblAnalysis[Cum P&amp;L SOL],tblAnalysis[Date],Q492)))</f>
        <v/>
      </c>
      <c r="Z492" s="6" t="str">
        <f>IF(Q492="","",MIN(X492,_xlfn.MINIFS(tblAnalysis[Cum P&amp;L SOL],tblAnalysis[Date],Q492)))</f>
        <v/>
      </c>
      <c r="AA492" s="6" t="str">
        <f t="shared" si="140"/>
        <v/>
      </c>
      <c r="AB492" s="6" t="str">
        <f t="shared" si="156"/>
        <v/>
      </c>
      <c r="AC492" s="27" t="str">
        <f t="shared" si="141"/>
        <v/>
      </c>
      <c r="AD492" s="10" t="str">
        <f t="shared" si="142"/>
        <v/>
      </c>
      <c r="AE492" s="10" t="str">
        <f t="shared" si="143"/>
        <v/>
      </c>
      <c r="AF492" s="10" t="str">
        <f t="shared" si="144"/>
        <v/>
      </c>
      <c r="AG492" s="10" t="str">
        <f t="shared" si="157"/>
        <v/>
      </c>
      <c r="AH492" t="str">
        <f t="shared" si="145"/>
        <v/>
      </c>
      <c r="AI492" t="str">
        <f t="shared" si="146"/>
        <v/>
      </c>
      <c r="AJ492" t="str">
        <f t="shared" si="158"/>
        <v/>
      </c>
      <c r="AK492" t="str" cm="1">
        <f t="array" ref="AK492">IFERROR(IF(INDEX($A:$A,ROW())="","",INDEX($A:$A,ROW())),"")</f>
        <v/>
      </c>
      <c r="AL492" t="str" cm="1">
        <f t="array" ref="AL492">IFERROR(INDEX(tblTrades[sol_invested],ROW()-1),"")</f>
        <v/>
      </c>
      <c r="AM492" s="6" t="str" cm="1">
        <f t="array" ref="AM492">IFERROR(INDEX(tblAnalysis[P&amp;L SOL],ROW()-1),"")</f>
        <v/>
      </c>
      <c r="AN492" t="str" cm="1">
        <f t="array" ref="AN492">IFERROR(IF(INDEX(tblTrades[sol_invested],ROW()-1)&gt;0.5,INDEX(tblAnalysis[Token],ROW()-1)&amp;" ("&amp;TEXT(INDEX(tblTrades[sol_invested],ROW()-1),"0.0")&amp;" SOL)",""),"")</f>
        <v/>
      </c>
      <c r="AO492" s="7"/>
      <c r="AP492" s="12" t="str" cm="1">
        <f t="array" ref="AP492">IFERROR(INDEX(tblAnalysis[Entry MC ($)],ROW()-1),"")</f>
        <v/>
      </c>
      <c r="AQ492" s="10" t="str" cm="1">
        <f t="array" ref="AQ492">IFERROR(INDEX(tblAnalysis[P&amp;L %],ROW()-1),"")</f>
        <v/>
      </c>
      <c r="AR492" t="str" cm="1">
        <f t="array" ref="AR492">IFERROR(INDEX(tblAnalysis[Hold Time (s)],ROW()-1),"")</f>
        <v/>
      </c>
      <c r="AS492" s="6" t="str" cm="1">
        <f t="array" ref="AS492">IFERROR(INDEX(tblAnalysis[P&amp;L SOL],ROW()-1),"")</f>
        <v/>
      </c>
      <c r="AT492" s="6" t="str">
        <f t="array" ref="AT492">IFERROR(INDEX(tblAnalysis[P&amp;L SOL],ROW()-1),"")</f>
        <v/>
      </c>
      <c r="AZ492" s="10"/>
      <c r="BA492" s="10"/>
      <c r="BF492" t="str">
        <f t="shared" si="147"/>
        <v/>
      </c>
      <c r="BG492" s="27" t="str">
        <f t="shared" si="148"/>
        <v/>
      </c>
      <c r="BH492" t="str">
        <f t="shared" si="149"/>
        <v/>
      </c>
      <c r="BI492" t="str">
        <f t="shared" si="159"/>
        <v/>
      </c>
      <c r="BL492" s="29" t="e">
        <f t="shared" si="154"/>
        <v>#N/A</v>
      </c>
      <c r="BM492" s="29" t="e">
        <f t="shared" si="155"/>
        <v>#N/A</v>
      </c>
    </row>
    <row r="493" spans="17:65" x14ac:dyDescent="0.35">
      <c r="Q493" s="27"/>
      <c r="R493" s="6" t="str">
        <f>IF(Q493="","",SUMIFS(tblAnalysis[P&amp;L SOL],tblAnalysis[Date],Q493))</f>
        <v/>
      </c>
      <c r="S493" s="10" t="str">
        <f>IF(Q493="","",SUMIFS(tblAnalysis[P&amp;L %],tblAnalysis[Date],Q493))</f>
        <v/>
      </c>
      <c r="T493" s="6" t="str">
        <f>IF(Q493="","",IFERROR(SUM($R$2:R493),""))</f>
        <v/>
      </c>
      <c r="U493" t="str">
        <f>IF(Q493="","",COUNTIFS(tblAnalysis[Date],Q493))</f>
        <v/>
      </c>
      <c r="V493" t="str">
        <f>IF(R493="","",COUNTIFS(tblAnalysis[Date],R493))</f>
        <v/>
      </c>
      <c r="W493" s="27" t="str">
        <f t="shared" si="138"/>
        <v/>
      </c>
      <c r="X493" s="6" t="str">
        <f t="shared" si="139"/>
        <v/>
      </c>
      <c r="Y493" s="6" t="str">
        <f>IF(Q493="","",MAX(X493,_xlfn.MAXIFS(tblAnalysis[Cum P&amp;L SOL],tblAnalysis[Date],Q493)))</f>
        <v/>
      </c>
      <c r="Z493" s="6" t="str">
        <f>IF(Q493="","",MIN(X493,_xlfn.MINIFS(tblAnalysis[Cum P&amp;L SOL],tblAnalysis[Date],Q493)))</f>
        <v/>
      </c>
      <c r="AA493" s="6" t="str">
        <f t="shared" si="140"/>
        <v/>
      </c>
      <c r="AB493" s="6" t="str">
        <f t="shared" si="156"/>
        <v/>
      </c>
      <c r="AC493" s="27" t="str">
        <f t="shared" si="141"/>
        <v/>
      </c>
      <c r="AD493" s="10" t="str">
        <f t="shared" si="142"/>
        <v/>
      </c>
      <c r="AE493" s="10" t="str">
        <f t="shared" si="143"/>
        <v/>
      </c>
      <c r="AF493" s="10" t="str">
        <f t="shared" si="144"/>
        <v/>
      </c>
      <c r="AG493" s="10" t="str">
        <f t="shared" si="157"/>
        <v/>
      </c>
      <c r="AH493" t="str">
        <f t="shared" si="145"/>
        <v/>
      </c>
      <c r="AI493" t="str">
        <f t="shared" si="146"/>
        <v/>
      </c>
      <c r="AJ493" t="str">
        <f t="shared" si="158"/>
        <v/>
      </c>
      <c r="AK493" t="str" cm="1">
        <f t="array" ref="AK493">IFERROR(IF(INDEX($A:$A,ROW())="","",INDEX($A:$A,ROW())),"")</f>
        <v/>
      </c>
      <c r="AL493" t="str" cm="1">
        <f t="array" ref="AL493">IFERROR(INDEX(tblTrades[sol_invested],ROW()-1),"")</f>
        <v/>
      </c>
      <c r="AM493" s="6" t="str" cm="1">
        <f t="array" ref="AM493">IFERROR(INDEX(tblAnalysis[P&amp;L SOL],ROW()-1),"")</f>
        <v/>
      </c>
      <c r="AN493" t="str" cm="1">
        <f t="array" ref="AN493">IFERROR(IF(INDEX(tblTrades[sol_invested],ROW()-1)&gt;0.5,INDEX(tblAnalysis[Token],ROW()-1)&amp;" ("&amp;TEXT(INDEX(tblTrades[sol_invested],ROW()-1),"0.0")&amp;" SOL)",""),"")</f>
        <v/>
      </c>
      <c r="AO493" s="7"/>
      <c r="AP493" s="12" t="str" cm="1">
        <f t="array" ref="AP493">IFERROR(INDEX(tblAnalysis[Entry MC ($)],ROW()-1),"")</f>
        <v/>
      </c>
      <c r="AQ493" s="10" t="str" cm="1">
        <f t="array" ref="AQ493">IFERROR(INDEX(tblAnalysis[P&amp;L %],ROW()-1),"")</f>
        <v/>
      </c>
      <c r="AR493" t="str" cm="1">
        <f t="array" ref="AR493">IFERROR(INDEX(tblAnalysis[Hold Time (s)],ROW()-1),"")</f>
        <v/>
      </c>
      <c r="AS493" s="6" t="str" cm="1">
        <f t="array" ref="AS493">IFERROR(INDEX(tblAnalysis[P&amp;L SOL],ROW()-1),"")</f>
        <v/>
      </c>
      <c r="AT493" s="6" t="str">
        <f t="array" ref="AT493">IFERROR(INDEX(tblAnalysis[P&amp;L SOL],ROW()-1),"")</f>
        <v/>
      </c>
      <c r="AZ493" s="10"/>
      <c r="BA493" s="10"/>
      <c r="BF493" t="str">
        <f t="shared" si="147"/>
        <v/>
      </c>
      <c r="BG493" s="27" t="str">
        <f t="shared" si="148"/>
        <v/>
      </c>
      <c r="BH493" t="str">
        <f t="shared" si="149"/>
        <v/>
      </c>
      <c r="BI493" t="str">
        <f t="shared" si="159"/>
        <v/>
      </c>
      <c r="BL493" s="29" t="e">
        <f t="shared" si="154"/>
        <v>#N/A</v>
      </c>
      <c r="BM493" s="29" t="e">
        <f t="shared" si="155"/>
        <v>#N/A</v>
      </c>
    </row>
    <row r="494" spans="17:65" x14ac:dyDescent="0.35">
      <c r="Q494" s="27"/>
      <c r="R494" s="6" t="str">
        <f>IF(Q494="","",SUMIFS(tblAnalysis[P&amp;L SOL],tblAnalysis[Date],Q494))</f>
        <v/>
      </c>
      <c r="S494" s="10" t="str">
        <f>IF(Q494="","",SUMIFS(tblAnalysis[P&amp;L %],tblAnalysis[Date],Q494))</f>
        <v/>
      </c>
      <c r="T494" s="6" t="str">
        <f>IF(Q494="","",IFERROR(SUM($R$2:R494),""))</f>
        <v/>
      </c>
      <c r="U494" t="str">
        <f>IF(Q494="","",COUNTIFS(tblAnalysis[Date],Q494))</f>
        <v/>
      </c>
      <c r="V494" t="str">
        <f>IF(R494="","",COUNTIFS(tblAnalysis[Date],R494))</f>
        <v/>
      </c>
      <c r="W494" s="27" t="str">
        <f t="shared" si="138"/>
        <v/>
      </c>
      <c r="X494" s="6" t="str">
        <f t="shared" si="139"/>
        <v/>
      </c>
      <c r="Y494" s="6" t="str">
        <f>IF(Q494="","",MAX(X494,_xlfn.MAXIFS(tblAnalysis[Cum P&amp;L SOL],tblAnalysis[Date],Q494)))</f>
        <v/>
      </c>
      <c r="Z494" s="6" t="str">
        <f>IF(Q494="","",MIN(X494,_xlfn.MINIFS(tblAnalysis[Cum P&amp;L SOL],tblAnalysis[Date],Q494)))</f>
        <v/>
      </c>
      <c r="AA494" s="6" t="str">
        <f t="shared" si="140"/>
        <v/>
      </c>
      <c r="AB494" s="6" t="str">
        <f t="shared" si="156"/>
        <v/>
      </c>
      <c r="AC494" s="27" t="str">
        <f t="shared" si="141"/>
        <v/>
      </c>
      <c r="AD494" s="10" t="str">
        <f t="shared" si="142"/>
        <v/>
      </c>
      <c r="AE494" s="10" t="str">
        <f t="shared" si="143"/>
        <v/>
      </c>
      <c r="AF494" s="10" t="str">
        <f t="shared" si="144"/>
        <v/>
      </c>
      <c r="AG494" s="10" t="str">
        <f t="shared" si="157"/>
        <v/>
      </c>
      <c r="AH494" t="str">
        <f t="shared" si="145"/>
        <v/>
      </c>
      <c r="AI494" t="str">
        <f t="shared" si="146"/>
        <v/>
      </c>
      <c r="AJ494" t="str">
        <f t="shared" si="158"/>
        <v/>
      </c>
      <c r="AK494" t="str" cm="1">
        <f t="array" ref="AK494">IFERROR(IF(INDEX($A:$A,ROW())="","",INDEX($A:$A,ROW())),"")</f>
        <v/>
      </c>
      <c r="AL494" t="str" cm="1">
        <f t="array" ref="AL494">IFERROR(INDEX(tblTrades[sol_invested],ROW()-1),"")</f>
        <v/>
      </c>
      <c r="AM494" s="6" t="str" cm="1">
        <f t="array" ref="AM494">IFERROR(INDEX(tblAnalysis[P&amp;L SOL],ROW()-1),"")</f>
        <v/>
      </c>
      <c r="AN494" t="str" cm="1">
        <f t="array" ref="AN494">IFERROR(IF(INDEX(tblTrades[sol_invested],ROW()-1)&gt;0.5,INDEX(tblAnalysis[Token],ROW()-1)&amp;" ("&amp;TEXT(INDEX(tblTrades[sol_invested],ROW()-1),"0.0")&amp;" SOL)",""),"")</f>
        <v/>
      </c>
      <c r="AO494" s="7"/>
      <c r="AP494" s="12" t="str" cm="1">
        <f t="array" ref="AP494">IFERROR(INDEX(tblAnalysis[Entry MC ($)],ROW()-1),"")</f>
        <v/>
      </c>
      <c r="AQ494" s="10" t="str" cm="1">
        <f t="array" ref="AQ494">IFERROR(INDEX(tblAnalysis[P&amp;L %],ROW()-1),"")</f>
        <v/>
      </c>
      <c r="AR494" t="str" cm="1">
        <f t="array" ref="AR494">IFERROR(INDEX(tblAnalysis[Hold Time (s)],ROW()-1),"")</f>
        <v/>
      </c>
      <c r="AS494" s="6" t="str" cm="1">
        <f t="array" ref="AS494">IFERROR(INDEX(tblAnalysis[P&amp;L SOL],ROW()-1),"")</f>
        <v/>
      </c>
      <c r="AT494" s="6" t="str">
        <f t="array" ref="AT494">IFERROR(INDEX(tblAnalysis[P&amp;L SOL],ROW()-1),"")</f>
        <v/>
      </c>
      <c r="AZ494" s="10"/>
      <c r="BA494" s="10"/>
      <c r="BF494" t="str">
        <f t="shared" si="147"/>
        <v/>
      </c>
      <c r="BG494" s="27" t="str">
        <f t="shared" si="148"/>
        <v/>
      </c>
      <c r="BH494" t="str">
        <f t="shared" si="149"/>
        <v/>
      </c>
      <c r="BI494" t="str">
        <f t="shared" si="159"/>
        <v/>
      </c>
      <c r="BL494" s="29" t="e">
        <f t="shared" si="154"/>
        <v>#N/A</v>
      </c>
      <c r="BM494" s="29" t="e">
        <f t="shared" si="155"/>
        <v>#N/A</v>
      </c>
    </row>
    <row r="495" spans="17:65" x14ac:dyDescent="0.35">
      <c r="Q495" s="27"/>
      <c r="R495" s="6" t="str">
        <f>IF(Q495="","",SUMIFS(tblAnalysis[P&amp;L SOL],tblAnalysis[Date],Q495))</f>
        <v/>
      </c>
      <c r="S495" s="10" t="str">
        <f>IF(Q495="","",SUMIFS(tblAnalysis[P&amp;L %],tblAnalysis[Date],Q495))</f>
        <v/>
      </c>
      <c r="T495" s="6" t="str">
        <f>IF(Q495="","",IFERROR(SUM($R$2:R495),""))</f>
        <v/>
      </c>
      <c r="U495" t="str">
        <f>IF(Q495="","",COUNTIFS(tblAnalysis[Date],Q495))</f>
        <v/>
      </c>
      <c r="V495" t="str">
        <f>IF(R495="","",COUNTIFS(tblAnalysis[Date],R495))</f>
        <v/>
      </c>
      <c r="W495" s="27" t="str">
        <f t="shared" si="138"/>
        <v/>
      </c>
      <c r="X495" s="6" t="str">
        <f t="shared" si="139"/>
        <v/>
      </c>
      <c r="Y495" s="6" t="str">
        <f>IF(Q495="","",MAX(X495,_xlfn.MAXIFS(tblAnalysis[Cum P&amp;L SOL],tblAnalysis[Date],Q495)))</f>
        <v/>
      </c>
      <c r="Z495" s="6" t="str">
        <f>IF(Q495="","",MIN(X495,_xlfn.MINIFS(tblAnalysis[Cum P&amp;L SOL],tblAnalysis[Date],Q495)))</f>
        <v/>
      </c>
      <c r="AA495" s="6" t="str">
        <f t="shared" si="140"/>
        <v/>
      </c>
      <c r="AB495" s="6" t="str">
        <f t="shared" si="156"/>
        <v/>
      </c>
      <c r="AC495" s="27" t="str">
        <f t="shared" si="141"/>
        <v/>
      </c>
      <c r="AD495" s="10" t="str">
        <f t="shared" si="142"/>
        <v/>
      </c>
      <c r="AE495" s="10" t="str">
        <f t="shared" si="143"/>
        <v/>
      </c>
      <c r="AF495" s="10" t="str">
        <f t="shared" si="144"/>
        <v/>
      </c>
      <c r="AG495" s="10" t="str">
        <f t="shared" si="157"/>
        <v/>
      </c>
      <c r="AH495" t="str">
        <f t="shared" si="145"/>
        <v/>
      </c>
      <c r="AI495" t="str">
        <f t="shared" si="146"/>
        <v/>
      </c>
      <c r="AJ495" t="str">
        <f t="shared" si="158"/>
        <v/>
      </c>
      <c r="AK495" t="str" cm="1">
        <f t="array" ref="AK495">IFERROR(IF(INDEX($A:$A,ROW())="","",INDEX($A:$A,ROW())),"")</f>
        <v/>
      </c>
      <c r="AL495" t="str" cm="1">
        <f t="array" ref="AL495">IFERROR(INDEX(tblTrades[sol_invested],ROW()-1),"")</f>
        <v/>
      </c>
      <c r="AM495" s="6" t="str" cm="1">
        <f t="array" ref="AM495">IFERROR(INDEX(tblAnalysis[P&amp;L SOL],ROW()-1),"")</f>
        <v/>
      </c>
      <c r="AN495" t="str" cm="1">
        <f t="array" ref="AN495">IFERROR(IF(INDEX(tblTrades[sol_invested],ROW()-1)&gt;0.5,INDEX(tblAnalysis[Token],ROW()-1)&amp;" ("&amp;TEXT(INDEX(tblTrades[sol_invested],ROW()-1),"0.0")&amp;" SOL)",""),"")</f>
        <v/>
      </c>
      <c r="AO495" s="7"/>
      <c r="AP495" s="12" t="str" cm="1">
        <f t="array" ref="AP495">IFERROR(INDEX(tblAnalysis[Entry MC ($)],ROW()-1),"")</f>
        <v/>
      </c>
      <c r="AQ495" s="10" t="str" cm="1">
        <f t="array" ref="AQ495">IFERROR(INDEX(tblAnalysis[P&amp;L %],ROW()-1),"")</f>
        <v/>
      </c>
      <c r="AR495" t="str" cm="1">
        <f t="array" ref="AR495">IFERROR(INDEX(tblAnalysis[Hold Time (s)],ROW()-1),"")</f>
        <v/>
      </c>
      <c r="AS495" s="6" t="str" cm="1">
        <f t="array" ref="AS495">IFERROR(INDEX(tblAnalysis[P&amp;L SOL],ROW()-1),"")</f>
        <v/>
      </c>
      <c r="AT495" s="6" t="str">
        <f t="array" ref="AT495">IFERROR(INDEX(tblAnalysis[P&amp;L SOL],ROW()-1),"")</f>
        <v/>
      </c>
      <c r="AZ495" s="10"/>
      <c r="BA495" s="10"/>
      <c r="BF495" t="str">
        <f t="shared" si="147"/>
        <v/>
      </c>
      <c r="BG495" s="27" t="str">
        <f t="shared" si="148"/>
        <v/>
      </c>
      <c r="BH495" t="str">
        <f t="shared" si="149"/>
        <v/>
      </c>
      <c r="BI495" t="str">
        <f t="shared" si="159"/>
        <v/>
      </c>
      <c r="BL495" s="29" t="e">
        <f t="shared" si="154"/>
        <v>#N/A</v>
      </c>
      <c r="BM495" s="29" t="e">
        <f t="shared" si="155"/>
        <v>#N/A</v>
      </c>
    </row>
    <row r="496" spans="17:65" x14ac:dyDescent="0.35">
      <c r="Q496" s="27"/>
      <c r="R496" s="6" t="str">
        <f>IF(Q496="","",SUMIFS(tblAnalysis[P&amp;L SOL],tblAnalysis[Date],Q496))</f>
        <v/>
      </c>
      <c r="S496" s="10" t="str">
        <f>IF(Q496="","",SUMIFS(tblAnalysis[P&amp;L %],tblAnalysis[Date],Q496))</f>
        <v/>
      </c>
      <c r="T496" s="6" t="str">
        <f>IF(Q496="","",IFERROR(SUM($R$2:R496),""))</f>
        <v/>
      </c>
      <c r="U496" t="str">
        <f>IF(Q496="","",COUNTIFS(tblAnalysis[Date],Q496))</f>
        <v/>
      </c>
      <c r="V496" t="str">
        <f>IF(R496="","",COUNTIFS(tblAnalysis[Date],R496))</f>
        <v/>
      </c>
      <c r="W496" s="27" t="str">
        <f t="shared" si="138"/>
        <v/>
      </c>
      <c r="X496" s="6" t="str">
        <f t="shared" si="139"/>
        <v/>
      </c>
      <c r="Y496" s="6" t="str">
        <f>IF(Q496="","",MAX(X496,_xlfn.MAXIFS(tblAnalysis[Cum P&amp;L SOL],tblAnalysis[Date],Q496)))</f>
        <v/>
      </c>
      <c r="Z496" s="6" t="str">
        <f>IF(Q496="","",MIN(X496,_xlfn.MINIFS(tblAnalysis[Cum P&amp;L SOL],tblAnalysis[Date],Q496)))</f>
        <v/>
      </c>
      <c r="AA496" s="6" t="str">
        <f t="shared" si="140"/>
        <v/>
      </c>
      <c r="AB496" s="6" t="str">
        <f t="shared" si="156"/>
        <v/>
      </c>
      <c r="AC496" s="27" t="str">
        <f t="shared" si="141"/>
        <v/>
      </c>
      <c r="AD496" s="10" t="str">
        <f t="shared" si="142"/>
        <v/>
      </c>
      <c r="AE496" s="10" t="str">
        <f t="shared" si="143"/>
        <v/>
      </c>
      <c r="AF496" s="10" t="str">
        <f t="shared" si="144"/>
        <v/>
      </c>
      <c r="AG496" s="10" t="str">
        <f t="shared" si="157"/>
        <v/>
      </c>
      <c r="AH496" t="str">
        <f t="shared" si="145"/>
        <v/>
      </c>
      <c r="AI496" t="str">
        <f t="shared" si="146"/>
        <v/>
      </c>
      <c r="AJ496" t="str">
        <f t="shared" si="158"/>
        <v/>
      </c>
      <c r="AK496" t="str" cm="1">
        <f t="array" ref="AK496">IFERROR(IF(INDEX($A:$A,ROW())="","",INDEX($A:$A,ROW())),"")</f>
        <v/>
      </c>
      <c r="AL496" t="str" cm="1">
        <f t="array" ref="AL496">IFERROR(INDEX(tblTrades[sol_invested],ROW()-1),"")</f>
        <v/>
      </c>
      <c r="AM496" s="6" t="str" cm="1">
        <f t="array" ref="AM496">IFERROR(INDEX(tblAnalysis[P&amp;L SOL],ROW()-1),"")</f>
        <v/>
      </c>
      <c r="AN496" t="str" cm="1">
        <f t="array" ref="AN496">IFERROR(IF(INDEX(tblTrades[sol_invested],ROW()-1)&gt;0.5,INDEX(tblAnalysis[Token],ROW()-1)&amp;" ("&amp;TEXT(INDEX(tblTrades[sol_invested],ROW()-1),"0.0")&amp;" SOL)",""),"")</f>
        <v/>
      </c>
      <c r="AO496" s="7"/>
      <c r="AP496" s="12" t="str" cm="1">
        <f t="array" ref="AP496">IFERROR(INDEX(tblAnalysis[Entry MC ($)],ROW()-1),"")</f>
        <v/>
      </c>
      <c r="AQ496" s="10" t="str" cm="1">
        <f t="array" ref="AQ496">IFERROR(INDEX(tblAnalysis[P&amp;L %],ROW()-1),"")</f>
        <v/>
      </c>
      <c r="AR496" t="str" cm="1">
        <f t="array" ref="AR496">IFERROR(INDEX(tblAnalysis[Hold Time (s)],ROW()-1),"")</f>
        <v/>
      </c>
      <c r="AS496" s="6" t="str" cm="1">
        <f t="array" ref="AS496">IFERROR(INDEX(tblAnalysis[P&amp;L SOL],ROW()-1),"")</f>
        <v/>
      </c>
      <c r="AT496" s="6" t="str">
        <f t="array" ref="AT496">IFERROR(INDEX(tblAnalysis[P&amp;L SOL],ROW()-1),"")</f>
        <v/>
      </c>
      <c r="AZ496" s="10"/>
      <c r="BA496" s="10"/>
      <c r="BF496" t="str">
        <f t="shared" si="147"/>
        <v/>
      </c>
      <c r="BG496" s="27" t="str">
        <f t="shared" si="148"/>
        <v/>
      </c>
      <c r="BH496" t="str">
        <f t="shared" si="149"/>
        <v/>
      </c>
      <c r="BI496" t="str">
        <f t="shared" si="159"/>
        <v/>
      </c>
      <c r="BL496" s="29" t="e">
        <f t="shared" si="154"/>
        <v>#N/A</v>
      </c>
      <c r="BM496" s="29" t="e">
        <f t="shared" si="155"/>
        <v>#N/A</v>
      </c>
    </row>
    <row r="497" spans="17:65" x14ac:dyDescent="0.35">
      <c r="Q497" s="27"/>
      <c r="R497" s="6" t="str">
        <f>IF(Q497="","",SUMIFS(tblAnalysis[P&amp;L SOL],tblAnalysis[Date],Q497))</f>
        <v/>
      </c>
      <c r="S497" s="10" t="str">
        <f>IF(Q497="","",SUMIFS(tblAnalysis[P&amp;L %],tblAnalysis[Date],Q497))</f>
        <v/>
      </c>
      <c r="T497" s="6" t="str">
        <f>IF(Q497="","",IFERROR(SUM($R$2:R497),""))</f>
        <v/>
      </c>
      <c r="U497" t="str">
        <f>IF(Q497="","",COUNTIFS(tblAnalysis[Date],Q497))</f>
        <v/>
      </c>
      <c r="V497" t="str">
        <f>IF(R497="","",COUNTIFS(tblAnalysis[Date],R497))</f>
        <v/>
      </c>
      <c r="W497" s="27" t="str">
        <f t="shared" si="138"/>
        <v/>
      </c>
      <c r="X497" s="6" t="str">
        <f t="shared" si="139"/>
        <v/>
      </c>
      <c r="Y497" s="6" t="str">
        <f>IF(Q497="","",MAX(X497,_xlfn.MAXIFS(tblAnalysis[Cum P&amp;L SOL],tblAnalysis[Date],Q497)))</f>
        <v/>
      </c>
      <c r="Z497" s="6" t="str">
        <f>IF(Q497="","",MIN(X497,_xlfn.MINIFS(tblAnalysis[Cum P&amp;L SOL],tblAnalysis[Date],Q497)))</f>
        <v/>
      </c>
      <c r="AA497" s="6" t="str">
        <f t="shared" si="140"/>
        <v/>
      </c>
      <c r="AB497" s="6" t="str">
        <f t="shared" si="156"/>
        <v/>
      </c>
      <c r="AC497" s="27" t="str">
        <f t="shared" si="141"/>
        <v/>
      </c>
      <c r="AD497" s="10" t="str">
        <f t="shared" si="142"/>
        <v/>
      </c>
      <c r="AE497" s="10" t="str">
        <f t="shared" si="143"/>
        <v/>
      </c>
      <c r="AF497" s="10" t="str">
        <f t="shared" si="144"/>
        <v/>
      </c>
      <c r="AG497" s="10" t="str">
        <f t="shared" si="157"/>
        <v/>
      </c>
      <c r="AH497" t="str">
        <f t="shared" si="145"/>
        <v/>
      </c>
      <c r="AI497" t="str">
        <f t="shared" si="146"/>
        <v/>
      </c>
      <c r="AJ497" t="str">
        <f t="shared" si="158"/>
        <v/>
      </c>
      <c r="AK497" t="str" cm="1">
        <f t="array" ref="AK497">IFERROR(IF(INDEX($A:$A,ROW())="","",INDEX($A:$A,ROW())),"")</f>
        <v/>
      </c>
      <c r="AL497" t="str" cm="1">
        <f t="array" ref="AL497">IFERROR(INDEX(tblTrades[sol_invested],ROW()-1),"")</f>
        <v/>
      </c>
      <c r="AM497" s="6" t="str" cm="1">
        <f t="array" ref="AM497">IFERROR(INDEX(tblAnalysis[P&amp;L SOL],ROW()-1),"")</f>
        <v/>
      </c>
      <c r="AN497" t="str" cm="1">
        <f t="array" ref="AN497">IFERROR(IF(INDEX(tblTrades[sol_invested],ROW()-1)&gt;0.5,INDEX(tblAnalysis[Token],ROW()-1)&amp;" ("&amp;TEXT(INDEX(tblTrades[sol_invested],ROW()-1),"0.0")&amp;" SOL)",""),"")</f>
        <v/>
      </c>
      <c r="AO497" s="7"/>
      <c r="AP497" s="12" t="str" cm="1">
        <f t="array" ref="AP497">IFERROR(INDEX(tblAnalysis[Entry MC ($)],ROW()-1),"")</f>
        <v/>
      </c>
      <c r="AQ497" s="10" t="str" cm="1">
        <f t="array" ref="AQ497">IFERROR(INDEX(tblAnalysis[P&amp;L %],ROW()-1),"")</f>
        <v/>
      </c>
      <c r="AR497" t="str" cm="1">
        <f t="array" ref="AR497">IFERROR(INDEX(tblAnalysis[Hold Time (s)],ROW()-1),"")</f>
        <v/>
      </c>
      <c r="AS497" s="6" t="str" cm="1">
        <f t="array" ref="AS497">IFERROR(INDEX(tblAnalysis[P&amp;L SOL],ROW()-1),"")</f>
        <v/>
      </c>
      <c r="AT497" s="6" t="str">
        <f t="array" ref="AT497">IFERROR(INDEX(tblAnalysis[P&amp;L SOL],ROW()-1),"")</f>
        <v/>
      </c>
      <c r="AZ497" s="10"/>
      <c r="BA497" s="10"/>
      <c r="BF497" t="str">
        <f t="shared" si="147"/>
        <v/>
      </c>
      <c r="BG497" s="27" t="str">
        <f t="shared" si="148"/>
        <v/>
      </c>
      <c r="BH497" t="str">
        <f t="shared" si="149"/>
        <v/>
      </c>
      <c r="BI497" t="str">
        <f t="shared" si="159"/>
        <v/>
      </c>
      <c r="BL497" s="29" t="e">
        <f t="shared" si="154"/>
        <v>#N/A</v>
      </c>
      <c r="BM497" s="29" t="e">
        <f t="shared" si="155"/>
        <v>#N/A</v>
      </c>
    </row>
    <row r="498" spans="17:65" x14ac:dyDescent="0.35">
      <c r="Q498" s="27"/>
      <c r="R498" s="6" t="str">
        <f>IF(Q498="","",SUMIFS(tblAnalysis[P&amp;L SOL],tblAnalysis[Date],Q498))</f>
        <v/>
      </c>
      <c r="S498" s="10" t="str">
        <f>IF(Q498="","",SUMIFS(tblAnalysis[P&amp;L %],tblAnalysis[Date],Q498))</f>
        <v/>
      </c>
      <c r="T498" s="6" t="str">
        <f>IF(Q498="","",IFERROR(SUM($R$2:R498),""))</f>
        <v/>
      </c>
      <c r="U498" t="str">
        <f>IF(Q498="","",COUNTIFS(tblAnalysis[Date],Q498))</f>
        <v/>
      </c>
      <c r="V498" t="str">
        <f>IF(R498="","",COUNTIFS(tblAnalysis[Date],R498))</f>
        <v/>
      </c>
      <c r="W498" s="27" t="str">
        <f t="shared" si="138"/>
        <v/>
      </c>
      <c r="X498" s="6" t="str">
        <f t="shared" si="139"/>
        <v/>
      </c>
      <c r="Y498" s="6" t="str">
        <f>IF(Q498="","",MAX(X498,_xlfn.MAXIFS(tblAnalysis[Cum P&amp;L SOL],tblAnalysis[Date],Q498)))</f>
        <v/>
      </c>
      <c r="Z498" s="6" t="str">
        <f>IF(Q498="","",MIN(X498,_xlfn.MINIFS(tblAnalysis[Cum P&amp;L SOL],tblAnalysis[Date],Q498)))</f>
        <v/>
      </c>
      <c r="AA498" s="6" t="str">
        <f t="shared" si="140"/>
        <v/>
      </c>
      <c r="AB498" s="6" t="str">
        <f t="shared" si="156"/>
        <v/>
      </c>
      <c r="AC498" s="27" t="str">
        <f t="shared" si="141"/>
        <v/>
      </c>
      <c r="AD498" s="10" t="str">
        <f t="shared" si="142"/>
        <v/>
      </c>
      <c r="AE498" s="10" t="str">
        <f t="shared" si="143"/>
        <v/>
      </c>
      <c r="AF498" s="10" t="str">
        <f t="shared" si="144"/>
        <v/>
      </c>
      <c r="AG498" s="10" t="str">
        <f t="shared" si="157"/>
        <v/>
      </c>
      <c r="AH498" t="str">
        <f t="shared" si="145"/>
        <v/>
      </c>
      <c r="AI498" t="str">
        <f t="shared" si="146"/>
        <v/>
      </c>
      <c r="AJ498" t="str">
        <f t="shared" si="158"/>
        <v/>
      </c>
      <c r="AK498" t="str" cm="1">
        <f t="array" ref="AK498">IFERROR(IF(INDEX($A:$A,ROW())="","",INDEX($A:$A,ROW())),"")</f>
        <v/>
      </c>
      <c r="AL498" t="str" cm="1">
        <f t="array" ref="AL498">IFERROR(INDEX(tblTrades[sol_invested],ROW()-1),"")</f>
        <v/>
      </c>
      <c r="AM498" s="6" t="str" cm="1">
        <f t="array" ref="AM498">IFERROR(INDEX(tblAnalysis[P&amp;L SOL],ROW()-1),"")</f>
        <v/>
      </c>
      <c r="AN498" t="str" cm="1">
        <f t="array" ref="AN498">IFERROR(IF(INDEX(tblTrades[sol_invested],ROW()-1)&gt;0.5,INDEX(tblAnalysis[Token],ROW()-1)&amp;" ("&amp;TEXT(INDEX(tblTrades[sol_invested],ROW()-1),"0.0")&amp;" SOL)",""),"")</f>
        <v/>
      </c>
      <c r="AO498" s="7"/>
      <c r="AP498" s="12" t="str" cm="1">
        <f t="array" ref="AP498">IFERROR(INDEX(tblAnalysis[Entry MC ($)],ROW()-1),"")</f>
        <v/>
      </c>
      <c r="AQ498" s="10" t="str" cm="1">
        <f t="array" ref="AQ498">IFERROR(INDEX(tblAnalysis[P&amp;L %],ROW()-1),"")</f>
        <v/>
      </c>
      <c r="AR498" t="str" cm="1">
        <f t="array" ref="AR498">IFERROR(INDEX(tblAnalysis[Hold Time (s)],ROW()-1),"")</f>
        <v/>
      </c>
      <c r="AS498" s="6" t="str" cm="1">
        <f t="array" ref="AS498">IFERROR(INDEX(tblAnalysis[P&amp;L SOL],ROW()-1),"")</f>
        <v/>
      </c>
      <c r="AT498" s="6" t="str">
        <f t="array" ref="AT498">IFERROR(INDEX(tblAnalysis[P&amp;L SOL],ROW()-1),"")</f>
        <v/>
      </c>
      <c r="AZ498" s="10"/>
      <c r="BA498" s="10"/>
      <c r="BF498" t="str">
        <f t="shared" si="147"/>
        <v/>
      </c>
      <c r="BG498" s="27" t="str">
        <f t="shared" si="148"/>
        <v/>
      </c>
      <c r="BH498" t="str">
        <f t="shared" si="149"/>
        <v/>
      </c>
      <c r="BI498" t="str">
        <f t="shared" si="159"/>
        <v/>
      </c>
      <c r="BL498" s="29" t="e">
        <f t="shared" si="154"/>
        <v>#N/A</v>
      </c>
      <c r="BM498" s="29" t="e">
        <f t="shared" si="155"/>
        <v>#N/A</v>
      </c>
    </row>
    <row r="499" spans="17:65" x14ac:dyDescent="0.35">
      <c r="Q499" s="27"/>
      <c r="R499" s="6" t="str">
        <f>IF(Q499="","",SUMIFS(tblAnalysis[P&amp;L SOL],tblAnalysis[Date],Q499))</f>
        <v/>
      </c>
      <c r="S499" s="10" t="str">
        <f>IF(Q499="","",SUMIFS(tblAnalysis[P&amp;L %],tblAnalysis[Date],Q499))</f>
        <v/>
      </c>
      <c r="T499" s="6" t="str">
        <f>IF(Q499="","",IFERROR(SUM($R$2:R499),""))</f>
        <v/>
      </c>
      <c r="U499" t="str">
        <f>IF(Q499="","",COUNTIFS(tblAnalysis[Date],Q499))</f>
        <v/>
      </c>
      <c r="V499" t="str">
        <f>IF(R499="","",COUNTIFS(tblAnalysis[Date],R499))</f>
        <v/>
      </c>
      <c r="W499" s="27" t="str">
        <f t="shared" si="138"/>
        <v/>
      </c>
      <c r="X499" s="6" t="str">
        <f t="shared" si="139"/>
        <v/>
      </c>
      <c r="Y499" s="6" t="str">
        <f>IF(Q499="","",MAX(X499,_xlfn.MAXIFS(tblAnalysis[Cum P&amp;L SOL],tblAnalysis[Date],Q499)))</f>
        <v/>
      </c>
      <c r="Z499" s="6" t="str">
        <f>IF(Q499="","",MIN(X499,_xlfn.MINIFS(tblAnalysis[Cum P&amp;L SOL],tblAnalysis[Date],Q499)))</f>
        <v/>
      </c>
      <c r="AA499" s="6" t="str">
        <f t="shared" si="140"/>
        <v/>
      </c>
      <c r="AB499" s="6" t="str">
        <f t="shared" si="156"/>
        <v/>
      </c>
      <c r="AC499" s="27" t="str">
        <f t="shared" si="141"/>
        <v/>
      </c>
      <c r="AD499" s="10" t="str">
        <f t="shared" si="142"/>
        <v/>
      </c>
      <c r="AE499" s="10" t="str">
        <f t="shared" si="143"/>
        <v/>
      </c>
      <c r="AF499" s="10" t="str">
        <f t="shared" si="144"/>
        <v/>
      </c>
      <c r="AG499" s="10" t="str">
        <f t="shared" si="157"/>
        <v/>
      </c>
      <c r="AH499" t="str">
        <f t="shared" si="145"/>
        <v/>
      </c>
      <c r="AI499" t="str">
        <f t="shared" si="146"/>
        <v/>
      </c>
      <c r="AJ499" t="str">
        <f t="shared" si="158"/>
        <v/>
      </c>
      <c r="AK499" t="str" cm="1">
        <f t="array" ref="AK499">IFERROR(IF(INDEX($A:$A,ROW())="","",INDEX($A:$A,ROW())),"")</f>
        <v/>
      </c>
      <c r="AL499" t="str" cm="1">
        <f t="array" ref="AL499">IFERROR(INDEX(tblTrades[sol_invested],ROW()-1),"")</f>
        <v/>
      </c>
      <c r="AM499" s="6" t="str" cm="1">
        <f t="array" ref="AM499">IFERROR(INDEX(tblAnalysis[P&amp;L SOL],ROW()-1),"")</f>
        <v/>
      </c>
      <c r="AN499" t="str" cm="1">
        <f t="array" ref="AN499">IFERROR(IF(INDEX(tblTrades[sol_invested],ROW()-1)&gt;0.5,INDEX(tblAnalysis[Token],ROW()-1)&amp;" ("&amp;TEXT(INDEX(tblTrades[sol_invested],ROW()-1),"0.0")&amp;" SOL)",""),"")</f>
        <v/>
      </c>
      <c r="AO499" s="7"/>
      <c r="AP499" s="12" t="str" cm="1">
        <f t="array" ref="AP499">IFERROR(INDEX(tblAnalysis[Entry MC ($)],ROW()-1),"")</f>
        <v/>
      </c>
      <c r="AQ499" s="10" t="str" cm="1">
        <f t="array" ref="AQ499">IFERROR(INDEX(tblAnalysis[P&amp;L %],ROW()-1),"")</f>
        <v/>
      </c>
      <c r="AR499" t="str" cm="1">
        <f t="array" ref="AR499">IFERROR(INDEX(tblAnalysis[Hold Time (s)],ROW()-1),"")</f>
        <v/>
      </c>
      <c r="AS499" s="6" t="str" cm="1">
        <f t="array" ref="AS499">IFERROR(INDEX(tblAnalysis[P&amp;L SOL],ROW()-1),"")</f>
        <v/>
      </c>
      <c r="AT499" s="6" t="str">
        <f t="array" ref="AT499">IFERROR(INDEX(tblAnalysis[P&amp;L SOL],ROW()-1),"")</f>
        <v/>
      </c>
      <c r="AZ499" s="10"/>
      <c r="BA499" s="10"/>
      <c r="BF499" t="str">
        <f t="shared" si="147"/>
        <v/>
      </c>
      <c r="BG499" s="27" t="str">
        <f t="shared" si="148"/>
        <v/>
      </c>
      <c r="BH499" t="str">
        <f t="shared" si="149"/>
        <v/>
      </c>
      <c r="BI499" t="str">
        <f t="shared" si="159"/>
        <v/>
      </c>
      <c r="BL499" s="29" t="e">
        <f t="shared" si="154"/>
        <v>#N/A</v>
      </c>
      <c r="BM499" s="29" t="e">
        <f t="shared" si="155"/>
        <v>#N/A</v>
      </c>
    </row>
    <row r="500" spans="17:65" x14ac:dyDescent="0.35">
      <c r="Q500" s="27"/>
      <c r="R500" s="6" t="str">
        <f>IF(Q500="","",SUMIFS(tblAnalysis[P&amp;L SOL],tblAnalysis[Date],Q500))</f>
        <v/>
      </c>
      <c r="S500" s="10" t="str">
        <f>IF(Q500="","",SUMIFS(tblAnalysis[P&amp;L %],tblAnalysis[Date],Q500))</f>
        <v/>
      </c>
      <c r="T500" s="6" t="str">
        <f>IF(Q500="","",IFERROR(SUM($R$2:R500),""))</f>
        <v/>
      </c>
      <c r="U500" t="str">
        <f>IF(Q500="","",COUNTIFS(tblAnalysis[Date],Q500))</f>
        <v/>
      </c>
      <c r="V500" t="str">
        <f>IF(R500="","",COUNTIFS(tblAnalysis[Date],R500))</f>
        <v/>
      </c>
      <c r="W500" s="27" t="str">
        <f t="shared" si="138"/>
        <v/>
      </c>
      <c r="X500" s="6" t="str">
        <f t="shared" si="139"/>
        <v/>
      </c>
      <c r="Y500" s="6" t="str">
        <f>IF(Q500="","",MAX(X500,_xlfn.MAXIFS(tblAnalysis[Cum P&amp;L SOL],tblAnalysis[Date],Q500)))</f>
        <v/>
      </c>
      <c r="Z500" s="6" t="str">
        <f>IF(Q500="","",MIN(X500,_xlfn.MINIFS(tblAnalysis[Cum P&amp;L SOL],tblAnalysis[Date],Q500)))</f>
        <v/>
      </c>
      <c r="AA500" s="6" t="str">
        <f t="shared" si="140"/>
        <v/>
      </c>
      <c r="AB500" s="6" t="str">
        <f t="shared" si="156"/>
        <v/>
      </c>
      <c r="AC500" s="27" t="str">
        <f t="shared" si="141"/>
        <v/>
      </c>
      <c r="AD500" s="10" t="str">
        <f t="shared" si="142"/>
        <v/>
      </c>
      <c r="AE500" s="10" t="str">
        <f t="shared" si="143"/>
        <v/>
      </c>
      <c r="AF500" s="10" t="str">
        <f t="shared" si="144"/>
        <v/>
      </c>
      <c r="AG500" s="10" t="str">
        <f t="shared" si="157"/>
        <v/>
      </c>
      <c r="AH500" t="str">
        <f t="shared" si="145"/>
        <v/>
      </c>
      <c r="AI500" t="str">
        <f t="shared" si="146"/>
        <v/>
      </c>
      <c r="AJ500" t="str">
        <f t="shared" si="158"/>
        <v/>
      </c>
      <c r="AK500" t="str" cm="1">
        <f t="array" ref="AK500">IFERROR(IF(INDEX($A:$A,ROW())="","",INDEX($A:$A,ROW())),"")</f>
        <v/>
      </c>
      <c r="AL500" t="str" cm="1">
        <f t="array" ref="AL500">IFERROR(INDEX(tblTrades[sol_invested],ROW()-1),"")</f>
        <v/>
      </c>
      <c r="AM500" s="6" t="str" cm="1">
        <f t="array" ref="AM500">IFERROR(INDEX(tblAnalysis[P&amp;L SOL],ROW()-1),"")</f>
        <v/>
      </c>
      <c r="AN500" t="str" cm="1">
        <f t="array" ref="AN500">IFERROR(IF(INDEX(tblTrades[sol_invested],ROW()-1)&gt;0.5,INDEX(tblAnalysis[Token],ROW()-1)&amp;" ("&amp;TEXT(INDEX(tblTrades[sol_invested],ROW()-1),"0.0")&amp;" SOL)",""),"")</f>
        <v/>
      </c>
      <c r="AO500" s="7"/>
      <c r="AP500" s="12" t="str" cm="1">
        <f t="array" ref="AP500">IFERROR(INDEX(tblAnalysis[Entry MC ($)],ROW()-1),"")</f>
        <v/>
      </c>
      <c r="AQ500" s="10" t="str" cm="1">
        <f t="array" ref="AQ500">IFERROR(INDEX(tblAnalysis[P&amp;L %],ROW()-1),"")</f>
        <v/>
      </c>
      <c r="AR500" t="str" cm="1">
        <f t="array" ref="AR500">IFERROR(INDEX(tblAnalysis[Hold Time (s)],ROW()-1),"")</f>
        <v/>
      </c>
      <c r="AS500" s="6" t="str" cm="1">
        <f t="array" ref="AS500">IFERROR(INDEX(tblAnalysis[P&amp;L SOL],ROW()-1),"")</f>
        <v/>
      </c>
      <c r="AT500" s="6" t="str">
        <f t="array" ref="AT500">IFERROR(INDEX(tblAnalysis[P&amp;L SOL],ROW()-1),"")</f>
        <v/>
      </c>
      <c r="AZ500" s="10"/>
      <c r="BA500" s="10"/>
      <c r="BF500" t="str">
        <f t="shared" si="147"/>
        <v/>
      </c>
      <c r="BG500" s="27" t="str">
        <f t="shared" si="148"/>
        <v/>
      </c>
      <c r="BH500" t="str">
        <f t="shared" si="149"/>
        <v/>
      </c>
      <c r="BI500" t="str">
        <f t="shared" si="159"/>
        <v/>
      </c>
      <c r="BL500" s="29" t="e">
        <f t="shared" si="154"/>
        <v>#N/A</v>
      </c>
      <c r="BM500" s="29" t="e">
        <f t="shared" si="155"/>
        <v>#N/A</v>
      </c>
    </row>
    <row r="501" spans="17:65" x14ac:dyDescent="0.35">
      <c r="S501" s="6" t="str">
        <f>IF(R501="","",SUMIFS(tblAnalysis[P&amp;L SOL],tblAnalysis[Date],R501))</f>
        <v/>
      </c>
      <c r="T501" s="11" t="str">
        <f>IF(R501="","",SUMIFS(tblAnalysis[P&amp;L %],tblAnalysis[Date],R501))</f>
        <v/>
      </c>
      <c r="U501" s="6" t="str">
        <f>IF(R501="","",IFERROR(SUM($S$2:S501),""))</f>
        <v/>
      </c>
      <c r="V501" t="str">
        <f>IF(R501="","",COUNTIFS(tblAnalysis[Date],R501))</f>
        <v/>
      </c>
      <c r="X501" t="str">
        <f t="shared" ref="X501:X504" si="160">IF(R501="","",R501)</f>
        <v/>
      </c>
      <c r="Y501" s="6" t="str">
        <f t="shared" ref="Y501:Y504" si="161">IF(R501="","",IF(ROW()=2,0,AB500))</f>
        <v/>
      </c>
      <c r="Z501" s="6" t="str">
        <f>IF(R501="","",MAX(Y501,_xlfn.MAXIFS(tblAnalysis[Cum P&amp;L SOL],tblAnalysis[Date],R501)))</f>
        <v/>
      </c>
      <c r="AA501" s="6" t="str">
        <f>IF(R501="","",MIN(Y501,_xlfn.MINIFS(tblAnalysis[Cum P&amp;L SOL],tblAnalysis[Date],R501)))</f>
        <v/>
      </c>
      <c r="AB501" s="6" t="str">
        <f t="shared" si="156"/>
        <v/>
      </c>
      <c r="AD501" t="str">
        <f t="shared" ref="AD501:AD504" si="162">IF(R501="","",R501)</f>
        <v/>
      </c>
      <c r="AE501" s="10" t="str">
        <f t="shared" ref="AE501:AE504" si="163">IF(R501="","",(Z501-Y501)/$BK$1)</f>
        <v/>
      </c>
      <c r="AF501" s="10" t="str">
        <f t="shared" ref="AF501:AF504" si="164">IF(R501="","",(AA501-Y501)/$BK$1)</f>
        <v/>
      </c>
      <c r="AG501" s="10" t="str">
        <f t="shared" si="157"/>
        <v/>
      </c>
      <c r="AI501" t="str">
        <f t="shared" ref="AI501:AI504" si="165">IF(R501="","",IF(AB501&gt;=Y501,V501,0))</f>
        <v/>
      </c>
      <c r="AJ501" t="str">
        <f t="shared" si="158"/>
        <v/>
      </c>
      <c r="AM501" t="str">
        <f t="array" ref="AM501">IFERROR(INDEX(tblTrades[sol_invested],ROW()-1),"")</f>
        <v/>
      </c>
      <c r="AO501" s="7"/>
      <c r="AQ501" s="12" t="str">
        <f t="array" ref="AQ501">IFERROR(INDEX(tblAnalysis[Entry MC ($)],ROW()-1),"")</f>
        <v/>
      </c>
      <c r="AR501" s="10" t="str">
        <f t="array" ref="AR501">IFERROR(INDEX(tblAnalysis[P&amp;L %],ROW()-1),"")</f>
        <v/>
      </c>
      <c r="AS501" t="str">
        <f t="array" ref="AS501">IFERROR(INDEX(tblAnalysis[Hold Time (s)],ROW()-1),"")</f>
        <v/>
      </c>
      <c r="AT501" s="6" t="str">
        <f t="array" ref="AT501">IFERROR(INDEX(tblAnalysis[P&amp;L SOL],ROW()-1),"")</f>
        <v/>
      </c>
      <c r="AZ501" s="10"/>
      <c r="BA501" s="10"/>
      <c r="BG501" t="str">
        <f t="shared" ref="BG501:BG504" si="166">IF(AE501="","","("&amp;AC501&amp;")")</f>
        <v/>
      </c>
      <c r="BH501" s="13" t="str">
        <f t="shared" ref="BH501:BH504" si="167">IF(X501="","",X501)</f>
        <v/>
      </c>
      <c r="BI501" t="str">
        <f t="shared" si="159"/>
        <v/>
      </c>
      <c r="BL501" s="29" t="e">
        <f t="shared" si="154"/>
        <v>#N/A</v>
      </c>
      <c r="BM501" s="29" t="e">
        <f t="shared" si="155"/>
        <v>#N/A</v>
      </c>
    </row>
    <row r="502" spans="17:65" x14ac:dyDescent="0.35">
      <c r="S502" s="6" t="str">
        <f>IF(R502="","",SUMIFS(tblAnalysis[P&amp;L SOL],tblAnalysis[Date],R502))</f>
        <v/>
      </c>
      <c r="T502" s="11" t="str">
        <f>IF(R502="","",SUMIFS(tblAnalysis[P&amp;L %],tblAnalysis[Date],R502))</f>
        <v/>
      </c>
      <c r="U502" s="6" t="str">
        <f>IF(R502="","",IFERROR(SUM($S$2:S502),""))</f>
        <v/>
      </c>
      <c r="V502" t="str">
        <f>IF(R502="","",COUNTIFS(tblAnalysis[Date],R502))</f>
        <v/>
      </c>
      <c r="X502" t="str">
        <f t="shared" si="160"/>
        <v/>
      </c>
      <c r="Y502" s="6" t="str">
        <f t="shared" si="161"/>
        <v/>
      </c>
      <c r="Z502" s="6" t="str">
        <f>IF(R502="","",MAX(Y502,_xlfn.MAXIFS(tblAnalysis[Cum P&amp;L SOL],tblAnalysis[Date],R502)))</f>
        <v/>
      </c>
      <c r="AA502" s="6" t="str">
        <f>IF(R502="","",MIN(Y502,_xlfn.MINIFS(tblAnalysis[Cum P&amp;L SOL],tblAnalysis[Date],R502)))</f>
        <v/>
      </c>
      <c r="AB502" s="6" t="str">
        <f t="shared" si="156"/>
        <v/>
      </c>
      <c r="AD502" t="str">
        <f t="shared" si="162"/>
        <v/>
      </c>
      <c r="AE502" s="10" t="str">
        <f t="shared" si="163"/>
        <v/>
      </c>
      <c r="AF502" s="10" t="str">
        <f t="shared" si="164"/>
        <v/>
      </c>
      <c r="AG502" s="10" t="str">
        <f t="shared" si="157"/>
        <v/>
      </c>
      <c r="AI502" t="str">
        <f t="shared" si="165"/>
        <v/>
      </c>
      <c r="AJ502" t="str">
        <f t="shared" si="158"/>
        <v/>
      </c>
      <c r="AM502" t="str">
        <f t="array" ref="AM502">IFERROR(INDEX(tblTrades[sol_invested],ROW()-1),"")</f>
        <v/>
      </c>
      <c r="AO502" s="7"/>
      <c r="AQ502" s="12" t="str">
        <f t="array" ref="AQ502">IFERROR(INDEX(tblAnalysis[Entry MC ($)],ROW()-1),"")</f>
        <v/>
      </c>
      <c r="AR502" s="10" t="str">
        <f t="array" ref="AR502">IFERROR(INDEX(tblAnalysis[P&amp;L %],ROW()-1),"")</f>
        <v/>
      </c>
      <c r="AS502" t="str">
        <f t="array" ref="AS502">IFERROR(INDEX(tblAnalysis[Hold Time (s)],ROW()-1),"")</f>
        <v/>
      </c>
      <c r="AT502" s="6" t="str">
        <f t="array" ref="AT502">IFERROR(INDEX(tblAnalysis[P&amp;L SOL],ROW()-1),"")</f>
        <v/>
      </c>
      <c r="AZ502" s="10"/>
      <c r="BA502" s="10"/>
      <c r="BG502" t="str">
        <f t="shared" si="166"/>
        <v/>
      </c>
      <c r="BH502" s="13" t="str">
        <f t="shared" si="167"/>
        <v/>
      </c>
      <c r="BI502" t="str">
        <f t="shared" si="159"/>
        <v/>
      </c>
      <c r="BL502" s="29" t="e">
        <f t="shared" si="154"/>
        <v>#N/A</v>
      </c>
      <c r="BM502" s="29" t="e">
        <f t="shared" si="155"/>
        <v>#N/A</v>
      </c>
    </row>
    <row r="503" spans="17:65" x14ac:dyDescent="0.35">
      <c r="S503" s="6" t="str">
        <f>IF(R503="","",SUMIFS(tblAnalysis[P&amp;L SOL],tblAnalysis[Date],R503))</f>
        <v/>
      </c>
      <c r="T503" s="11" t="str">
        <f>IF(R503="","",SUMIFS(tblAnalysis[P&amp;L %],tblAnalysis[Date],R503))</f>
        <v/>
      </c>
      <c r="U503" s="6" t="str">
        <f>IF(R503="","",IFERROR(SUM($S$2:S503),""))</f>
        <v/>
      </c>
      <c r="V503" t="str">
        <f>IF(R503="","",COUNTIFS(tblAnalysis[Date],R503))</f>
        <v/>
      </c>
      <c r="X503" t="str">
        <f t="shared" si="160"/>
        <v/>
      </c>
      <c r="Y503" s="6" t="str">
        <f t="shared" si="161"/>
        <v/>
      </c>
      <c r="Z503" s="6" t="str">
        <f>IF(R503="","",MAX(Y503,_xlfn.MAXIFS(tblAnalysis[Cum P&amp;L SOL],tblAnalysis[Date],R503)))</f>
        <v/>
      </c>
      <c r="AA503" s="6" t="str">
        <f>IF(R503="","",MIN(Y503,_xlfn.MINIFS(tblAnalysis[Cum P&amp;L SOL],tblAnalysis[Date],R503)))</f>
        <v/>
      </c>
      <c r="AB503" s="6" t="str">
        <f t="shared" si="156"/>
        <v/>
      </c>
      <c r="AD503" t="str">
        <f t="shared" si="162"/>
        <v/>
      </c>
      <c r="AE503" s="10" t="str">
        <f t="shared" si="163"/>
        <v/>
      </c>
      <c r="AF503" s="10" t="str">
        <f t="shared" si="164"/>
        <v/>
      </c>
      <c r="AG503" s="10" t="str">
        <f t="shared" si="157"/>
        <v/>
      </c>
      <c r="AI503" t="str">
        <f t="shared" si="165"/>
        <v/>
      </c>
      <c r="AJ503" t="str">
        <f t="shared" si="158"/>
        <v/>
      </c>
      <c r="AM503" t="str">
        <f t="array" ref="AM503">IFERROR(INDEX(tblTrades[sol_invested],ROW()-1),"")</f>
        <v/>
      </c>
      <c r="AO503" s="7"/>
      <c r="AQ503" s="12" t="str">
        <f t="array" ref="AQ503">IFERROR(INDEX(tblAnalysis[Entry MC ($)],ROW()-1),"")</f>
        <v/>
      </c>
      <c r="AR503" s="10" t="str">
        <f t="array" ref="AR503">IFERROR(INDEX(tblAnalysis[P&amp;L %],ROW()-1),"")</f>
        <v/>
      </c>
      <c r="AS503" t="str">
        <f t="array" ref="AS503">IFERROR(INDEX(tblAnalysis[Hold Time (s)],ROW()-1),"")</f>
        <v/>
      </c>
      <c r="AT503" s="6" t="str">
        <f t="array" ref="AT503">IFERROR(INDEX(tblAnalysis[P&amp;L SOL],ROW()-1),"")</f>
        <v/>
      </c>
      <c r="AZ503" s="10"/>
      <c r="BA503" s="10"/>
      <c r="BG503" t="str">
        <f t="shared" si="166"/>
        <v/>
      </c>
      <c r="BH503" s="13" t="str">
        <f t="shared" si="167"/>
        <v/>
      </c>
      <c r="BI503" t="str">
        <f t="shared" si="159"/>
        <v/>
      </c>
      <c r="BL503" s="29" t="e">
        <f t="shared" si="154"/>
        <v>#N/A</v>
      </c>
      <c r="BM503" s="29" t="e">
        <f t="shared" si="155"/>
        <v>#N/A</v>
      </c>
    </row>
    <row r="504" spans="17:65" x14ac:dyDescent="0.35">
      <c r="S504" s="6" t="str">
        <f>IF(R504="","",SUMIFS(tblAnalysis[P&amp;L SOL],tblAnalysis[Date],R504))</f>
        <v/>
      </c>
      <c r="T504" s="11" t="str">
        <f>IF(R504="","",SUMIFS(tblAnalysis[P&amp;L %],tblAnalysis[Date],R504))</f>
        <v/>
      </c>
      <c r="U504" s="6" t="str">
        <f>IF(R504="","",IFERROR(SUM($S$2:S504),""))</f>
        <v/>
      </c>
      <c r="V504" t="str">
        <f>IF(R504="","",COUNTIFS(tblAnalysis[Date],R504))</f>
        <v/>
      </c>
      <c r="X504" t="str">
        <f t="shared" si="160"/>
        <v/>
      </c>
      <c r="Y504" s="6" t="str">
        <f t="shared" si="161"/>
        <v/>
      </c>
      <c r="Z504" s="6" t="str">
        <f>IF(R504="","",MAX(Y504,_xlfn.MAXIFS(tblAnalysis[Cum P&amp;L SOL],tblAnalysis[Date],R504)))</f>
        <v/>
      </c>
      <c r="AA504" s="6" t="str">
        <f>IF(R504="","",MIN(Y504,_xlfn.MINIFS(tblAnalysis[Cum P&amp;L SOL],tblAnalysis[Date],R504)))</f>
        <v/>
      </c>
      <c r="AB504" s="6" t="str">
        <f t="shared" si="156"/>
        <v/>
      </c>
      <c r="AD504" t="str">
        <f t="shared" si="162"/>
        <v/>
      </c>
      <c r="AE504" s="10" t="str">
        <f t="shared" si="163"/>
        <v/>
      </c>
      <c r="AF504" s="10" t="str">
        <f t="shared" si="164"/>
        <v/>
      </c>
      <c r="AG504" s="10" t="str">
        <f t="shared" si="157"/>
        <v/>
      </c>
      <c r="AI504" t="str">
        <f t="shared" si="165"/>
        <v/>
      </c>
      <c r="AJ504" t="str">
        <f t="shared" si="158"/>
        <v/>
      </c>
      <c r="AM504" t="str">
        <f t="array" ref="AM504">IFERROR(INDEX(tblTrades[sol_invested],ROW()-1),"")</f>
        <v/>
      </c>
      <c r="AO504" s="7"/>
      <c r="AQ504" s="12" t="str">
        <f t="array" ref="AQ504">IFERROR(INDEX(tblAnalysis[Entry MC ($)],ROW()-1),"")</f>
        <v/>
      </c>
      <c r="AR504" s="10" t="str">
        <f t="array" ref="AR504">IFERROR(INDEX(tblAnalysis[P&amp;L %],ROW()-1),"")</f>
        <v/>
      </c>
      <c r="AS504" t="str">
        <f t="array" ref="AS504">IFERROR(INDEX(tblAnalysis[Hold Time (s)],ROW()-1),"")</f>
        <v/>
      </c>
      <c r="AT504" s="6" t="str">
        <f t="array" ref="AT504">IFERROR(INDEX(tblAnalysis[P&amp;L SOL],ROW()-1),"")</f>
        <v/>
      </c>
      <c r="AZ504" s="10"/>
      <c r="BA504" s="10"/>
      <c r="BG504" t="str">
        <f t="shared" si="166"/>
        <v/>
      </c>
      <c r="BH504" s="13" t="str">
        <f t="shared" si="167"/>
        <v/>
      </c>
      <c r="BI504" t="str">
        <f t="shared" si="159"/>
        <v/>
      </c>
      <c r="BL504" s="29" t="e">
        <f t="shared" si="154"/>
        <v>#N/A</v>
      </c>
      <c r="BM504" s="29" t="e">
        <f t="shared" si="155"/>
        <v>#N/A</v>
      </c>
    </row>
  </sheetData>
  <autoFilter ref="AQ1:AT504" xr:uid="{7969E8B2-F9AB-41DF-B8F1-D64936916287}"/>
  <conditionalFormatting sqref="BT2:BT4">
    <cfRule type="expression" dxfId="55" priority="1">
      <formula>BS2&lt;0</formula>
    </cfRule>
  </conditionalFormatting>
  <conditionalFormatting sqref="CA2:CA4">
    <cfRule type="expression" dxfId="54" priority="2">
      <formula>BZ2&lt;0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7"/>
  <sheetViews>
    <sheetView workbookViewId="0">
      <pane xSplit="1" ySplit="1" topLeftCell="BL2" activePane="bottomRight" state="frozen"/>
      <selection pane="topRight" activeCell="B1" sqref="B1"/>
      <selection pane="bottomLeft" activeCell="A2" sqref="A2"/>
      <selection pane="bottomRight" activeCell="A4" sqref="A4:CA4"/>
    </sheetView>
  </sheetViews>
  <sheetFormatPr defaultRowHeight="14.5" x14ac:dyDescent="0.35"/>
  <cols>
    <col min="1" max="1" width="25.1796875" style="41" customWidth="1"/>
    <col min="2" max="2" width="27" style="41" customWidth="1"/>
    <col min="3" max="3" width="40" style="41" customWidth="1"/>
    <col min="4" max="4" width="21" style="41" customWidth="1"/>
    <col min="5" max="5" width="10" style="41" customWidth="1"/>
    <col min="6" max="6" width="13.54296875" style="41" customWidth="1"/>
    <col min="7" max="7" width="8.7265625" style="54" customWidth="1"/>
    <col min="8" max="8" width="8.7265625" style="41" customWidth="1"/>
    <col min="9" max="11" width="8.1796875" style="41" customWidth="1"/>
    <col min="12" max="12" width="13.36328125" style="41" customWidth="1"/>
    <col min="13" max="13" width="8.1796875" style="54" customWidth="1"/>
    <col min="14" max="15" width="8.1796875" style="41" customWidth="1"/>
    <col min="16" max="19" width="9.26953125" style="41" customWidth="1"/>
    <col min="20" max="21" width="13.6328125" style="41" customWidth="1"/>
    <col min="22" max="22" width="19" style="41" customWidth="1"/>
    <col min="23" max="23" width="8.26953125" style="41" customWidth="1"/>
    <col min="24" max="24" width="40" style="41" customWidth="1"/>
    <col min="25" max="25" width="39.26953125" style="41" customWidth="1"/>
    <col min="26" max="26" width="38.1796875" style="41" customWidth="1"/>
    <col min="27" max="27" width="38" style="41" customWidth="1"/>
    <col min="28" max="28" width="40" style="41" customWidth="1"/>
    <col min="29" max="29" width="14.90625" style="41" customWidth="1"/>
    <col min="30" max="30" width="22" style="41" customWidth="1"/>
    <col min="31" max="31" width="8.7265625" style="41"/>
    <col min="32" max="32" width="5.54296875" style="41" customWidth="1"/>
    <col min="33" max="33" width="3.90625" style="54" customWidth="1"/>
    <col min="34" max="34" width="8.7265625" style="41"/>
    <col min="35" max="35" width="15.81640625" style="41" bestFit="1" customWidth="1"/>
    <col min="36" max="36" width="20.81640625" style="41" customWidth="1"/>
    <col min="37" max="37" width="8.7265625" style="41"/>
    <col min="38" max="38" width="31.453125" style="41" customWidth="1"/>
    <col min="39" max="39" width="8.7265625" style="41"/>
    <col min="40" max="40" width="23.6328125" style="41" customWidth="1"/>
    <col min="41" max="41" width="8.7265625" style="41"/>
    <col min="42" max="42" width="24.7265625" style="41" customWidth="1"/>
    <col min="43" max="43" width="8.7265625" style="41"/>
    <col min="44" max="44" width="24.81640625" style="41" customWidth="1"/>
    <col min="45" max="52" width="8.7265625" style="41"/>
    <col min="53" max="53" width="8.81640625" style="41" bestFit="1" customWidth="1"/>
    <col min="54" max="54" width="9.81640625" style="41" bestFit="1" customWidth="1"/>
    <col min="55" max="55" width="39.26953125" style="41" customWidth="1"/>
    <col min="56" max="56" width="15.6328125" style="41" bestFit="1" customWidth="1"/>
    <col min="57" max="57" width="15" style="41" bestFit="1" customWidth="1"/>
    <col min="58" max="58" width="14.26953125" style="41" bestFit="1" customWidth="1"/>
    <col min="59" max="59" width="15.6328125" style="41" bestFit="1" customWidth="1"/>
    <col min="60" max="62" width="8.7265625" style="41"/>
    <col min="63" max="63" width="15.6328125" style="41" bestFit="1" customWidth="1"/>
    <col min="64" max="64" width="15" style="41" bestFit="1" customWidth="1"/>
    <col min="65" max="65" width="14.26953125" style="41" bestFit="1" customWidth="1"/>
    <col min="66" max="66" width="15.6328125" style="41" bestFit="1" customWidth="1"/>
    <col min="67" max="67" width="15.08984375" style="41" bestFit="1" customWidth="1"/>
    <col min="68" max="68" width="14.453125" style="41" bestFit="1" customWidth="1"/>
    <col min="69" max="69" width="15.81640625" style="41" bestFit="1" customWidth="1"/>
    <col min="70" max="70" width="17.1796875" style="41" bestFit="1" customWidth="1"/>
    <col min="71" max="71" width="12.6328125" style="41" customWidth="1"/>
    <col min="72" max="72" width="8.7265625" style="41"/>
    <col min="73" max="73" width="11.6328125" style="41" customWidth="1"/>
    <col min="74" max="74" width="11.90625" style="41" customWidth="1"/>
    <col min="75" max="81" width="8.7265625" style="41"/>
    <col min="82" max="82" width="12.7265625" style="41" customWidth="1"/>
    <col min="83" max="16384" width="8.7265625" style="41"/>
  </cols>
  <sheetData>
    <row r="1" spans="1:79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6" t="s">
        <v>245</v>
      </c>
      <c r="H1" s="36" t="s">
        <v>246</v>
      </c>
      <c r="I1" s="34" t="s">
        <v>6</v>
      </c>
      <c r="J1" s="34" t="s">
        <v>7</v>
      </c>
      <c r="K1" s="34" t="s">
        <v>8</v>
      </c>
      <c r="L1" s="34" t="s">
        <v>9</v>
      </c>
      <c r="M1" s="36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16</v>
      </c>
      <c r="T1" s="34" t="s">
        <v>17</v>
      </c>
      <c r="U1" s="34" t="s">
        <v>18</v>
      </c>
      <c r="V1" s="34" t="s">
        <v>19</v>
      </c>
      <c r="W1" s="35" t="s">
        <v>20</v>
      </c>
      <c r="X1" s="34" t="s">
        <v>21</v>
      </c>
      <c r="Y1" s="34" t="s">
        <v>22</v>
      </c>
      <c r="Z1" s="34" t="s">
        <v>23</v>
      </c>
      <c r="AA1" s="34" t="s">
        <v>24</v>
      </c>
      <c r="AB1" s="34" t="s">
        <v>25</v>
      </c>
      <c r="AC1" s="34" t="s">
        <v>26</v>
      </c>
      <c r="AD1" s="34" t="s">
        <v>244</v>
      </c>
      <c r="AE1" s="35" t="s">
        <v>88</v>
      </c>
      <c r="AF1" s="35" t="s">
        <v>89</v>
      </c>
      <c r="AG1" s="56" t="s">
        <v>90</v>
      </c>
      <c r="AH1" s="35" t="s">
        <v>91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7" t="s">
        <v>106</v>
      </c>
      <c r="AR1" s="37" t="s">
        <v>107</v>
      </c>
      <c r="AS1" s="37" t="s">
        <v>108</v>
      </c>
      <c r="AT1" s="37" t="s">
        <v>109</v>
      </c>
      <c r="AU1" s="37" t="s">
        <v>110</v>
      </c>
      <c r="AV1" s="37" t="s">
        <v>111</v>
      </c>
      <c r="AW1" s="37" t="s">
        <v>112</v>
      </c>
      <c r="AX1" s="37" t="s">
        <v>113</v>
      </c>
      <c r="AY1" s="37" t="s">
        <v>114</v>
      </c>
      <c r="AZ1" s="57" t="s">
        <v>115</v>
      </c>
      <c r="BA1" s="57" t="s">
        <v>116</v>
      </c>
      <c r="BB1" s="57" t="s">
        <v>117</v>
      </c>
      <c r="BC1" s="38" t="s">
        <v>118</v>
      </c>
      <c r="BD1" s="34" t="s">
        <v>194</v>
      </c>
      <c r="BE1" s="34" t="s">
        <v>195</v>
      </c>
      <c r="BF1" s="34" t="s">
        <v>196</v>
      </c>
      <c r="BG1" s="34" t="s">
        <v>197</v>
      </c>
      <c r="BH1" s="34" t="s">
        <v>201</v>
      </c>
      <c r="BI1" s="34" t="s">
        <v>202</v>
      </c>
      <c r="BJ1" s="34" t="s">
        <v>203</v>
      </c>
      <c r="BK1" s="34" t="s">
        <v>204</v>
      </c>
      <c r="BL1" s="35" t="s">
        <v>198</v>
      </c>
      <c r="BM1" s="35" t="s">
        <v>199</v>
      </c>
      <c r="BN1" s="35" t="s">
        <v>200</v>
      </c>
      <c r="BO1" s="35" t="s">
        <v>205</v>
      </c>
      <c r="BP1" s="35" t="s">
        <v>170</v>
      </c>
      <c r="BQ1" s="35" t="s">
        <v>171</v>
      </c>
      <c r="BR1" s="39" t="s">
        <v>172</v>
      </c>
      <c r="BS1" s="39" t="s">
        <v>173</v>
      </c>
      <c r="BT1" s="40" t="s">
        <v>174</v>
      </c>
      <c r="BU1" s="35" t="s">
        <v>175</v>
      </c>
      <c r="BV1" s="35" t="s">
        <v>176</v>
      </c>
      <c r="BW1" s="35" t="s">
        <v>180</v>
      </c>
      <c r="BX1" s="35" t="s">
        <v>181</v>
      </c>
      <c r="BY1" s="35" t="s">
        <v>182</v>
      </c>
      <c r="BZ1" s="35" t="s">
        <v>183</v>
      </c>
      <c r="CA1" s="35" t="s">
        <v>184</v>
      </c>
    </row>
    <row r="2" spans="1:79" ht="15" customHeight="1" x14ac:dyDescent="0.35">
      <c r="A2" s="41" t="s">
        <v>206</v>
      </c>
      <c r="B2" s="41" t="s">
        <v>29</v>
      </c>
      <c r="C2" s="41" t="s">
        <v>247</v>
      </c>
      <c r="D2" s="41" t="s">
        <v>249</v>
      </c>
      <c r="E2" s="42">
        <v>1</v>
      </c>
      <c r="F2" s="41" t="s">
        <v>207</v>
      </c>
      <c r="G2" s="27">
        <v>46176</v>
      </c>
      <c r="H2" s="13">
        <v>46176</v>
      </c>
      <c r="I2" s="41" t="s">
        <v>208</v>
      </c>
      <c r="J2" s="41" t="s">
        <v>209</v>
      </c>
      <c r="K2" s="41" t="s">
        <v>210</v>
      </c>
      <c r="L2" s="41" t="s">
        <v>211</v>
      </c>
      <c r="M2" s="45">
        <v>14</v>
      </c>
      <c r="N2" s="41" t="s">
        <v>212</v>
      </c>
      <c r="O2" s="46">
        <v>39800</v>
      </c>
      <c r="P2" s="46">
        <v>0</v>
      </c>
      <c r="Q2" s="46">
        <v>0</v>
      </c>
      <c r="R2" s="46">
        <v>0</v>
      </c>
      <c r="S2" s="46">
        <v>41100</v>
      </c>
      <c r="T2" s="47">
        <v>0.5</v>
      </c>
      <c r="U2" s="47">
        <v>0.495</v>
      </c>
      <c r="V2" s="47">
        <v>-5.0000000000000001E-3</v>
      </c>
      <c r="W2" s="51">
        <f t="shared" ref="W2:W3" si="0">IFERROR(V2/T2,"")</f>
        <v>-0.01</v>
      </c>
      <c r="X2" s="41" t="s">
        <v>213</v>
      </c>
      <c r="Y2" s="41" t="s">
        <v>214</v>
      </c>
      <c r="Z2" s="41" t="s">
        <v>215</v>
      </c>
      <c r="AA2" s="41" t="s">
        <v>27</v>
      </c>
      <c r="AB2" s="41" t="s">
        <v>216</v>
      </c>
      <c r="AC2" s="41" t="s">
        <v>223</v>
      </c>
      <c r="AD2" s="41" t="s">
        <v>217</v>
      </c>
      <c r="AE2" s="49">
        <f t="shared" ref="AE2:AE3" si="1">IFERROR(HOUR(IFERROR(IFERROR(IFERROR(TIMEVALUE(J2),TIMEVALUE(I2)),TIMEVALUE(L2)),TIMEVALUE(H2))),"")</f>
        <v>23</v>
      </c>
      <c r="AF2" s="49" t="str">
        <f t="shared" ref="AF2:AF3" si="2">IFERROR(TEXT(IF(ISNUMBER(G2),G2,DATEVALUE(G2)),"ddd"),"")</f>
        <v>Wed</v>
      </c>
      <c r="AG2" s="55">
        <f t="shared" ref="AG2:AG3" si="3">IFERROR(WEEKDAY(IF(ISNUMBER(G2),G2,DATEVALUE(G2)),2),"")</f>
        <v>3</v>
      </c>
      <c r="AH2" s="49" t="str">
        <f t="shared" ref="AH2:AH3" si="4">IF(AE2="","",IF(AND(AG2&lt;=4,AE2&lt;18),"WD 6am-6pm",IF(AND(AG2=5,AE2&lt;18),"WD 6am-6pm",IF(AND(AG2&lt;=4,OR(AE2=18,AE2=19)),"WD 6pm-8pm",IF(AND(AG2&lt;=4,AE2&gt;=20,AE2&lt;=23),"WD 8pm-12am",IF(AND(AG2&lt;=4,OR(AE2=0,AE2=1)),"WD 6am-6pm",IF(AND(OR(AG2=6,AG2=7),AE2&gt;=2,AE2&lt;=11),"WE 6am-12pm",IF(AND(OR(AG2=6,AG2=7),AE2&gt;=12,AE2&lt;=17),"WE 12pm-6pm",IF(AND(OR(AG2=5,AG2=6,AG2=7),OR(AE2=18,AE2=19)),"WE 6pm-8pm",IF(AND(AG2=5,AE2&gt;=20,AE2&lt;=23),"WE 8pm-2am",IF(AND(AG2=6,OR(AE2&gt;=20,AE2&lt;=1)),"WE 8pm-2am",IF(AND(AG2=7,AE2&gt;=20,AE2&lt;=23),"WE 8pm-2am",IF(AND(AG2=7,OR(AE2=0,AE2=1)),"WE 8pm-2am","")))))))))))))</f>
        <v>WD 8pm-12am</v>
      </c>
      <c r="AI2" s="41" t="s">
        <v>250</v>
      </c>
      <c r="AJ2" s="41" t="s">
        <v>177</v>
      </c>
      <c r="AK2" s="42">
        <v>0</v>
      </c>
      <c r="AL2" s="41" t="s">
        <v>218</v>
      </c>
      <c r="AM2" s="42">
        <v>0</v>
      </c>
      <c r="AN2" s="41" t="s">
        <v>219</v>
      </c>
      <c r="AO2" s="42">
        <v>1</v>
      </c>
      <c r="AP2" s="41" t="s">
        <v>220</v>
      </c>
      <c r="AQ2" s="42">
        <v>0</v>
      </c>
      <c r="AR2" s="41" t="s">
        <v>221</v>
      </c>
      <c r="AS2" s="42">
        <v>1</v>
      </c>
      <c r="AT2" s="41" t="b">
        <v>1</v>
      </c>
      <c r="AU2" s="41" t="b">
        <v>0</v>
      </c>
      <c r="AV2" s="41" t="b">
        <v>1</v>
      </c>
      <c r="AW2" s="41" t="s">
        <v>120</v>
      </c>
      <c r="AX2" s="41">
        <v>0</v>
      </c>
      <c r="AY2" s="41" t="b">
        <v>0</v>
      </c>
      <c r="AZ2" s="58">
        <v>0</v>
      </c>
      <c r="BA2" s="51">
        <v>-0.01</v>
      </c>
      <c r="BB2" s="51">
        <v>-2.9499999999999998E-2</v>
      </c>
      <c r="BC2" s="41" t="s">
        <v>222</v>
      </c>
      <c r="BD2" s="46">
        <v>39800</v>
      </c>
      <c r="BE2" s="46">
        <v>41201</v>
      </c>
      <c r="BF2" s="46">
        <v>37966</v>
      </c>
      <c r="BG2" s="46">
        <v>41100</v>
      </c>
      <c r="BH2" s="47">
        <v>-4.2</v>
      </c>
      <c r="BI2" s="47">
        <v>-0.5</v>
      </c>
      <c r="BJ2" s="47">
        <v>-4.7</v>
      </c>
      <c r="BK2" s="47">
        <v>-5.0000000000000001E-3</v>
      </c>
      <c r="BL2" s="51">
        <v>3.5201005025125686E-4</v>
      </c>
      <c r="BM2" s="51">
        <v>-4.6080402010050258E-4</v>
      </c>
      <c r="BN2" s="51">
        <v>3.2663316582914659E-4</v>
      </c>
      <c r="BO2" s="59" t="str">
        <f t="shared" ref="BO2:BO3" si="5">HYPERLINK("E:\Apps\WilyTrader Captures\Archive\20260603.2349 Trade\Inputs\trade-screenshots\2026-06-03_23-51-02-sell-UPTIMIST.-exec-1780545062339-5nddpl-desktop.png","2026-06-03_23-51-02-sell-UPTIMIST.-exec-1780545062339-5nddpl-desktop.png")</f>
        <v>2026-06-03_23-51-02-sell-UPTIMIST.-exec-1780545062339-5nddpl-desktop.png</v>
      </c>
      <c r="BP2">
        <f t="shared" ref="BP2:BP3" si="6">IF(AI2&lt;&gt;AI1,1,0)</f>
        <v>1</v>
      </c>
      <c r="BQ2" t="str">
        <f t="shared" ref="BQ2:BQ3" si="7">IF(BP2=1,IF(ROW()=2,"",AI1),"")</f>
        <v/>
      </c>
      <c r="BR2" s="60" t="str">
        <f>IF(AND(BP2=1,ROW()&gt;2),G1+IFERROR(TIMEVALUE(L1),0),"")</f>
        <v/>
      </c>
      <c r="BS2" s="60">
        <f>IF(BP2=1,G2+IFERROR(TIMEVALUE(J2),IFERROR(TIMEVALUE(L2)-M2/86400,0)),"")</f>
        <v>46176.993576388886</v>
      </c>
      <c r="BT2" s="61" t="str">
        <f>IF(AND(BP2=1,ISNUMBER(BR2),ISNUMBER(BS2)),(BS2-BR2)*1440,"")</f>
        <v/>
      </c>
      <c r="BU2" t="str">
        <f t="shared" ref="BU2:BU3" si="8">IF(BQ2="","",IF(SUMIF(AI:AI,BQ2,V:V)&gt;0,"Win","Loss"))</f>
        <v/>
      </c>
      <c r="BV2" t="str">
        <f>IF(NOT(ISNUMBER(BT2)),"",IF(BT2&lt;5,"0"&amp;_xlfn.UNICHAR(8211)&amp;"5 min",IF(BT2&lt;10,"5"&amp;_xlfn.UNICHAR(8211)&amp;"10 min",IF(BT2&lt;15,"10"&amp;_xlfn.UNICHAR(8211)&amp;"15 min",IF(BT2&lt;30,"15"&amp;_xlfn.UNICHAR(8211)&amp;"30 min","30 min+")))))</f>
        <v/>
      </c>
      <c r="BW2">
        <f>SUM($BP$2:BP2)</f>
        <v>1</v>
      </c>
      <c r="BX2">
        <f>IF(AND($BP2=1,NOT(ISBLANK($BV2))),SUMIFS(tblTrades[pnl_sol],tblTrades[cluster_group_id],$BW2),"")</f>
        <v>-5.0000000000000001E-3</v>
      </c>
      <c r="BY2">
        <f>IF(AND($BP2=1,NOT(ISBLANK($BV2))),IFERROR(AVERAGEIFS(tblTrades[pnl_percentage],tblTrades[cluster_group_id],$BW2),""),"")</f>
        <v>-0.01</v>
      </c>
      <c r="BZ2">
        <f t="shared" ref="BZ2:BZ3" si="9">IF(AND($BP2=1,NOT(ISBLANK($BV2))),IF($BX2&gt;0,1,0),"")</f>
        <v>0</v>
      </c>
      <c r="CA2">
        <f>COUNTIFS($A$2:$A2,$A2)</f>
        <v>1</v>
      </c>
    </row>
    <row r="3" spans="1:79" ht="15" customHeight="1" x14ac:dyDescent="0.35">
      <c r="A3" s="41" t="s">
        <v>224</v>
      </c>
      <c r="B3" s="41" t="s">
        <v>29</v>
      </c>
      <c r="C3" s="41" t="s">
        <v>248</v>
      </c>
      <c r="D3" s="41" t="s">
        <v>249</v>
      </c>
      <c r="E3" s="42">
        <v>1</v>
      </c>
      <c r="F3" s="41" t="s">
        <v>225</v>
      </c>
      <c r="G3" s="27">
        <v>46177</v>
      </c>
      <c r="H3" s="13">
        <v>46177</v>
      </c>
      <c r="I3" s="41" t="s">
        <v>226</v>
      </c>
      <c r="J3" s="41" t="s">
        <v>227</v>
      </c>
      <c r="K3" s="41" t="s">
        <v>228</v>
      </c>
      <c r="L3" s="41" t="s">
        <v>229</v>
      </c>
      <c r="M3" s="45">
        <v>349</v>
      </c>
      <c r="N3" s="41" t="s">
        <v>230</v>
      </c>
      <c r="O3" s="46">
        <v>4520</v>
      </c>
      <c r="P3" s="46">
        <v>7000</v>
      </c>
      <c r="Q3" s="46">
        <v>9000</v>
      </c>
      <c r="R3" s="46">
        <v>3000</v>
      </c>
      <c r="S3" s="46">
        <v>8495</v>
      </c>
      <c r="T3" s="47">
        <v>0.5</v>
      </c>
      <c r="U3" s="47">
        <v>0.90900000000000003</v>
      </c>
      <c r="V3" s="47">
        <v>0.40899999999999997</v>
      </c>
      <c r="W3" s="51">
        <f t="shared" si="0"/>
        <v>0.81799999999999995</v>
      </c>
      <c r="X3" s="41" t="s">
        <v>231</v>
      </c>
      <c r="Y3" s="41" t="s">
        <v>232</v>
      </c>
      <c r="Z3" s="41" t="s">
        <v>233</v>
      </c>
      <c r="AA3" s="41" t="s">
        <v>234</v>
      </c>
      <c r="AB3" s="41" t="s">
        <v>235</v>
      </c>
      <c r="AC3" s="41" t="s">
        <v>223</v>
      </c>
      <c r="AD3" s="41" t="s">
        <v>236</v>
      </c>
      <c r="AE3" s="49">
        <f t="shared" si="1"/>
        <v>10</v>
      </c>
      <c r="AF3" s="49" t="str">
        <f t="shared" si="2"/>
        <v>Thu</v>
      </c>
      <c r="AG3" s="55">
        <f t="shared" si="3"/>
        <v>4</v>
      </c>
      <c r="AH3" s="49" t="str">
        <f t="shared" si="4"/>
        <v>WD 6am-6pm</v>
      </c>
      <c r="AI3" s="41" t="s">
        <v>237</v>
      </c>
      <c r="AJ3" s="41" t="s">
        <v>238</v>
      </c>
      <c r="AK3" s="42">
        <v>0</v>
      </c>
      <c r="AL3" s="41" t="s">
        <v>239</v>
      </c>
      <c r="AM3" s="42">
        <v>0</v>
      </c>
      <c r="AN3" s="41" t="s">
        <v>240</v>
      </c>
      <c r="AO3" s="42">
        <v>1</v>
      </c>
      <c r="AP3" s="41" t="s">
        <v>241</v>
      </c>
      <c r="AQ3" s="42">
        <v>1</v>
      </c>
      <c r="AR3" s="41" t="s">
        <v>242</v>
      </c>
      <c r="AS3" s="42">
        <v>1</v>
      </c>
      <c r="AT3" s="41" t="b">
        <v>1</v>
      </c>
      <c r="AU3" s="41" t="b">
        <v>1</v>
      </c>
      <c r="AV3" s="41" t="b">
        <v>1</v>
      </c>
      <c r="AW3" s="41" t="s">
        <v>120</v>
      </c>
      <c r="AX3" s="41">
        <v>0</v>
      </c>
      <c r="AY3" s="41" t="b">
        <v>0</v>
      </c>
      <c r="AZ3" s="58">
        <v>0</v>
      </c>
      <c r="BA3" s="51">
        <v>0.81799999999999995</v>
      </c>
      <c r="BB3" s="51">
        <v>0.28099999999999997</v>
      </c>
      <c r="BC3" s="41" t="s">
        <v>243</v>
      </c>
      <c r="BD3" s="46">
        <v>4520</v>
      </c>
      <c r="BE3" s="46">
        <v>9550</v>
      </c>
      <c r="BF3" s="46">
        <v>4393</v>
      </c>
      <c r="BG3" s="46">
        <v>8495</v>
      </c>
      <c r="BH3" s="47">
        <v>-3.2</v>
      </c>
      <c r="BI3" s="47">
        <v>52.5</v>
      </c>
      <c r="BJ3" s="47">
        <v>-4.5999999999999996</v>
      </c>
      <c r="BK3" s="47">
        <v>0.40899999999999997</v>
      </c>
      <c r="BL3" s="51">
        <v>1.1128318584070795E-2</v>
      </c>
      <c r="BM3" s="51">
        <v>-2.8097345132743312E-4</v>
      </c>
      <c r="BN3" s="51">
        <v>8.7942477876106189E-3</v>
      </c>
      <c r="BO3" s="59" t="str">
        <f t="shared" si="5"/>
        <v>2026-06-03_23-51-02-sell-UPTIMIST.-exec-1780545062339-5nddpl-desktop.png</v>
      </c>
      <c r="BP3">
        <f t="shared" si="6"/>
        <v>1</v>
      </c>
      <c r="BQ3" t="str">
        <f t="shared" si="7"/>
        <v>WT.260603.1</v>
      </c>
      <c r="BR3" s="60">
        <f>IF(AND(BP3=1,ROW()&gt;2),G2+IFERROR(TIMEVALUE(L2),0),"")</f>
        <v>46176.993773148148</v>
      </c>
      <c r="BS3" s="60">
        <f>IF(BP3=1,G3+IFERROR(TIMEVALUE(J3),IFERROR(TIMEVALUE(L3)-M3/86400,0)),"")</f>
        <v>46177.42765046296</v>
      </c>
      <c r="BT3" s="61">
        <f>IF(AND(BP3=1,ISNUMBER(BR3),ISNUMBER(BS3)),(BS3-BR3)*1440,"")</f>
        <v>624.78333332925104</v>
      </c>
      <c r="BU3" t="str">
        <f t="shared" si="8"/>
        <v>Loss</v>
      </c>
      <c r="BV3" t="str">
        <f>IF(NOT(ISNUMBER(BT3)),"",IF(BT3&lt;5,"0"&amp;_xlfn.UNICHAR(8211)&amp;"5 min",IF(BT3&lt;10,"5"&amp;_xlfn.UNICHAR(8211)&amp;"10 min",IF(BT3&lt;15,"10"&amp;_xlfn.UNICHAR(8211)&amp;"15 min",IF(BT3&lt;30,"15"&amp;_xlfn.UNICHAR(8211)&amp;"30 min","30 min+")))))</f>
        <v>30 min+</v>
      </c>
      <c r="BW3">
        <f>SUM($BP$2:BP3)</f>
        <v>2</v>
      </c>
      <c r="BX3">
        <f>IF(AND($BP3=1,NOT(ISBLANK($BV3))),SUMIFS(tblTrades[pnl_sol],tblTrades[cluster_group_id],$BW3),"")</f>
        <v>0.40899999999999997</v>
      </c>
      <c r="BY3">
        <f>IF(AND($BP3=1,NOT(ISBLANK($BV3))),IFERROR(AVERAGEIFS(tblTrades[pnl_percentage],tblTrades[cluster_group_id],$BW3),""),"")</f>
        <v>0.81799999999999995</v>
      </c>
      <c r="BZ3">
        <f t="shared" si="9"/>
        <v>1</v>
      </c>
      <c r="CA3">
        <f>COUNTIFS($A$2:$A3,$A3)</f>
        <v>1</v>
      </c>
    </row>
    <row r="4" spans="1:79" ht="15" customHeight="1" x14ac:dyDescent="0.35"/>
    <row r="5" spans="1:79" ht="15" customHeight="1" x14ac:dyDescent="0.35"/>
    <row r="6" spans="1:79" ht="15" customHeight="1" x14ac:dyDescent="0.35"/>
    <row r="7" spans="1:79" ht="15" customHeight="1" x14ac:dyDescent="0.35"/>
    <row r="8" spans="1:79" ht="15" customHeight="1" x14ac:dyDescent="0.35"/>
    <row r="9" spans="1:79" ht="15" customHeight="1" x14ac:dyDescent="0.35"/>
    <row r="10" spans="1:79" ht="15" customHeight="1" x14ac:dyDescent="0.35"/>
    <row r="11" spans="1:79" ht="15" customHeight="1" x14ac:dyDescent="0.35"/>
    <row r="12" spans="1:79" ht="15" customHeight="1" x14ac:dyDescent="0.35"/>
    <row r="13" spans="1:79" ht="15" customHeight="1" x14ac:dyDescent="0.35"/>
    <row r="14" spans="1:79" ht="15" customHeight="1" x14ac:dyDescent="0.35"/>
    <row r="15" spans="1:79" ht="15" customHeight="1" x14ac:dyDescent="0.35"/>
    <row r="16" spans="1:79" ht="15" customHeight="1" x14ac:dyDescent="0.35"/>
    <row r="17" ht="15" customHeight="1" x14ac:dyDescent="0.35"/>
  </sheetData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CFAA-B99E-45E0-AC91-965A1D08741E}">
  <dimension ref="A1:CA2"/>
  <sheetViews>
    <sheetView workbookViewId="0">
      <selection activeCell="C2" sqref="C2"/>
    </sheetView>
  </sheetViews>
  <sheetFormatPr defaultRowHeight="14.5" x14ac:dyDescent="0.35"/>
  <sheetData>
    <row r="1" spans="1:79" s="41" customFormat="1" x14ac:dyDescent="0.35">
      <c r="A1" s="34" t="s">
        <v>0</v>
      </c>
      <c r="B1" s="34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6" t="s">
        <v>245</v>
      </c>
      <c r="H1" s="36" t="s">
        <v>246</v>
      </c>
      <c r="I1" s="34" t="s">
        <v>6</v>
      </c>
      <c r="J1" s="34" t="s">
        <v>7</v>
      </c>
      <c r="K1" s="34" t="s">
        <v>8</v>
      </c>
      <c r="L1" s="34" t="s">
        <v>9</v>
      </c>
      <c r="M1" s="36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16</v>
      </c>
      <c r="T1" s="34" t="s">
        <v>17</v>
      </c>
      <c r="U1" s="34" t="s">
        <v>18</v>
      </c>
      <c r="V1" s="34" t="s">
        <v>19</v>
      </c>
      <c r="W1" s="35" t="s">
        <v>20</v>
      </c>
      <c r="X1" s="34" t="s">
        <v>21</v>
      </c>
      <c r="Y1" s="34" t="s">
        <v>22</v>
      </c>
      <c r="Z1" s="34" t="s">
        <v>23</v>
      </c>
      <c r="AA1" s="34" t="s">
        <v>24</v>
      </c>
      <c r="AB1" s="34" t="s">
        <v>25</v>
      </c>
      <c r="AC1" s="34" t="s">
        <v>26</v>
      </c>
      <c r="AD1" s="34" t="s">
        <v>244</v>
      </c>
      <c r="AE1" s="35" t="s">
        <v>88</v>
      </c>
      <c r="AF1" s="35" t="s">
        <v>89</v>
      </c>
      <c r="AG1" s="35" t="s">
        <v>90</v>
      </c>
      <c r="AH1" s="35" t="s">
        <v>91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7" t="s">
        <v>106</v>
      </c>
      <c r="AR1" s="37" t="s">
        <v>107</v>
      </c>
      <c r="AS1" s="37" t="s">
        <v>108</v>
      </c>
      <c r="AT1" s="37" t="s">
        <v>109</v>
      </c>
      <c r="AU1" s="37" t="s">
        <v>110</v>
      </c>
      <c r="AV1" s="37" t="s">
        <v>111</v>
      </c>
      <c r="AW1" s="37" t="s">
        <v>112</v>
      </c>
      <c r="AX1" s="37" t="s">
        <v>113</v>
      </c>
      <c r="AY1" s="37" t="s">
        <v>114</v>
      </c>
      <c r="AZ1" s="38" t="s">
        <v>115</v>
      </c>
      <c r="BA1" s="38" t="s">
        <v>116</v>
      </c>
      <c r="BB1" s="38" t="s">
        <v>117</v>
      </c>
      <c r="BC1" s="38" t="s">
        <v>118</v>
      </c>
      <c r="BD1" s="34" t="s">
        <v>194</v>
      </c>
      <c r="BE1" s="34" t="s">
        <v>195</v>
      </c>
      <c r="BF1" s="34" t="s">
        <v>196</v>
      </c>
      <c r="BG1" s="34" t="s">
        <v>197</v>
      </c>
      <c r="BH1" s="34" t="s">
        <v>201</v>
      </c>
      <c r="BI1" s="34" t="s">
        <v>202</v>
      </c>
      <c r="BJ1" s="34" t="s">
        <v>203</v>
      </c>
      <c r="BK1" s="34" t="s">
        <v>204</v>
      </c>
      <c r="BL1" s="35" t="s">
        <v>198</v>
      </c>
      <c r="BM1" s="35" t="s">
        <v>199</v>
      </c>
      <c r="BN1" s="35" t="s">
        <v>200</v>
      </c>
      <c r="BO1" s="35" t="s">
        <v>205</v>
      </c>
      <c r="BP1" s="35" t="s">
        <v>170</v>
      </c>
      <c r="BQ1" s="35" t="s">
        <v>171</v>
      </c>
      <c r="BR1" s="39" t="s">
        <v>172</v>
      </c>
      <c r="BS1" s="39" t="s">
        <v>173</v>
      </c>
      <c r="BT1" s="40" t="s">
        <v>174</v>
      </c>
      <c r="BU1" s="35" t="s">
        <v>175</v>
      </c>
      <c r="BV1" s="35" t="s">
        <v>176</v>
      </c>
      <c r="BW1" s="35" t="s">
        <v>180</v>
      </c>
      <c r="BX1" s="35" t="s">
        <v>181</v>
      </c>
      <c r="BY1" s="35" t="s">
        <v>182</v>
      </c>
      <c r="BZ1" s="35" t="s">
        <v>183</v>
      </c>
      <c r="CA1" s="35" t="s">
        <v>184</v>
      </c>
    </row>
    <row r="2" spans="1:79" s="41" customFormat="1" x14ac:dyDescent="0.35">
      <c r="A2" s="41" t="s">
        <v>122</v>
      </c>
      <c r="B2" s="41" t="s">
        <v>29</v>
      </c>
      <c r="C2" s="41" t="s">
        <v>123</v>
      </c>
      <c r="D2" s="41" t="s">
        <v>124</v>
      </c>
      <c r="E2" s="42">
        <v>1</v>
      </c>
      <c r="F2" s="41" t="s">
        <v>125</v>
      </c>
      <c r="G2" s="43">
        <v>46160</v>
      </c>
      <c r="H2" s="44">
        <v>46160</v>
      </c>
      <c r="I2" s="41" t="s">
        <v>126</v>
      </c>
      <c r="J2" s="41" t="s">
        <v>127</v>
      </c>
      <c r="K2" s="41" t="s">
        <v>128</v>
      </c>
      <c r="L2" s="41" t="s">
        <v>129</v>
      </c>
      <c r="M2" s="45">
        <v>23</v>
      </c>
      <c r="N2" s="41" t="s">
        <v>130</v>
      </c>
      <c r="O2" s="46">
        <v>3110</v>
      </c>
      <c r="P2" s="46">
        <v>2370</v>
      </c>
      <c r="Q2" s="46">
        <v>0.5</v>
      </c>
      <c r="R2" s="46">
        <v>0.38</v>
      </c>
      <c r="S2" s="46">
        <v>-0.12</v>
      </c>
      <c r="T2" s="47"/>
      <c r="U2" s="47"/>
      <c r="V2" s="47"/>
      <c r="W2" s="48" t="str">
        <f t="shared" ref="W2" si="0">IFERROR(V2/T2,"")</f>
        <v/>
      </c>
      <c r="X2" s="41" t="s">
        <v>131</v>
      </c>
      <c r="Y2" s="41" t="s">
        <v>132</v>
      </c>
      <c r="Z2" s="41" t="s">
        <v>133</v>
      </c>
      <c r="AA2" s="41" t="s">
        <v>27</v>
      </c>
      <c r="AB2" s="41" t="s">
        <v>134</v>
      </c>
      <c r="AC2" s="41" t="s">
        <v>28</v>
      </c>
      <c r="AD2" s="41" t="s">
        <v>135</v>
      </c>
      <c r="AE2" s="49">
        <f t="shared" ref="AE2" si="1">IFERROR(HOUR(IFERROR(IFERROR(IFERROR(TIMEVALUE(J2),TIMEVALUE(I2)),TIMEVALUE(L2)),TIMEVALUE(H2))),"")</f>
        <v>15</v>
      </c>
      <c r="AF2" s="49" t="str">
        <f t="shared" ref="AF2" si="2">IFERROR(TEXT(IF(ISNUMBER(G2),G2,DATEVALUE(G2)),"ddd"),"")</f>
        <v>Mon</v>
      </c>
      <c r="AG2" s="49">
        <f t="shared" ref="AG2" si="3">IFERROR(WEEKDAY(IF(ISNUMBER(G2),G2,DATEVALUE(G2)),2),"")</f>
        <v>1</v>
      </c>
      <c r="AH2" s="49" t="str">
        <f t="shared" ref="AH2" si="4">IF(AE2="","",IF(AND(AG2&lt;=4,AE2&lt;18),"WD 6am-6pm",IF(AND(AG2=5,AE2&lt;18),"WD 6am-6pm",IF(AND(AG2&lt;=4,OR(AE2=18,AE2=19)),"WD 6pm-8pm",IF(AND(AG2&lt;=4,AE2&gt;=20,AE2&lt;=23),"WD 8pm-12am",IF(AND(AG2&lt;=4,OR(AE2=0,AE2=1)),"WD 6am-6pm",IF(AND(OR(AG2=6,AG2=7),AE2&gt;=2,AE2&lt;=11),"WE 6am-12pm",IF(AND(OR(AG2=6,AG2=7),AE2&gt;=12,AE2&lt;=17),"WE 12pm-6pm",IF(AND(OR(AG2=5,AG2=6,AG2=7),OR(AE2=18,AE2=19)),"WE 6pm-8pm",IF(AND(AG2=5,AE2&gt;=20,AE2&lt;=23),"WE 8pm-2am",IF(AND(AG2=6,OR(AE2&gt;=20,AE2&lt;=1)),"WE 8pm-2am",IF(AND(AG2=7,AE2&gt;=20,AE2&lt;=23),"WE 8pm-2am",IF(AND(AG2=7,OR(AE2=0,AE2=1)),"WE 8pm-2am","")))))))))))))</f>
        <v>WD 6am-6pm</v>
      </c>
      <c r="AI2" s="41" t="s">
        <v>136</v>
      </c>
      <c r="AJ2" s="41" t="s">
        <v>125</v>
      </c>
      <c r="AK2" s="42">
        <v>1</v>
      </c>
      <c r="AL2" s="41" t="s">
        <v>137</v>
      </c>
      <c r="AM2" s="42">
        <v>1</v>
      </c>
      <c r="AN2" s="41" t="s">
        <v>138</v>
      </c>
      <c r="AO2" s="42">
        <v>1</v>
      </c>
      <c r="AP2" s="41" t="s">
        <v>139</v>
      </c>
      <c r="AQ2" s="42">
        <v>0</v>
      </c>
      <c r="AR2" s="41" t="s">
        <v>119</v>
      </c>
      <c r="AS2" s="42">
        <v>3</v>
      </c>
      <c r="AT2" s="41" t="b">
        <v>1</v>
      </c>
      <c r="AU2" s="41" t="b">
        <v>1</v>
      </c>
      <c r="AV2" s="41" t="b">
        <v>1</v>
      </c>
      <c r="AW2" s="41" t="s">
        <v>140</v>
      </c>
      <c r="AX2" s="41">
        <v>1</v>
      </c>
      <c r="AY2" s="41" t="b">
        <v>0</v>
      </c>
      <c r="AZ2" s="50">
        <v>1</v>
      </c>
      <c r="BA2" s="48">
        <v>-0.23800000000000002</v>
      </c>
      <c r="BB2" s="48">
        <v>-0.32</v>
      </c>
      <c r="BC2" s="41" t="s">
        <v>121</v>
      </c>
      <c r="BD2" s="46">
        <v>30</v>
      </c>
      <c r="BE2" s="46">
        <v>30</v>
      </c>
      <c r="BF2" s="46"/>
      <c r="BG2" s="46"/>
      <c r="BH2" s="47"/>
      <c r="BI2" s="47"/>
      <c r="BJ2" s="47"/>
      <c r="BK2" s="47"/>
      <c r="BL2" s="51"/>
      <c r="BM2" s="51"/>
      <c r="BN2" s="51"/>
      <c r="BO2" s="49" t="s">
        <v>27</v>
      </c>
      <c r="BP2" s="49">
        <f>IF(AI2&lt;&gt;AI1,1,0)</f>
        <v>1</v>
      </c>
      <c r="BQ2" s="49" t="str">
        <f>IF(BP2=1,IF(ROW()=2,"",AI1),"")</f>
        <v/>
      </c>
      <c r="BR2" s="52" t="str">
        <f>IF(AND(BP2=1,ROW()&gt;2),G1+IFERROR(TIMEVALUE(L1),0),"")</f>
        <v/>
      </c>
      <c r="BS2" s="52">
        <f>IF(BP2=1,G2+IFERROR(TIMEVALUE(J2),IFERROR(TIMEVALUE(L2)-M2/86400,0)),"")</f>
        <v>46160.629918981482</v>
      </c>
      <c r="BT2" s="53" t="str">
        <f>IF(AND(BP2=1,ISNUMBER(BR2),ISNUMBER(BS2)),(BS2-BR2)*1440,"")</f>
        <v/>
      </c>
      <c r="BU2" s="49" t="str">
        <f>IF(BQ2="","",IF(SUMIF(AI:AI,BQ2,V:V)&gt;0,"Win","Loss"))</f>
        <v/>
      </c>
      <c r="BV2" s="49" t="str">
        <f>IF(NOT(ISNUMBER(BT2)),"",IF(BT2&lt;5,"0"&amp;_xlfn.UNICHAR(8211)&amp;"5 min",IF(BT2&lt;10,"5"&amp;_xlfn.UNICHAR(8211)&amp;"10 min",IF(BT2&lt;15,"10"&amp;_xlfn.UNICHAR(8211)&amp;"15 min",IF(BT2&lt;30,"15"&amp;_xlfn.UNICHAR(8211)&amp;"30 min","30 min+")))))</f>
        <v/>
      </c>
      <c r="BW2" s="49">
        <f>SUM($BP$2:BP2)</f>
        <v>1</v>
      </c>
      <c r="BX2" s="49">
        <f>IF(AND($BP2=1,NOT(ISBLANK($BV2))),SUMIFS(tblTrades[pnl_sol],tblTrades[cluster_group_id],$BW2),"")</f>
        <v>-5.0000000000000001E-3</v>
      </c>
      <c r="BY2" s="49">
        <f>IF(AND($BP2=1,NOT(ISBLANK($BV2))),IFERROR(AVERAGEIFS(tblTrades[pnl_percentage],tblTrades[cluster_group_id],$BW2),""),"")</f>
        <v>-0.01</v>
      </c>
      <c r="BZ2" s="49">
        <f>IF(AND($BP2=1,NOT(ISBLANK($BV2))),IF($BX2&gt;0,1,0),"")</f>
        <v>0</v>
      </c>
      <c r="CA2" s="49">
        <f>COUNTIFS($A$2:$A2,$A2)</f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Analysis</vt:lpstr>
      <vt:lpstr>Master Trading Log</vt:lpstr>
      <vt:lpstr>defs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Snipalot master trading log flow</dc:creator>
  <cp:lastModifiedBy>Jason Koprowski</cp:lastModifiedBy>
  <dcterms:created xsi:type="dcterms:W3CDTF">2026-05-05T03:03:08Z</dcterms:created>
  <dcterms:modified xsi:type="dcterms:W3CDTF">2026-06-05T02:53:13Z</dcterms:modified>
</cp:coreProperties>
</file>